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slicers/slicer3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slicers/slicer4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umey\OneDrive\Masaüstü\"/>
    </mc:Choice>
  </mc:AlternateContent>
  <xr:revisionPtr revIDLastSave="0" documentId="13_ncr:1_{3D44D57A-B2EC-4098-8E7B-20546D39D05C}" xr6:coauthVersionLast="47" xr6:coauthVersionMax="47" xr10:uidLastSave="{00000000-0000-0000-0000-000000000000}"/>
  <bookViews>
    <workbookView xWindow="-108" yWindow="-108" windowWidth="23256" windowHeight="12456" tabRatio="994" firstSheet="1" activeTab="1" xr2:uid="{00000000-000D-0000-FFFF-FFFF00000000}"/>
  </bookViews>
  <sheets>
    <sheet name="HAM VERİ" sheetId="1" r:id="rId1"/>
    <sheet name="TEMİZLENMİŞ VERİ" sheetId="2" r:id="rId2"/>
    <sheet name="SORULAR" sheetId="17" r:id="rId3"/>
    <sheet name="HARFNOTU_F_OLANLARINTELEFONDAGE" sheetId="3" r:id="rId4"/>
    <sheet name="ORTALAMASI85ÜSTÜOLANÖĞRENCİLERİ" sheetId="4" r:id="rId5"/>
    <sheet name="SOSYALMEDYADAGEÇİRİLENSÜRENİNPU" sheetId="6" r:id="rId6"/>
    <sheet name="KOÇDESTEĞİALANÖĞRENCİLERİNOKULT" sheetId="7" r:id="rId7"/>
    <sheet name="FİNALNOTLARININCİNSİYETEGÖREKIY" sheetId="8" r:id="rId8"/>
    <sheet name="EKSTRAAKTİVİTEYAPANKADINVEERKEK" sheetId="9" r:id="rId9"/>
    <sheet name="MAT&lt;ORT_OLANLARINÇALIŞMASAATLER" sheetId="13" r:id="rId10"/>
    <sheet name="İNTERNETERİŞİMİNEGÖREORTALAMAPA" sheetId="12" r:id="rId11"/>
    <sheet name="KATILIMYÜKSEKAMAORTALAMASIDÜŞÜK" sheetId="14" r:id="rId12"/>
    <sheet name="EBEVEYNEĞİTİMDURUMUVEÇALIŞMASTİ" sheetId="15" r:id="rId13"/>
    <sheet name="DASHBOARD" sheetId="16" r:id="rId14"/>
  </sheets>
  <definedNames>
    <definedName name="Dilimleyici_Çalışma_Stili">#N/A</definedName>
    <definedName name="Dilimleyici_Harf_Notu">#N/A</definedName>
    <definedName name="Dilimleyici_Telefonda_Geçirilen_Süre">#N/A</definedName>
  </definedNames>
  <calcPr calcId="191029"/>
  <pivotCaches>
    <pivotCache cacheId="0" r:id="rId15"/>
    <pivotCache cacheId="1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Q15" i="1"/>
  <c r="Q14" i="1"/>
  <c r="Q13" i="1"/>
  <c r="Q12" i="1"/>
  <c r="Q11" i="1"/>
  <c r="Q10" i="1"/>
  <c r="Q9" i="1"/>
  <c r="Q8" i="1"/>
  <c r="Q6" i="1"/>
  <c r="Q7" i="1" s="1"/>
  <c r="Q5" i="1"/>
  <c r="Q4" i="1"/>
  <c r="Q3" i="1"/>
  <c r="Q2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2" i="2"/>
</calcChain>
</file>

<file path=xl/sharedStrings.xml><?xml version="1.0" encoding="utf-8"?>
<sst xmlns="http://schemas.openxmlformats.org/spreadsheetml/2006/main" count="6202" uniqueCount="733">
  <si>
    <t>male</t>
  </si>
  <si>
    <t>public</t>
  </si>
  <si>
    <t>post graduate</t>
  </si>
  <si>
    <t>84.3</t>
  </si>
  <si>
    <t>yes</t>
  </si>
  <si>
    <t>&lt;15 min</t>
  </si>
  <si>
    <t>notes</t>
  </si>
  <si>
    <t>42.7</t>
  </si>
  <si>
    <t>55.4</t>
  </si>
  <si>
    <t>57.0</t>
  </si>
  <si>
    <t>53.1</t>
  </si>
  <si>
    <t>e</t>
  </si>
  <si>
    <t>female</t>
  </si>
  <si>
    <t>graduate</t>
  </si>
  <si>
    <t>87.8</t>
  </si>
  <si>
    <t>&gt;60 min</t>
  </si>
  <si>
    <t>no</t>
  </si>
  <si>
    <t>textbook</t>
  </si>
  <si>
    <t>57.6</t>
  </si>
  <si>
    <t>68.8</t>
  </si>
  <si>
    <t>64.8</t>
  </si>
  <si>
    <t>61.3</t>
  </si>
  <si>
    <t>d</t>
  </si>
  <si>
    <t>private</t>
  </si>
  <si>
    <t>65.5</t>
  </si>
  <si>
    <t>84.8</t>
  </si>
  <si>
    <t>95.0</t>
  </si>
  <si>
    <t>79.2</t>
  </si>
  <si>
    <t>89.6</t>
  </si>
  <si>
    <t>b</t>
  </si>
  <si>
    <t>other</t>
  </si>
  <si>
    <t>high school</t>
  </si>
  <si>
    <t>58.1</t>
  </si>
  <si>
    <t>15-30 min</t>
  </si>
  <si>
    <t>44.4</t>
  </si>
  <si>
    <t>54.7</t>
  </si>
  <si>
    <t>41.6</t>
  </si>
  <si>
    <t>61.0</t>
  </si>
  <si>
    <t>30-60 min</t>
  </si>
  <si>
    <t>group study</t>
  </si>
  <si>
    <t>32.7</t>
  </si>
  <si>
    <t>30.0</t>
  </si>
  <si>
    <t>f</t>
  </si>
  <si>
    <t>no formal</t>
  </si>
  <si>
    <t>69.6</t>
  </si>
  <si>
    <t>coaching</t>
  </si>
  <si>
    <t>51.5</t>
  </si>
  <si>
    <t>78.3</t>
  </si>
  <si>
    <t>63.9</t>
  </si>
  <si>
    <t>63.5</t>
  </si>
  <si>
    <t>81.6</t>
  </si>
  <si>
    <t>41.9</t>
  </si>
  <si>
    <t>39.2</t>
  </si>
  <si>
    <t>39.1</t>
  </si>
  <si>
    <t>59.4</t>
  </si>
  <si>
    <t>56.7</t>
  </si>
  <si>
    <t>60.1</t>
  </si>
  <si>
    <t>53.4</t>
  </si>
  <si>
    <t>mixed</t>
  </si>
  <si>
    <t>54.1</t>
  </si>
  <si>
    <t>59.5</t>
  </si>
  <si>
    <t>38.3</t>
  </si>
  <si>
    <t>55.2</t>
  </si>
  <si>
    <t>diploma</t>
  </si>
  <si>
    <t>62.4</t>
  </si>
  <si>
    <t>71.9</t>
  </si>
  <si>
    <t>70.4</t>
  </si>
  <si>
    <t>81.3</t>
  </si>
  <si>
    <t>90.5</t>
  </si>
  <si>
    <t>75.4</t>
  </si>
  <si>
    <t>82.7</t>
  </si>
  <si>
    <t>70.8</t>
  </si>
  <si>
    <t>77.5</t>
  </si>
  <si>
    <t>c</t>
  </si>
  <si>
    <t>4.0</t>
  </si>
  <si>
    <t>96.2</t>
  </si>
  <si>
    <t>62.0</t>
  </si>
  <si>
    <t>58.0</t>
  </si>
  <si>
    <t>65.0</t>
  </si>
  <si>
    <t>58.2</t>
  </si>
  <si>
    <t>75.1</t>
  </si>
  <si>
    <t>80.5</t>
  </si>
  <si>
    <t>56.2</t>
  </si>
  <si>
    <t>73.6</t>
  </si>
  <si>
    <t>95.9</t>
  </si>
  <si>
    <t>33.6</t>
  </si>
  <si>
    <t>50.0</t>
  </si>
  <si>
    <t>42.5</t>
  </si>
  <si>
    <t>85.3</t>
  </si>
  <si>
    <t>88.1</t>
  </si>
  <si>
    <t>66.1</t>
  </si>
  <si>
    <t>70.3</t>
  </si>
  <si>
    <t>69.3</t>
  </si>
  <si>
    <t>5.0</t>
  </si>
  <si>
    <t>94.4</t>
  </si>
  <si>
    <t>66.4</t>
  </si>
  <si>
    <t>76.9</t>
  </si>
  <si>
    <t>76.1</t>
  </si>
  <si>
    <t>73.7</t>
  </si>
  <si>
    <t>phd</t>
  </si>
  <si>
    <t>67.3</t>
  </si>
  <si>
    <t>63.1</t>
  </si>
  <si>
    <t>46.3</t>
  </si>
  <si>
    <t>57.1</t>
  </si>
  <si>
    <t>53.5</t>
  </si>
  <si>
    <t>0.9</t>
  </si>
  <si>
    <t>93.2</t>
  </si>
  <si>
    <t>online videos</t>
  </si>
  <si>
    <t>57.2</t>
  </si>
  <si>
    <t>50.5</t>
  </si>
  <si>
    <t>49.8</t>
  </si>
  <si>
    <t>73.8</t>
  </si>
  <si>
    <t>38.7</t>
  </si>
  <si>
    <t>69.9</t>
  </si>
  <si>
    <t>58.3</t>
  </si>
  <si>
    <t>59.2</t>
  </si>
  <si>
    <t>49.9</t>
  </si>
  <si>
    <t>53.9</t>
  </si>
  <si>
    <t>60.4</t>
  </si>
  <si>
    <t>61.9</t>
  </si>
  <si>
    <t>99.8</t>
  </si>
  <si>
    <t>84.9</t>
  </si>
  <si>
    <t>77.6</t>
  </si>
  <si>
    <t>97.4</t>
  </si>
  <si>
    <t>76.7</t>
  </si>
  <si>
    <t>31.9</t>
  </si>
  <si>
    <t>39.3</t>
  </si>
  <si>
    <t>55.0</t>
  </si>
  <si>
    <t>41.3</t>
  </si>
  <si>
    <t>35.2</t>
  </si>
  <si>
    <t>33.5</t>
  </si>
  <si>
    <t>72.8</t>
  </si>
  <si>
    <t>100.0</t>
  </si>
  <si>
    <t>94.6</t>
  </si>
  <si>
    <t>99.3</t>
  </si>
  <si>
    <t>38.9</t>
  </si>
  <si>
    <t>31.2</t>
  </si>
  <si>
    <t>57.3</t>
  </si>
  <si>
    <t>41.4</t>
  </si>
  <si>
    <t>8.0</t>
  </si>
  <si>
    <t>77.4</t>
  </si>
  <si>
    <t>87.7</t>
  </si>
  <si>
    <t>92.5</t>
  </si>
  <si>
    <t>74.9</t>
  </si>
  <si>
    <t>92.8</t>
  </si>
  <si>
    <t>86.9</t>
  </si>
  <si>
    <t>82.5</t>
  </si>
  <si>
    <t>59.8</t>
  </si>
  <si>
    <t>42.9</t>
  </si>
  <si>
    <t>89.9</t>
  </si>
  <si>
    <t>63.4</t>
  </si>
  <si>
    <t>3.0</t>
  </si>
  <si>
    <t>71.0</t>
  </si>
  <si>
    <t>40.5</t>
  </si>
  <si>
    <t>44.5</t>
  </si>
  <si>
    <t>68.1</t>
  </si>
  <si>
    <t>45.1</t>
  </si>
  <si>
    <t>7.0</t>
  </si>
  <si>
    <t>73.5</t>
  </si>
  <si>
    <t>71.7</t>
  </si>
  <si>
    <t>82.6</t>
  </si>
  <si>
    <t>85.7</t>
  </si>
  <si>
    <t>79.6</t>
  </si>
  <si>
    <t>86.0</t>
  </si>
  <si>
    <t>95.4</t>
  </si>
  <si>
    <t>90.4</t>
  </si>
  <si>
    <t>72.5</t>
  </si>
  <si>
    <t>79.3</t>
  </si>
  <si>
    <t>77.1</t>
  </si>
  <si>
    <t>81.7</t>
  </si>
  <si>
    <t>94.5</t>
  </si>
  <si>
    <t>72.1</t>
  </si>
  <si>
    <t>78.8</t>
  </si>
  <si>
    <t>55.1</t>
  </si>
  <si>
    <t>60.5</t>
  </si>
  <si>
    <t>57.4</t>
  </si>
  <si>
    <t>72.9</t>
  </si>
  <si>
    <t>62.2</t>
  </si>
  <si>
    <t>88.2</t>
  </si>
  <si>
    <t>39.8</t>
  </si>
  <si>
    <t>39.6</t>
  </si>
  <si>
    <t>36.5</t>
  </si>
  <si>
    <t>46.9</t>
  </si>
  <si>
    <t>50.2</t>
  </si>
  <si>
    <t>93.1</t>
  </si>
  <si>
    <t>0.6</t>
  </si>
  <si>
    <t>82.1</t>
  </si>
  <si>
    <t>45.9</t>
  </si>
  <si>
    <t>43.5</t>
  </si>
  <si>
    <t>35.0</t>
  </si>
  <si>
    <t>42.0</t>
  </si>
  <si>
    <t>91.3</t>
  </si>
  <si>
    <t>82.4</t>
  </si>
  <si>
    <t>61.7</t>
  </si>
  <si>
    <t>79.0</t>
  </si>
  <si>
    <t>88.3</t>
  </si>
  <si>
    <t>67.4</t>
  </si>
  <si>
    <t>66.5</t>
  </si>
  <si>
    <t>78.1</t>
  </si>
  <si>
    <t>70.0</t>
  </si>
  <si>
    <t>63.8</t>
  </si>
  <si>
    <t>65.4</t>
  </si>
  <si>
    <t>6.0</t>
  </si>
  <si>
    <t>92.2</t>
  </si>
  <si>
    <t>88.7</t>
  </si>
  <si>
    <t>54.0</t>
  </si>
  <si>
    <t>42.8</t>
  </si>
  <si>
    <t>53.3</t>
  </si>
  <si>
    <t>31.4</t>
  </si>
  <si>
    <t>36.4</t>
  </si>
  <si>
    <t>29.0</t>
  </si>
  <si>
    <t>91.1</t>
  </si>
  <si>
    <t>76.4</t>
  </si>
  <si>
    <t>56.4</t>
  </si>
  <si>
    <t>63.6</t>
  </si>
  <si>
    <t>59.1</t>
  </si>
  <si>
    <t>37.5</t>
  </si>
  <si>
    <t>42.3</t>
  </si>
  <si>
    <t>72.4</t>
  </si>
  <si>
    <t>77.3</t>
  </si>
  <si>
    <t>88.0</t>
  </si>
  <si>
    <t>83.5</t>
  </si>
  <si>
    <t>96.8</t>
  </si>
  <si>
    <t>42.4</t>
  </si>
  <si>
    <t>48.7</t>
  </si>
  <si>
    <t>85.1</t>
  </si>
  <si>
    <t>96.3</t>
  </si>
  <si>
    <t>a</t>
  </si>
  <si>
    <t>89.0</t>
  </si>
  <si>
    <t>32.6</t>
  </si>
  <si>
    <t>86.6</t>
  </si>
  <si>
    <t>66.9</t>
  </si>
  <si>
    <t>66.7</t>
  </si>
  <si>
    <t>82.8</t>
  </si>
  <si>
    <t>76.2</t>
  </si>
  <si>
    <t>73.0</t>
  </si>
  <si>
    <t>87.1</t>
  </si>
  <si>
    <t>78.6</t>
  </si>
  <si>
    <t>70.5</t>
  </si>
  <si>
    <t>77.9</t>
  </si>
  <si>
    <t>79.9</t>
  </si>
  <si>
    <t>77.0</t>
  </si>
  <si>
    <t>91.4</t>
  </si>
  <si>
    <t>95.8</t>
  </si>
  <si>
    <t>93.3</t>
  </si>
  <si>
    <t>85.2</t>
  </si>
  <si>
    <t>88.4</t>
  </si>
  <si>
    <t>90.7</t>
  </si>
  <si>
    <t>91.9</t>
  </si>
  <si>
    <t>85.6</t>
  </si>
  <si>
    <t>68.7</t>
  </si>
  <si>
    <t>39.5</t>
  </si>
  <si>
    <t>83.4</t>
  </si>
  <si>
    <t>81.5</t>
  </si>
  <si>
    <t>79.5</t>
  </si>
  <si>
    <t>86.2</t>
  </si>
  <si>
    <t>76.6</t>
  </si>
  <si>
    <t>67.8</t>
  </si>
  <si>
    <t>2.0</t>
  </si>
  <si>
    <t>87.4</t>
  </si>
  <si>
    <t>40.9</t>
  </si>
  <si>
    <t>59.9</t>
  </si>
  <si>
    <t>41.1</t>
  </si>
  <si>
    <t>52.5</t>
  </si>
  <si>
    <t>51.3</t>
  </si>
  <si>
    <t>46.2</t>
  </si>
  <si>
    <t>66.8</t>
  </si>
  <si>
    <t>69.7</t>
  </si>
  <si>
    <t>53.0</t>
  </si>
  <si>
    <t>65.1</t>
  </si>
  <si>
    <t>78.9</t>
  </si>
  <si>
    <t>83.9</t>
  </si>
  <si>
    <t>85.8</t>
  </si>
  <si>
    <t>79.8</t>
  </si>
  <si>
    <t>61.2</t>
  </si>
  <si>
    <t>62.7</t>
  </si>
  <si>
    <t>47.6</t>
  </si>
  <si>
    <t>54.9</t>
  </si>
  <si>
    <t>84.1</t>
  </si>
  <si>
    <t>83.3</t>
  </si>
  <si>
    <t>80.9</t>
  </si>
  <si>
    <t>0.5</t>
  </si>
  <si>
    <t>99.0</t>
  </si>
  <si>
    <t>32.1</t>
  </si>
  <si>
    <t>38.0</t>
  </si>
  <si>
    <t>52.2</t>
  </si>
  <si>
    <t>33.8</t>
  </si>
  <si>
    <t>47.3</t>
  </si>
  <si>
    <t>75.2</t>
  </si>
  <si>
    <t>71.8</t>
  </si>
  <si>
    <t>56.9</t>
  </si>
  <si>
    <t>34.8</t>
  </si>
  <si>
    <t>35.3</t>
  </si>
  <si>
    <t>40.8</t>
  </si>
  <si>
    <t>79.1</t>
  </si>
  <si>
    <t>80.1</t>
  </si>
  <si>
    <t>47.2</t>
  </si>
  <si>
    <t>32.0</t>
  </si>
  <si>
    <t>51.4</t>
  </si>
  <si>
    <t>0.7</t>
  </si>
  <si>
    <t>95.1</t>
  </si>
  <si>
    <t>43.6</t>
  </si>
  <si>
    <t>65.9</t>
  </si>
  <si>
    <t>33.9</t>
  </si>
  <si>
    <t>62.8</t>
  </si>
  <si>
    <t>37.1</t>
  </si>
  <si>
    <t>97.9</t>
  </si>
  <si>
    <t>48.3</t>
  </si>
  <si>
    <t>63.2</t>
  </si>
  <si>
    <t>46.5</t>
  </si>
  <si>
    <t>91.6</t>
  </si>
  <si>
    <t>99.6</t>
  </si>
  <si>
    <t>99.1</t>
  </si>
  <si>
    <t>96.4</t>
  </si>
  <si>
    <t>36.6</t>
  </si>
  <si>
    <t>40.0</t>
  </si>
  <si>
    <t>71.2</t>
  </si>
  <si>
    <t>87.5</t>
  </si>
  <si>
    <t>84.0</t>
  </si>
  <si>
    <t>80.7</t>
  </si>
  <si>
    <t>94.2</t>
  </si>
  <si>
    <t>94.7</t>
  </si>
  <si>
    <t>75.8</t>
  </si>
  <si>
    <t>91.5</t>
  </si>
  <si>
    <t>65.2</t>
  </si>
  <si>
    <t>19.0</t>
  </si>
  <si>
    <t>74.0</t>
  </si>
  <si>
    <t>54.3</t>
  </si>
  <si>
    <t>59.6</t>
  </si>
  <si>
    <t>86.8</t>
  </si>
  <si>
    <t>44.8</t>
  </si>
  <si>
    <t>48.9</t>
  </si>
  <si>
    <t>58.5</t>
  </si>
  <si>
    <t>83.6</t>
  </si>
  <si>
    <t>98.5</t>
  </si>
  <si>
    <t>83.0</t>
  </si>
  <si>
    <t>74.1</t>
  </si>
  <si>
    <t>72.0</t>
  </si>
  <si>
    <t>69.1</t>
  </si>
  <si>
    <t>96.1</t>
  </si>
  <si>
    <t>57.9</t>
  </si>
  <si>
    <t>49.0</t>
  </si>
  <si>
    <t>45.7</t>
  </si>
  <si>
    <t>45.0</t>
  </si>
  <si>
    <t>43.9</t>
  </si>
  <si>
    <t>74.3</t>
  </si>
  <si>
    <t>57.7</t>
  </si>
  <si>
    <t>46.7</t>
  </si>
  <si>
    <t>67.7</t>
  </si>
  <si>
    <t>89.5</t>
  </si>
  <si>
    <t>73.9</t>
  </si>
  <si>
    <t>55.6</t>
  </si>
  <si>
    <t>73.1</t>
  </si>
  <si>
    <t>56.1</t>
  </si>
  <si>
    <t>62.6</t>
  </si>
  <si>
    <t>50.3</t>
  </si>
  <si>
    <t>71.3</t>
  </si>
  <si>
    <t>94.1</t>
  </si>
  <si>
    <t>79.4</t>
  </si>
  <si>
    <t>82.0</t>
  </si>
  <si>
    <t>46.1</t>
  </si>
  <si>
    <t>86.4</t>
  </si>
  <si>
    <t>49.7</t>
  </si>
  <si>
    <t>93.9</t>
  </si>
  <si>
    <t>80.2</t>
  </si>
  <si>
    <t>87.6</t>
  </si>
  <si>
    <t>76.8</t>
  </si>
  <si>
    <t>87.9</t>
  </si>
  <si>
    <t>64.1</t>
  </si>
  <si>
    <t>65.6</t>
  </si>
  <si>
    <t>70.1</t>
  </si>
  <si>
    <t>66.6</t>
  </si>
  <si>
    <t>46.6</t>
  </si>
  <si>
    <t>57.5</t>
  </si>
  <si>
    <t>82.3</t>
  </si>
  <si>
    <t>37.2</t>
  </si>
  <si>
    <t>50.4</t>
  </si>
  <si>
    <t>39.9</t>
  </si>
  <si>
    <t>61.6</t>
  </si>
  <si>
    <t>74.8</t>
  </si>
  <si>
    <t>72.3</t>
  </si>
  <si>
    <t>48.8</t>
  </si>
  <si>
    <t>74.5</t>
  </si>
  <si>
    <t>75.6</t>
  </si>
  <si>
    <t>81.9</t>
  </si>
  <si>
    <t>90.8</t>
  </si>
  <si>
    <t>96.0</t>
  </si>
  <si>
    <t>24.0</t>
  </si>
  <si>
    <t>52.9</t>
  </si>
  <si>
    <t>68.3</t>
  </si>
  <si>
    <t>78.7</t>
  </si>
  <si>
    <t>75.9</t>
  </si>
  <si>
    <t>71.6</t>
  </si>
  <si>
    <t>73.4</t>
  </si>
  <si>
    <t>96.5</t>
  </si>
  <si>
    <t>74.7</t>
  </si>
  <si>
    <t>97.0</t>
  </si>
  <si>
    <t>59.3</t>
  </si>
  <si>
    <t>88.9</t>
  </si>
  <si>
    <t>64.3</t>
  </si>
  <si>
    <t>43.7</t>
  </si>
  <si>
    <t>35.7</t>
  </si>
  <si>
    <t>81.1</t>
  </si>
  <si>
    <t>74.2</t>
  </si>
  <si>
    <t>64.0</t>
  </si>
  <si>
    <t>52.8</t>
  </si>
  <si>
    <t>35.1</t>
  </si>
  <si>
    <t>61.8</t>
  </si>
  <si>
    <t>54.8</t>
  </si>
  <si>
    <t>1.0</t>
  </si>
  <si>
    <t>97.8</t>
  </si>
  <si>
    <t>72.6</t>
  </si>
  <si>
    <t>92.4</t>
  </si>
  <si>
    <t>86.1</t>
  </si>
  <si>
    <t>92.0</t>
  </si>
  <si>
    <t>89.4</t>
  </si>
  <si>
    <t>93.8</t>
  </si>
  <si>
    <t>92.7</t>
  </si>
  <si>
    <t>98.4</t>
  </si>
  <si>
    <t>80.0</t>
  </si>
  <si>
    <t>77.8</t>
  </si>
  <si>
    <t>40.3</t>
  </si>
  <si>
    <t>64.6</t>
  </si>
  <si>
    <t>67.1</t>
  </si>
  <si>
    <t>52.7</t>
  </si>
  <si>
    <t>83.8</t>
  </si>
  <si>
    <t>71.4</t>
  </si>
  <si>
    <t>80.4</t>
  </si>
  <si>
    <t>72.7</t>
  </si>
  <si>
    <t>75.3</t>
  </si>
  <si>
    <t>63.3</t>
  </si>
  <si>
    <t>40.6</t>
  </si>
  <si>
    <t>80.3</t>
  </si>
  <si>
    <t>43.3</t>
  </si>
  <si>
    <t>99.2</t>
  </si>
  <si>
    <t>86.3</t>
  </si>
  <si>
    <t>70.7</t>
  </si>
  <si>
    <t>50.1</t>
  </si>
  <si>
    <t>88.8</t>
  </si>
  <si>
    <t>59.7</t>
  </si>
  <si>
    <t>54.2</t>
  </si>
  <si>
    <t>67.0</t>
  </si>
  <si>
    <t>67.6</t>
  </si>
  <si>
    <t>53.8</t>
  </si>
  <si>
    <t>46.4</t>
  </si>
  <si>
    <t>52.6</t>
  </si>
  <si>
    <t>89.7</t>
  </si>
  <si>
    <t>92.3</t>
  </si>
  <si>
    <t>59.0</t>
  </si>
  <si>
    <t>56.0</t>
  </si>
  <si>
    <t>95.6</t>
  </si>
  <si>
    <t>90.9</t>
  </si>
  <si>
    <t>86.7</t>
  </si>
  <si>
    <t>82.9</t>
  </si>
  <si>
    <t>90.2</t>
  </si>
  <si>
    <t>83.7</t>
  </si>
  <si>
    <t>78.5</t>
  </si>
  <si>
    <t>84.5</t>
  </si>
  <si>
    <t>87.0</t>
  </si>
  <si>
    <t>76.3</t>
  </si>
  <si>
    <t>41.0</t>
  </si>
  <si>
    <t>47.8</t>
  </si>
  <si>
    <t>32.8</t>
  </si>
  <si>
    <t>36.9</t>
  </si>
  <si>
    <t>37.9</t>
  </si>
  <si>
    <t>45.6</t>
  </si>
  <si>
    <t>0.8</t>
  </si>
  <si>
    <t>56.3</t>
  </si>
  <si>
    <t>82.2</t>
  </si>
  <si>
    <t>92.1</t>
  </si>
  <si>
    <t>45.4</t>
  </si>
  <si>
    <t>55.7</t>
  </si>
  <si>
    <t>46.8</t>
  </si>
  <si>
    <t>35.6</t>
  </si>
  <si>
    <t>33.1</t>
  </si>
  <si>
    <t>41.5</t>
  </si>
  <si>
    <t>38.4</t>
  </si>
  <si>
    <t>60.6</t>
  </si>
  <si>
    <t>51.0</t>
  </si>
  <si>
    <t>48.2</t>
  </si>
  <si>
    <t>45.8</t>
  </si>
  <si>
    <t>37.8</t>
  </si>
  <si>
    <t>65.3</t>
  </si>
  <si>
    <t>57.8</t>
  </si>
  <si>
    <t>39.0</t>
  </si>
  <si>
    <t>43.4</t>
  </si>
  <si>
    <t>18.0</t>
  </si>
  <si>
    <t>45.5</t>
  </si>
  <si>
    <t>36.2</t>
  </si>
  <si>
    <t>52.4</t>
  </si>
  <si>
    <t>32.4</t>
  </si>
  <si>
    <t>69.2</t>
  </si>
  <si>
    <t>66.2</t>
  </si>
  <si>
    <t>85.9</t>
  </si>
  <si>
    <t>95.2</t>
  </si>
  <si>
    <t>78.4</t>
  </si>
  <si>
    <t>38.2</t>
  </si>
  <si>
    <t>70.9</t>
  </si>
  <si>
    <t>84.2</t>
  </si>
  <si>
    <t>97.3</t>
  </si>
  <si>
    <t>80.6</t>
  </si>
  <si>
    <t>80.8</t>
  </si>
  <si>
    <t>55.8</t>
  </si>
  <si>
    <t>50.8</t>
  </si>
  <si>
    <t>52.3</t>
  </si>
  <si>
    <t>48.0</t>
  </si>
  <si>
    <t>64.5</t>
  </si>
  <si>
    <t>35.8</t>
  </si>
  <si>
    <t>28.0</t>
  </si>
  <si>
    <t>36.3</t>
  </si>
  <si>
    <t>49.5</t>
  </si>
  <si>
    <t>90.1</t>
  </si>
  <si>
    <t>47.5</t>
  </si>
  <si>
    <t>56.6</t>
  </si>
  <si>
    <t>89.3</t>
  </si>
  <si>
    <t>98.0</t>
  </si>
  <si>
    <t>96.6</t>
  </si>
  <si>
    <t>47.4</t>
  </si>
  <si>
    <t>32.5</t>
  </si>
  <si>
    <t>38.6</t>
  </si>
  <si>
    <t>99.5</t>
  </si>
  <si>
    <t>51.7</t>
  </si>
  <si>
    <t>49.6</t>
  </si>
  <si>
    <t>44.7</t>
  </si>
  <si>
    <t>58.4</t>
  </si>
  <si>
    <t>93.0</t>
  </si>
  <si>
    <t>58.6</t>
  </si>
  <si>
    <t>71.1</t>
  </si>
  <si>
    <t>78.0</t>
  </si>
  <si>
    <t>88.5</t>
  </si>
  <si>
    <t>51.1</t>
  </si>
  <si>
    <t>36.8</t>
  </si>
  <si>
    <t>86.5</t>
  </si>
  <si>
    <t>92.6</t>
  </si>
  <si>
    <t>56.8</t>
  </si>
  <si>
    <t>60.9</t>
  </si>
  <si>
    <t>74.6</t>
  </si>
  <si>
    <t>65.7</t>
  </si>
  <si>
    <t>98.9</t>
  </si>
  <si>
    <t>90.0</t>
  </si>
  <si>
    <t>62.1</t>
  </si>
  <si>
    <t>44.0</t>
  </si>
  <si>
    <t>43.1</t>
  </si>
  <si>
    <t>60.3</t>
  </si>
  <si>
    <t>41.8</t>
  </si>
  <si>
    <t>42.2</t>
  </si>
  <si>
    <t>91.8</t>
  </si>
  <si>
    <t>68.6</t>
  </si>
  <si>
    <t>68.4</t>
  </si>
  <si>
    <t>58.9</t>
  </si>
  <si>
    <t>61.4</t>
  </si>
  <si>
    <t>89.1</t>
  </si>
  <si>
    <t>81.8</t>
  </si>
  <si>
    <t>67.5</t>
  </si>
  <si>
    <t>70.2</t>
  </si>
  <si>
    <t>51.6</t>
  </si>
  <si>
    <t>98.1</t>
  </si>
  <si>
    <t>92.9</t>
  </si>
  <si>
    <t>83.2</t>
  </si>
  <si>
    <t>55.3</t>
  </si>
  <si>
    <t>68.2</t>
  </si>
  <si>
    <t>48.1</t>
  </si>
  <si>
    <t>75.7</t>
  </si>
  <si>
    <t>47.9</t>
  </si>
  <si>
    <t>43.0</t>
  </si>
  <si>
    <t>87.2</t>
  </si>
  <si>
    <t>54.4</t>
  </si>
  <si>
    <t>52.1</t>
  </si>
  <si>
    <t>53.2</t>
  </si>
  <si>
    <t>49.2</t>
  </si>
  <si>
    <t>61.5</t>
  </si>
  <si>
    <t>71.5</t>
  </si>
  <si>
    <t>93.5</t>
  </si>
  <si>
    <t>85.5</t>
  </si>
  <si>
    <t>99.9</t>
  </si>
  <si>
    <t>87.3</t>
  </si>
  <si>
    <t>55.5</t>
  </si>
  <si>
    <t>47.1</t>
  </si>
  <si>
    <t>44.6</t>
  </si>
  <si>
    <t>97.2</t>
  </si>
  <si>
    <t>50.7</t>
  </si>
  <si>
    <t>39.7</t>
  </si>
  <si>
    <t>97.7</t>
  </si>
  <si>
    <t>95.5</t>
  </si>
  <si>
    <t>34.5</t>
  </si>
  <si>
    <t>37.6</t>
  </si>
  <si>
    <t>39.4</t>
  </si>
  <si>
    <t>63.0</t>
  </si>
  <si>
    <t>51.8</t>
  </si>
  <si>
    <t>63.7</t>
  </si>
  <si>
    <t>32.3</t>
  </si>
  <si>
    <t>81.0</t>
  </si>
  <si>
    <t>36.1</t>
  </si>
  <si>
    <t>70.6</t>
  </si>
  <si>
    <t>55.9</t>
  </si>
  <si>
    <t>66.0</t>
  </si>
  <si>
    <t>31.6</t>
  </si>
  <si>
    <t>64.4</t>
  </si>
  <si>
    <t>53.7</t>
  </si>
  <si>
    <t>99.7</t>
  </si>
  <si>
    <t>76.5</t>
  </si>
  <si>
    <t>27.0</t>
  </si>
  <si>
    <t>30.2</t>
  </si>
  <si>
    <t>38.5</t>
  </si>
  <si>
    <t>34.9</t>
  </si>
  <si>
    <t>45.3</t>
  </si>
  <si>
    <t>90.3</t>
  </si>
  <si>
    <t>93.4</t>
  </si>
  <si>
    <t>81.4</t>
  </si>
  <si>
    <t>49.4</t>
  </si>
  <si>
    <t>58.8</t>
  </si>
  <si>
    <t>58.7</t>
  </si>
  <si>
    <t>54.6</t>
  </si>
  <si>
    <t>94.8</t>
  </si>
  <si>
    <t>69.4</t>
  </si>
  <si>
    <t>65.8</t>
  </si>
  <si>
    <t>23.0</t>
  </si>
  <si>
    <t>96.9</t>
  </si>
  <si>
    <t>62.3</t>
  </si>
  <si>
    <t>69.0</t>
  </si>
  <si>
    <t>78.2</t>
  </si>
  <si>
    <t>84.4</t>
  </si>
  <si>
    <t>56.5</t>
  </si>
  <si>
    <t>76.0</t>
  </si>
  <si>
    <t>44.1</t>
  </si>
  <si>
    <t>31.0</t>
  </si>
  <si>
    <t>52.0</t>
  </si>
  <si>
    <t>62.9</t>
  </si>
  <si>
    <t>34.0</t>
  </si>
  <si>
    <t>72.2</t>
  </si>
  <si>
    <t>50.9</t>
  </si>
  <si>
    <t>44.9</t>
  </si>
  <si>
    <t>48.5</t>
  </si>
  <si>
    <t>97.5</t>
  </si>
  <si>
    <t>60.0</t>
  </si>
  <si>
    <t>73.2</t>
  </si>
  <si>
    <t>60.2</t>
  </si>
  <si>
    <t>75.0</t>
  </si>
  <si>
    <t>42.1</t>
  </si>
  <si>
    <t>51.9</t>
  </si>
  <si>
    <t>77.7</t>
  </si>
  <si>
    <t>91.2</t>
  </si>
  <si>
    <t>yaş</t>
  </si>
  <si>
    <t>öğrenci_id</t>
  </si>
  <si>
    <t>cinsiyet</t>
  </si>
  <si>
    <t>okul türü</t>
  </si>
  <si>
    <t>ebeveyn öğrenim durumu</t>
  </si>
  <si>
    <t>ders süresi</t>
  </si>
  <si>
    <t>katılım yüzdesi</t>
  </si>
  <si>
    <t>internet bağlantısı</t>
  </si>
  <si>
    <t>telefon süresi</t>
  </si>
  <si>
    <t>extra aktivite</t>
  </si>
  <si>
    <t>çalışma methodu</t>
  </si>
  <si>
    <t>matematik notu</t>
  </si>
  <si>
    <t>fen notu</t>
  </si>
  <si>
    <t>ingilizce notu</t>
  </si>
  <si>
    <t>ortalama</t>
  </si>
  <si>
    <t>final notu</t>
  </si>
  <si>
    <t>Cinsiyet</t>
  </si>
  <si>
    <t>Erkek</t>
  </si>
  <si>
    <t>Kadın</t>
  </si>
  <si>
    <t>Diğer</t>
  </si>
  <si>
    <t>Okul Türü</t>
  </si>
  <si>
    <t>Devlet okulu</t>
  </si>
  <si>
    <t>Özel okul</t>
  </si>
  <si>
    <t>Yüksek Lisans</t>
  </si>
  <si>
    <t>Lisans</t>
  </si>
  <si>
    <t>Lise</t>
  </si>
  <si>
    <t>Okur yazar değil</t>
  </si>
  <si>
    <t>Ön Lisans</t>
  </si>
  <si>
    <t>Doktora</t>
  </si>
  <si>
    <t>Ders Çalışma Süresi</t>
  </si>
  <si>
    <t>Katılım Yüzdesi</t>
  </si>
  <si>
    <t>İnternet Erişimi</t>
  </si>
  <si>
    <t>Var</t>
  </si>
  <si>
    <t>Yok</t>
  </si>
  <si>
    <t>Extra Aktivite</t>
  </si>
  <si>
    <t>Not Alarak</t>
  </si>
  <si>
    <t>Ders Kitabı</t>
  </si>
  <si>
    <t>Grup Çalışması</t>
  </si>
  <si>
    <t>Bireysel Koçluk</t>
  </si>
  <si>
    <t>Karma Yöntem</t>
  </si>
  <si>
    <t>Çalışma Methodu</t>
  </si>
  <si>
    <t>Matematik Notu</t>
  </si>
  <si>
    <t>Fen Notu</t>
  </si>
  <si>
    <t>İngilizce Notu</t>
  </si>
  <si>
    <t>Ortalama</t>
  </si>
  <si>
    <t>Harf Notu</t>
  </si>
  <si>
    <t>Telefonda Geçirilen Süre</t>
  </si>
  <si>
    <t>Ebeveyn Öğrenim Durumu</t>
  </si>
  <si>
    <t>Yaş</t>
  </si>
  <si>
    <t>Öğrenci ID</t>
  </si>
  <si>
    <t>Çalışma Stili</t>
  </si>
  <si>
    <t>Sütun Etiketleri</t>
  </si>
  <si>
    <t>A</t>
  </si>
  <si>
    <t>B</t>
  </si>
  <si>
    <t>C</t>
  </si>
  <si>
    <t>D</t>
  </si>
  <si>
    <t>F</t>
  </si>
  <si>
    <t>Genel Toplam</t>
  </si>
  <si>
    <t>Satır Etiketleri</t>
  </si>
  <si>
    <t>Ortalama Telefonda Geçirilen Süre</t>
  </si>
  <si>
    <t>(Birden Çok Öğe)</t>
  </si>
  <si>
    <t>Say Öğrenci ID</t>
  </si>
  <si>
    <t>Ortalama Ortalama</t>
  </si>
  <si>
    <t>Ortalama Matematik Notu</t>
  </si>
  <si>
    <t>Ortalama Fen Notu</t>
  </si>
  <si>
    <t>Ortalama İngilizce Notu</t>
  </si>
  <si>
    <t>Mat&gt;ortalama?</t>
  </si>
  <si>
    <t>Evet</t>
  </si>
  <si>
    <t>sorgular</t>
  </si>
  <si>
    <t>sorular</t>
  </si>
  <si>
    <t xml:space="preserve">soru1 </t>
  </si>
  <si>
    <t>soru 9</t>
  </si>
  <si>
    <t>soru 10</t>
  </si>
  <si>
    <t>soru 2</t>
  </si>
  <si>
    <t xml:space="preserve">soru 3 </t>
  </si>
  <si>
    <t>soru 4</t>
  </si>
  <si>
    <t>soru 5</t>
  </si>
  <si>
    <t>soru 6</t>
  </si>
  <si>
    <t>soru 7</t>
  </si>
  <si>
    <t>soru 8</t>
  </si>
  <si>
    <t>Mat&lt;ortalama?</t>
  </si>
  <si>
    <t>Ebeveyn eğitim durumuna göre çalışma stilleri</t>
  </si>
  <si>
    <t>Katılımı yüksek ama ortalaması düşük öğrencilerin çalışma stilleri</t>
  </si>
  <si>
    <t>İnternet erişimi ile ortalama puanların ilişkisi</t>
  </si>
  <si>
    <t>Matematik notu ortalamasından düşük olan öğrencilerin çalışma saatleri</t>
  </si>
  <si>
    <t>Ekstra aktivite yapanların cinsiyet bazında dağılımı</t>
  </si>
  <si>
    <t>Final notlarının cinsiyete göre kıyaslanması</t>
  </si>
  <si>
    <t>Koç desteği alan öğrencilerin okul türleri</t>
  </si>
  <si>
    <t>Sosyal medyada geçirilen sürenin puanlara etkisi</t>
  </si>
  <si>
    <t>Ortalaması 85 üstü olan öğrencilerin çalışma stilleri</t>
  </si>
  <si>
    <t>Harf notuna göre öğrencilerin telefonda geçirdiği ortalama süre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</si>
</sst>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6"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colors>
    <mruColors>
      <color rgb="FFFFDDEE"/>
      <color rgb="FFFDEDFB"/>
      <color rgb="FFFFBD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[RumeysaYilmaz_OgrenciPerfAnalizi_guncel.xlsx]HARFNOTU_F_OLANLARINTELEFONDAGE!PivotTable1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Harf notu</a:t>
            </a:r>
            <a:r>
              <a:rPr lang="tr-TR"/>
              <a:t>na</a:t>
            </a:r>
            <a:r>
              <a:rPr lang="tr-TR" baseline="0"/>
              <a:t> göre</a:t>
            </a:r>
            <a:r>
              <a:rPr lang="en-US"/>
              <a:t> öğrencilerin telefonda geçirdiği ortalama süre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HARFNOTU_F_OLANLARINTELEFONDAGE!$B$3</c:f>
              <c:strCache>
                <c:ptCount val="1"/>
                <c:pt idx="0">
                  <c:v>Toplam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HARFNOTU_F_OLANLARINTELEFONDAGE!$A$4:$A$9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HARFNOTU_F_OLANLARINTELEFONDAGE!$B$4:$B$9</c:f>
              <c:numCache>
                <c:formatCode>General</c:formatCode>
                <c:ptCount val="5"/>
                <c:pt idx="0">
                  <c:v>38.75</c:v>
                </c:pt>
                <c:pt idx="1">
                  <c:v>32.916666666666664</c:v>
                </c:pt>
                <c:pt idx="2">
                  <c:v>36.75</c:v>
                </c:pt>
                <c:pt idx="3">
                  <c:v>37.840909090909093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1-4BE8-8891-E79E2C8CE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0500224"/>
        <c:axId val="1180496864"/>
        <c:axId val="0"/>
      </c:bar3DChart>
      <c:catAx>
        <c:axId val="118050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80496864"/>
        <c:crosses val="autoZero"/>
        <c:auto val="1"/>
        <c:lblAlgn val="ctr"/>
        <c:lblOffset val="100"/>
        <c:noMultiLvlLbl val="0"/>
      </c:catAx>
      <c:valAx>
        <c:axId val="1180496864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8050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[RumeysaYilmaz_OgrenciPerfAnalizi_guncel.xlsx]ORTALAMASI85ÜSTÜOLANÖĞRENCİLERİ!PivotTable2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Ortalaması  85 üstü olan öğrencilerin çalışma stilleri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ORTALAMASI85ÜSTÜOLANÖĞRENCİLERİ!$B$3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7-48EA-A19A-0BACFD50E1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7-48EA-A19A-0BACFD50E1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67-48EA-A19A-0BACFD50E1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7-48EA-A19A-0BACFD50E1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067-48EA-A19A-0BACFD50E1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067-48EA-A19A-0BACFD50E1AC}"/>
              </c:ext>
            </c:extLst>
          </c:dPt>
          <c:cat>
            <c:strRef>
              <c:f>ORTALAMASI85ÜSTÜOLANÖĞRENCİLERİ!$A$4:$A$10</c:f>
              <c:strCache>
                <c:ptCount val="6"/>
                <c:pt idx="0">
                  <c:v>Bireysel Koçluk</c:v>
                </c:pt>
                <c:pt idx="1">
                  <c:v>Ders Kitabı</c:v>
                </c:pt>
                <c:pt idx="2">
                  <c:v>Grup Çalışması</c:v>
                </c:pt>
                <c:pt idx="3">
                  <c:v>Karma Yöntem</c:v>
                </c:pt>
                <c:pt idx="4">
                  <c:v>Not Alarak</c:v>
                </c:pt>
                <c:pt idx="5">
                  <c:v>online videos</c:v>
                </c:pt>
              </c:strCache>
            </c:strRef>
          </c:cat>
          <c:val>
            <c:numRef>
              <c:f>ORTALAMASI85ÜSTÜOLANÖĞRENCİLERİ!$B$4:$B$10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1-47A7-9437-8B32DB713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[RumeysaYilmaz_OgrenciPerfAnalizi_guncel.xlsx]SOSYALMEDYADAGEÇİRİLENSÜRENİNPU!PivotTable4</c:name>
    <c:fmtId val="0"/>
  </c:pivotSource>
  <c:chart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SOSYALMEDYADAGEÇİRİLENSÜRENİNPU!$B$3</c:f>
              <c:strCache>
                <c:ptCount val="1"/>
                <c:pt idx="0">
                  <c:v>Ortalama Matematik Notu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SOSYALMEDYADAGEÇİRİLENSÜRENİNPU!$A$4:$A$8</c:f>
              <c:strCache>
                <c:ptCount val="4"/>
                <c:pt idx="0">
                  <c:v>10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</c:strCache>
            </c:strRef>
          </c:cat>
          <c:val>
            <c:numRef>
              <c:f>SOSYALMEDYADAGEÇİRİLENSÜRENİNPU!$B$4:$B$8</c:f>
              <c:numCache>
                <c:formatCode>0.0</c:formatCode>
                <c:ptCount val="4"/>
                <c:pt idx="0">
                  <c:v>66.278481012658233</c:v>
                </c:pt>
                <c:pt idx="1">
                  <c:v>65.864197530864203</c:v>
                </c:pt>
                <c:pt idx="2">
                  <c:v>65.023255813953483</c:v>
                </c:pt>
                <c:pt idx="3">
                  <c:v>66.726027397260268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8-4365-9D0A-F2FCA061F7B3}"/>
            </c:ext>
          </c:extLst>
        </c:ser>
        <c:ser>
          <c:idx val="1"/>
          <c:order val="1"/>
          <c:tx>
            <c:strRef>
              <c:f>SOSYALMEDYADAGEÇİRİLENSÜRENİNPU!$C$3</c:f>
              <c:strCache>
                <c:ptCount val="1"/>
                <c:pt idx="0">
                  <c:v>Ortalama Fen Notu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SOSYALMEDYADAGEÇİRİLENSÜRENİNPU!$A$4:$A$8</c:f>
              <c:strCache>
                <c:ptCount val="4"/>
                <c:pt idx="0">
                  <c:v>10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</c:strCache>
            </c:strRef>
          </c:cat>
          <c:val>
            <c:numRef>
              <c:f>SOSYALMEDYADAGEÇİRİLENSÜRENİNPU!$C$4:$C$8</c:f>
              <c:numCache>
                <c:formatCode>0.0</c:formatCode>
                <c:ptCount val="4"/>
                <c:pt idx="0">
                  <c:v>60.569620253164558</c:v>
                </c:pt>
                <c:pt idx="1">
                  <c:v>63.074074074074076</c:v>
                </c:pt>
                <c:pt idx="2">
                  <c:v>60.534883720930232</c:v>
                </c:pt>
                <c:pt idx="3">
                  <c:v>59.945205479452056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8-4365-9D0A-F2FCA061F7B3}"/>
            </c:ext>
          </c:extLst>
        </c:ser>
        <c:ser>
          <c:idx val="2"/>
          <c:order val="2"/>
          <c:tx>
            <c:strRef>
              <c:f>SOSYALMEDYADAGEÇİRİLENSÜRENİNPU!$D$3</c:f>
              <c:strCache>
                <c:ptCount val="1"/>
                <c:pt idx="0">
                  <c:v>Ortalama İngilizce Notu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SOSYALMEDYADAGEÇİRİLENSÜRENİNPU!$A$4:$A$8</c:f>
              <c:strCache>
                <c:ptCount val="4"/>
                <c:pt idx="0">
                  <c:v>10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</c:strCache>
            </c:strRef>
          </c:cat>
          <c:val>
            <c:numRef>
              <c:f>SOSYALMEDYADAGEÇİRİLENSÜRENİNPU!$D$4:$D$8</c:f>
              <c:numCache>
                <c:formatCode>0.0</c:formatCode>
                <c:ptCount val="4"/>
                <c:pt idx="0">
                  <c:v>69.949367088607602</c:v>
                </c:pt>
                <c:pt idx="1">
                  <c:v>72.679012345679013</c:v>
                </c:pt>
                <c:pt idx="2">
                  <c:v>70.348837209302332</c:v>
                </c:pt>
                <c:pt idx="3">
                  <c:v>72.095890410958901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8-4365-9D0A-F2FCA061F7B3}"/>
            </c:ext>
          </c:extLst>
        </c:ser>
        <c:ser>
          <c:idx val="3"/>
          <c:order val="3"/>
          <c:tx>
            <c:strRef>
              <c:f>SOSYALMEDYADAGEÇİRİLENSÜRENİNPU!$E$3</c:f>
              <c:strCache>
                <c:ptCount val="1"/>
                <c:pt idx="0">
                  <c:v>Ortalama Ortalama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SOSYALMEDYADAGEÇİRİLENSÜRENİNPU!$A$4:$A$8</c:f>
              <c:strCache>
                <c:ptCount val="4"/>
                <c:pt idx="0">
                  <c:v>10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</c:strCache>
            </c:strRef>
          </c:cat>
          <c:val>
            <c:numRef>
              <c:f>SOSYALMEDYADAGEÇİRİLENSÜRENİNPU!$E$4:$E$8</c:f>
              <c:numCache>
                <c:formatCode>0.0</c:formatCode>
                <c:ptCount val="4"/>
                <c:pt idx="0">
                  <c:v>65.599156118143455</c:v>
                </c:pt>
                <c:pt idx="1">
                  <c:v>67.205761316872426</c:v>
                </c:pt>
                <c:pt idx="2">
                  <c:v>65.302325581395323</c:v>
                </c:pt>
                <c:pt idx="3">
                  <c:v>66.255707762557051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A8-4365-9D0A-F2FCA061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99306176"/>
        <c:axId val="1399309536"/>
      </c:barChart>
      <c:catAx>
        <c:axId val="139930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9309536"/>
        <c:crosses val="autoZero"/>
        <c:auto val="1"/>
        <c:lblAlgn val="ctr"/>
        <c:lblOffset val="100"/>
        <c:noMultiLvlLbl val="0"/>
      </c:catAx>
      <c:valAx>
        <c:axId val="13993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930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[RumeysaYilmaz_OgrenciPerfAnalizi_guncel.xlsx]KOÇDESTEĞİALANÖĞRENCİLERİNOKULT!PivotTable5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Koç</a:t>
            </a:r>
            <a:r>
              <a:rPr lang="tr-TR" baseline="0"/>
              <a:t> desteği alan öğrencilerin okul türleri</a:t>
            </a:r>
          </a:p>
          <a:p>
            <a:pPr>
              <a:defRPr/>
            </a:pPr>
            <a:endParaRPr lang="tr-TR"/>
          </a:p>
        </c:rich>
      </c:tx>
      <c:layout>
        <c:manualLayout>
          <c:xMode val="edge"/>
          <c:yMode val="edge"/>
          <c:x val="0.1377985564304462"/>
          <c:y val="0.19703266258384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KOÇDESTEĞİALANÖĞRENCİLERİNOKULT!$B$3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D8-4795-A8D3-4AB912481579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D8-4795-A8D3-4AB9124815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KOÇDESTEĞİALANÖĞRENCİLERİNOKULT!$A$4:$A$6</c:f>
              <c:strCache>
                <c:ptCount val="2"/>
                <c:pt idx="0">
                  <c:v>Devlet okulu</c:v>
                </c:pt>
                <c:pt idx="1">
                  <c:v>Özel okul</c:v>
                </c:pt>
              </c:strCache>
            </c:strRef>
          </c:cat>
          <c:val>
            <c:numRef>
              <c:f>KOÇDESTEĞİALANÖĞRENCİLERİNOKULT!$B$4:$B$6</c:f>
              <c:numCache>
                <c:formatCode>General</c:formatCode>
                <c:ptCount val="2"/>
                <c:pt idx="0">
                  <c:v>19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9-4C00-B00C-3D573A84E95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[RumeysaYilmaz_OgrenciPerfAnalizi_guncel.xlsx]FİNALNOTLARININCİNSİYETEGÖREKIY!PivotTable6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final</a:t>
            </a:r>
            <a:r>
              <a:rPr lang="tr-TR" baseline="0"/>
              <a:t> notlarınıın cinsiyete göre kıyaslanması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965226383429953E-2"/>
          <c:y val="0.27661818314377368"/>
          <c:w val="0.79460870516185478"/>
          <c:h val="0.58496609798775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FİNALNOTLARININCİNSİYETEGÖREKIY!$B$3</c:f>
              <c:strCache>
                <c:ptCount val="1"/>
                <c:pt idx="0">
                  <c:v>Toplam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FİNALNOTLARININCİNSİYETEGÖREKIY!$A$4:$A$7</c:f>
              <c:strCache>
                <c:ptCount val="3"/>
                <c:pt idx="0">
                  <c:v>Diğer</c:v>
                </c:pt>
                <c:pt idx="1">
                  <c:v>Erkek</c:v>
                </c:pt>
                <c:pt idx="2">
                  <c:v>Kadın</c:v>
                </c:pt>
              </c:strCache>
            </c:strRef>
          </c:cat>
          <c:val>
            <c:numRef>
              <c:f>FİNALNOTLARININCİNSİYETEGÖREKIY!$B$4:$B$7</c:f>
              <c:numCache>
                <c:formatCode>0.0</c:formatCode>
                <c:ptCount val="3"/>
                <c:pt idx="0">
                  <c:v>65.508771929824519</c:v>
                </c:pt>
                <c:pt idx="1">
                  <c:v>64.051779935275093</c:v>
                </c:pt>
                <c:pt idx="2">
                  <c:v>68.758169934640534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9-4D97-8DD5-82C2282BF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25751968"/>
        <c:axId val="1325750048"/>
      </c:barChart>
      <c:catAx>
        <c:axId val="132575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25750048"/>
        <c:crosses val="autoZero"/>
        <c:auto val="1"/>
        <c:lblAlgn val="ctr"/>
        <c:lblOffset val="100"/>
        <c:noMultiLvlLbl val="0"/>
      </c:catAx>
      <c:valAx>
        <c:axId val="132575004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2575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[RumeysaYilmaz_OgrenciPerfAnalizi_guncel.xlsx]EKSTRAAKTİVİTEYAPANKADINVEERKEK!PivotTable7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tr-TR"/>
              <a:t>Ekstra</a:t>
            </a:r>
            <a:r>
              <a:rPr lang="tr-TR" baseline="0"/>
              <a:t> aktivite yapanların cinsiyet bazında dağılımı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EKSTRAAKTİVİTEYAPANKADINVEERKEK!$B$3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EKSTRAAKTİVİTEYAPANKADINVEERKEK!$A$4:$A$7</c:f>
              <c:strCache>
                <c:ptCount val="3"/>
                <c:pt idx="0">
                  <c:v>Diğer</c:v>
                </c:pt>
                <c:pt idx="1">
                  <c:v>Erkek</c:v>
                </c:pt>
                <c:pt idx="2">
                  <c:v>Kadın</c:v>
                </c:pt>
              </c:strCache>
            </c:strRef>
          </c:cat>
          <c:val>
            <c:numRef>
              <c:f>EKSTRAAKTİVİTEYAPANKADINVEERKEK!$B$4:$B$7</c:f>
              <c:numCache>
                <c:formatCode>General</c:formatCode>
                <c:ptCount val="3"/>
                <c:pt idx="0">
                  <c:v>46</c:v>
                </c:pt>
                <c:pt idx="1">
                  <c:v>52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2-4A75-BFA1-A97910E2A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401127968"/>
        <c:axId val="1401128448"/>
      </c:barChart>
      <c:catAx>
        <c:axId val="140112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1128448"/>
        <c:crosses val="autoZero"/>
        <c:auto val="1"/>
        <c:lblAlgn val="ctr"/>
        <c:lblOffset val="100"/>
        <c:noMultiLvlLbl val="0"/>
      </c:catAx>
      <c:valAx>
        <c:axId val="140112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11279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[RumeysaYilmaz_OgrenciPerfAnalizi_guncel.xlsx]MAT&lt;ORT_OLANLARINÇALIŞMASAATLER!PivotTable11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Mat. notu ortalamasından düşük olan öğrencilerin çalışma saatleri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'MAT&lt;ORT_OLANLARINÇALIŞMASAATLER'!$B$3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4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04-4839-BBAE-5CBE5FC5DF8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04-4839-BBAE-5CBE5FC5DF8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8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04-4839-BBAE-5CBE5FC5DF8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904-4839-BBAE-5CBE5FC5DF8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tint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904-4839-BBAE-5CBE5FC5DF8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904-4839-BBAE-5CBE5FC5DF8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tint val="4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904-4839-BBAE-5CBE5FC5DF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'MAT&lt;ORT_OLANLARINÇALIŞMASAATLER'!$A$4:$A$11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'MAT&lt;ORT_OLANLARINÇALIŞMASAATLER'!$B$4:$B$11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32</c:v>
                </c:pt>
                <c:pt idx="3">
                  <c:v>20</c:v>
                </c:pt>
                <c:pt idx="4">
                  <c:v>16</c:v>
                </c:pt>
                <c:pt idx="5">
                  <c:v>28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6-4B77-BB9C-F7F081F360BC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[RumeysaYilmaz_OgrenciPerfAnalizi_guncel.xlsx]İNTERNETERİŞİMİNEGÖREORTALAMAPA!PivotTable10</c:name>
    <c:fmtId val="0"/>
  </c:pivotSource>
  <c:chart>
    <c:autoTitleDeleted val="0"/>
    <c:pivotFmts>
      <c:pivotFmt>
        <c:idx val="0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İNTERNETERİŞİMİNEGÖREORTALAMAPA!$B$3</c:f>
              <c:strCache>
                <c:ptCount val="1"/>
                <c:pt idx="0">
                  <c:v>Ortalama Ortalama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shade val="76000"/>
                  </a:schemeClr>
                </a:gs>
                <a:gs pos="75000">
                  <a:schemeClr val="accent5">
                    <a:shade val="76000"/>
                    <a:lumMod val="60000"/>
                    <a:lumOff val="40000"/>
                  </a:schemeClr>
                </a:gs>
                <a:gs pos="51000">
                  <a:schemeClr val="accent5">
                    <a:shade val="76000"/>
                    <a:alpha val="75000"/>
                  </a:schemeClr>
                </a:gs>
                <a:gs pos="100000">
                  <a:schemeClr val="accent5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İNTERNETERİŞİMİNEGÖREORTALAMAPA!$A$4:$A$6</c:f>
              <c:strCache>
                <c:ptCount val="2"/>
                <c:pt idx="0">
                  <c:v>Var</c:v>
                </c:pt>
                <c:pt idx="1">
                  <c:v>Yok</c:v>
                </c:pt>
              </c:strCache>
            </c:strRef>
          </c:cat>
          <c:val>
            <c:numRef>
              <c:f>İNTERNETERİŞİMİNEGÖREORTALAMAPA!$B$4:$B$6</c:f>
              <c:numCache>
                <c:formatCode>General</c:formatCode>
                <c:ptCount val="2"/>
                <c:pt idx="0">
                  <c:v>66.09999999999998</c:v>
                </c:pt>
                <c:pt idx="1">
                  <c:v>65.952380952380963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E-4E47-811C-9D99ACEB7F96}"/>
            </c:ext>
          </c:extLst>
        </c:ser>
        <c:ser>
          <c:idx val="1"/>
          <c:order val="1"/>
          <c:tx>
            <c:strRef>
              <c:f>İNTERNETERİŞİMİNEGÖREORTALAMAPA!$C$3</c:f>
              <c:strCache>
                <c:ptCount val="1"/>
                <c:pt idx="0">
                  <c:v>Say Öğrenci ID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tint val="77000"/>
                  </a:schemeClr>
                </a:gs>
                <a:gs pos="75000">
                  <a:schemeClr val="accent5">
                    <a:tint val="77000"/>
                    <a:lumMod val="60000"/>
                    <a:lumOff val="40000"/>
                  </a:schemeClr>
                </a:gs>
                <a:gs pos="51000">
                  <a:schemeClr val="accent5">
                    <a:tint val="77000"/>
                    <a:alpha val="75000"/>
                  </a:schemeClr>
                </a:gs>
                <a:gs pos="100000">
                  <a:schemeClr val="accent5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İNTERNETERİŞİMİNEGÖREORTALAMAPA!$A$4:$A$6</c:f>
              <c:strCache>
                <c:ptCount val="2"/>
                <c:pt idx="0">
                  <c:v>Var</c:v>
                </c:pt>
                <c:pt idx="1">
                  <c:v>Yok</c:v>
                </c:pt>
              </c:strCache>
            </c:strRef>
          </c:cat>
          <c:val>
            <c:numRef>
              <c:f>İNTERNETERİŞİMİNEGÖREORTALAMAPA!$C$4:$C$6</c:f>
              <c:numCache>
                <c:formatCode>General</c:formatCode>
                <c:ptCount val="2"/>
                <c:pt idx="0">
                  <c:v>270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E-4E47-811C-9D99ACEB7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62568016"/>
        <c:axId val="62568976"/>
      </c:barChart>
      <c:catAx>
        <c:axId val="6256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568976"/>
        <c:crosses val="autoZero"/>
        <c:auto val="1"/>
        <c:lblAlgn val="ctr"/>
        <c:lblOffset val="100"/>
        <c:noMultiLvlLbl val="0"/>
      </c:catAx>
      <c:valAx>
        <c:axId val="62568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56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[RumeysaYilmaz_OgrenciPerfAnalizi_guncel.xlsx]KATILIMYÜKSEKAMAORTALAMASIDÜŞÜK!PivotTable12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Katılımı</a:t>
            </a:r>
            <a:r>
              <a:rPr lang="tr-TR" baseline="0"/>
              <a:t> yüksek ama ortalaması düşük öğrencilerin çalışma stilleri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KATILIMYÜKSEKAMAORTALAMASIDÜŞÜK!$B$4</c:f>
              <c:strCache>
                <c:ptCount val="1"/>
                <c:pt idx="0">
                  <c:v>Toplam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KATILIMYÜKSEKAMAORTALAMASIDÜŞÜK!$A$5:$A$11</c:f>
              <c:strCache>
                <c:ptCount val="6"/>
                <c:pt idx="0">
                  <c:v>Bireysel Koçluk</c:v>
                </c:pt>
                <c:pt idx="1">
                  <c:v>Ders Kitabı</c:v>
                </c:pt>
                <c:pt idx="2">
                  <c:v>Grup Çalışması</c:v>
                </c:pt>
                <c:pt idx="3">
                  <c:v>Karma Yöntem</c:v>
                </c:pt>
                <c:pt idx="4">
                  <c:v>Not Alarak</c:v>
                </c:pt>
                <c:pt idx="5">
                  <c:v>online videos</c:v>
                </c:pt>
              </c:strCache>
            </c:strRef>
          </c:cat>
          <c:val>
            <c:numRef>
              <c:f>KATILIMYÜKSEKAMAORTALAMASIDÜŞÜK!$B$5:$B$11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0-44C5-8A7D-F5F912C90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75232"/>
        <c:axId val="62974272"/>
      </c:barChart>
      <c:catAx>
        <c:axId val="6297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974272"/>
        <c:crosses val="autoZero"/>
        <c:auto val="1"/>
        <c:lblAlgn val="ctr"/>
        <c:lblOffset val="100"/>
        <c:noMultiLvlLbl val="0"/>
      </c:catAx>
      <c:valAx>
        <c:axId val="6297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9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[RumeysaYilmaz_OgrenciPerfAnalizi_guncel.xlsx]EBEVEYNEĞİTİMDURUMUVEÇALIŞMASTİ!PivotTable13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2370701815218561"/>
          <c:y val="0.27825406016841026"/>
          <c:w val="0.35880699360922186"/>
          <c:h val="0.58304806064244541"/>
        </c:manualLayout>
      </c:layout>
      <c:pieChart>
        <c:varyColors val="1"/>
        <c:ser>
          <c:idx val="0"/>
          <c:order val="0"/>
          <c:tx>
            <c:strRef>
              <c:f>EBEVEYNEĞİTİMDURUMUVEÇALIŞMASTİ!$B$3:$B$4</c:f>
              <c:strCache>
                <c:ptCount val="1"/>
                <c:pt idx="0">
                  <c:v>Bireysel Koçluk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76-4B52-94D4-553BD9941C56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76-4B52-94D4-553BD9941C56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76-4B52-94D4-553BD9941C56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76-4B52-94D4-553BD9941C56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976-4B52-94D4-553BD9941C56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976-4B52-94D4-553BD9941C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EBEVEYNEĞİTİMDURUMUVEÇALIŞMASTİ!$B$5:$B$11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6-4215-8154-63A0F80185C1}"/>
            </c:ext>
          </c:extLst>
        </c:ser>
        <c:ser>
          <c:idx val="1"/>
          <c:order val="1"/>
          <c:tx>
            <c:strRef>
              <c:f>EBEVEYNEĞİTİMDURUMUVEÇALIŞMASTİ!$C$3:$C$4</c:f>
              <c:strCache>
                <c:ptCount val="1"/>
                <c:pt idx="0">
                  <c:v>Ders Kitabı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814-4A8D-AEDD-75E4792E30B0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814-4A8D-AEDD-75E4792E30B0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814-4A8D-AEDD-75E4792E30B0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814-4A8D-AEDD-75E4792E30B0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814-4A8D-AEDD-75E4792E30B0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814-4A8D-AEDD-75E4792E3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EBEVEYNEĞİTİMDURUMUVEÇALIŞMASTİ!$C$5:$C$11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78-4131-8050-50E0FE8FDFAF}"/>
            </c:ext>
          </c:extLst>
        </c:ser>
        <c:ser>
          <c:idx val="2"/>
          <c:order val="2"/>
          <c:tx>
            <c:strRef>
              <c:f>EBEVEYNEĞİTİMDURUMUVEÇALIŞMASTİ!$D$3:$D$4</c:f>
              <c:strCache>
                <c:ptCount val="1"/>
                <c:pt idx="0">
                  <c:v>Grup Çalışması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814-4A8D-AEDD-75E4792E30B0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814-4A8D-AEDD-75E4792E30B0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814-4A8D-AEDD-75E4792E30B0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814-4A8D-AEDD-75E4792E30B0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814-4A8D-AEDD-75E4792E30B0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814-4A8D-AEDD-75E4792E3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EBEVEYNEĞİTİMDURUMUVEÇALIŞMASTİ!$D$5:$D$11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10</c:v>
                </c:pt>
                <c:pt idx="3">
                  <c:v>6</c:v>
                </c:pt>
                <c:pt idx="4">
                  <c:v>14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F78-4131-8050-50E0FE8FDFAF}"/>
            </c:ext>
          </c:extLst>
        </c:ser>
        <c:ser>
          <c:idx val="3"/>
          <c:order val="3"/>
          <c:tx>
            <c:strRef>
              <c:f>EBEVEYNEĞİTİMDURUMUVEÇALIŞMASTİ!$E$3:$E$4</c:f>
              <c:strCache>
                <c:ptCount val="1"/>
                <c:pt idx="0">
                  <c:v>Karma Yöntem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814-4A8D-AEDD-75E4792E30B0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814-4A8D-AEDD-75E4792E30B0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814-4A8D-AEDD-75E4792E30B0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2814-4A8D-AEDD-75E4792E30B0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2814-4A8D-AEDD-75E4792E30B0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2814-4A8D-AEDD-75E4792E3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EBEVEYNEĞİTİMDURUMUVEÇALIŞMASTİ!$E$5:$E$11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  <c:pt idx="4">
                  <c:v>17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F78-4131-8050-50E0FE8FDFAF}"/>
            </c:ext>
          </c:extLst>
        </c:ser>
        <c:ser>
          <c:idx val="4"/>
          <c:order val="4"/>
          <c:tx>
            <c:strRef>
              <c:f>EBEVEYNEĞİTİMDURUMUVEÇALIŞMASTİ!$F$3:$F$4</c:f>
              <c:strCache>
                <c:ptCount val="1"/>
                <c:pt idx="0">
                  <c:v>Not Alarak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2814-4A8D-AEDD-75E4792E30B0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2814-4A8D-AEDD-75E4792E30B0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2814-4A8D-AEDD-75E4792E30B0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2814-4A8D-AEDD-75E4792E30B0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2814-4A8D-AEDD-75E4792E30B0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2814-4A8D-AEDD-75E4792E3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EBEVEYNEĞİTİMDURUMUVEÇALIŞMASTİ!$F$5:$F$11</c:f>
              <c:numCache>
                <c:formatCode>General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F78-4131-8050-50E0FE8FDFAF}"/>
            </c:ext>
          </c:extLst>
        </c:ser>
        <c:ser>
          <c:idx val="5"/>
          <c:order val="5"/>
          <c:tx>
            <c:strRef>
              <c:f>EBEVEYNEĞİTİMDURUMUVEÇALIŞMASTİ!$G$3:$G$4</c:f>
              <c:strCache>
                <c:ptCount val="1"/>
                <c:pt idx="0">
                  <c:v>online videos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2814-4A8D-AEDD-75E4792E30B0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2814-4A8D-AEDD-75E4792E30B0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2814-4A8D-AEDD-75E4792E30B0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2814-4A8D-AEDD-75E4792E30B0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2814-4A8D-AEDD-75E4792E30B0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2814-4A8D-AEDD-75E4792E3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EBEVEYNEĞİTİMDURUMUVEÇALIŞMASTİ!$G$5:$G$11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F78-4131-8050-50E0FE8FDFA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[RumeysaYilmaz_OgrenciPerfAnalizi_guncel.xlsx]ORTALAMASI85ÜSTÜOLANÖĞRENCİLERİ!PivotTable2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ORTALAMASI85ÜSTÜOLANÖĞRENCİLERİ!$B$3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D3-4620-9CE6-D721B0A889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D3-4620-9CE6-D721B0A889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D3-4620-9CE6-D721B0A889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D3-4620-9CE6-D721B0A889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D3-4620-9CE6-D721B0A889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8D3-4620-9CE6-D721B0A88942}"/>
              </c:ext>
            </c:extLst>
          </c:dPt>
          <c:cat>
            <c:strRef>
              <c:f>ORTALAMASI85ÜSTÜOLANÖĞRENCİLERİ!$A$4:$A$10</c:f>
              <c:strCache>
                <c:ptCount val="6"/>
                <c:pt idx="0">
                  <c:v>Bireysel Koçluk</c:v>
                </c:pt>
                <c:pt idx="1">
                  <c:v>Ders Kitabı</c:v>
                </c:pt>
                <c:pt idx="2">
                  <c:v>Grup Çalışması</c:v>
                </c:pt>
                <c:pt idx="3">
                  <c:v>Karma Yöntem</c:v>
                </c:pt>
                <c:pt idx="4">
                  <c:v>Not Alarak</c:v>
                </c:pt>
                <c:pt idx="5">
                  <c:v>online videos</c:v>
                </c:pt>
              </c:strCache>
            </c:strRef>
          </c:cat>
          <c:val>
            <c:numRef>
              <c:f>ORTALAMASI85ÜSTÜOLANÖĞRENCİLERİ!$B$4:$B$10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D3-4620-9CE6-D721B0A88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[RumeysaYilmaz_OgrenciPerfAnalizi_guncel.xlsx]EBEVEYNEĞİTİMDURUMUVEÇALIŞMASTİ!PivotTable13</c:name>
    <c:fmtId val="5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6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7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9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2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4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EBEVEYNEĞİTİMDURUMUVEÇALIŞMASTİ!$B$3:$B$4</c:f>
              <c:strCache>
                <c:ptCount val="1"/>
                <c:pt idx="0">
                  <c:v>Bireysel Koçluk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BD-437C-845D-B6E6CCD83965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BD-437C-845D-B6E6CCD83965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BD-437C-845D-B6E6CCD83965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FBD-437C-845D-B6E6CCD83965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FBD-437C-845D-B6E6CCD83965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FBD-437C-845D-B6E6CCD839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EBEVEYNEĞİTİMDURUMUVEÇALIŞMASTİ!$B$5:$B$11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10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BD-437C-845D-B6E6CCD83965}"/>
            </c:ext>
          </c:extLst>
        </c:ser>
        <c:ser>
          <c:idx val="1"/>
          <c:order val="1"/>
          <c:tx>
            <c:strRef>
              <c:f>EBEVEYNEĞİTİMDURUMUVEÇALIŞMASTİ!$C$3:$C$4</c:f>
              <c:strCache>
                <c:ptCount val="1"/>
                <c:pt idx="0">
                  <c:v>Ders Kitabı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9E6-4CD0-AD34-971F60675F0E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9E6-4CD0-AD34-971F60675F0E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9E6-4CD0-AD34-971F60675F0E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9E6-4CD0-AD34-971F60675F0E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9E6-4CD0-AD34-971F60675F0E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9E6-4CD0-AD34-971F60675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EBEVEYNEĞİTİMDURUMUVEÇALIŞMASTİ!$C$5:$C$11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84-4BEB-B3D8-9DAFC8EB282C}"/>
            </c:ext>
          </c:extLst>
        </c:ser>
        <c:ser>
          <c:idx val="2"/>
          <c:order val="2"/>
          <c:tx>
            <c:strRef>
              <c:f>EBEVEYNEĞİTİMDURUMUVEÇALIŞMASTİ!$D$3:$D$4</c:f>
              <c:strCache>
                <c:ptCount val="1"/>
                <c:pt idx="0">
                  <c:v>Grup Çalışması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9E6-4CD0-AD34-971F60675F0E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9E6-4CD0-AD34-971F60675F0E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9E6-4CD0-AD34-971F60675F0E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9E6-4CD0-AD34-971F60675F0E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9E6-4CD0-AD34-971F60675F0E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9E6-4CD0-AD34-971F60675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EBEVEYNEĞİTİMDURUMUVEÇALIŞMASTİ!$D$5:$D$11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10</c:v>
                </c:pt>
                <c:pt idx="3">
                  <c:v>6</c:v>
                </c:pt>
                <c:pt idx="4">
                  <c:v>14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84-4BEB-B3D8-9DAFC8EB282C}"/>
            </c:ext>
          </c:extLst>
        </c:ser>
        <c:ser>
          <c:idx val="3"/>
          <c:order val="3"/>
          <c:tx>
            <c:strRef>
              <c:f>EBEVEYNEĞİTİMDURUMUVEÇALIŞMASTİ!$E$3:$E$4</c:f>
              <c:strCache>
                <c:ptCount val="1"/>
                <c:pt idx="0">
                  <c:v>Karma Yöntem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E9E6-4CD0-AD34-971F60675F0E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E9E6-4CD0-AD34-971F60675F0E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E9E6-4CD0-AD34-971F60675F0E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E9E6-4CD0-AD34-971F60675F0E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E9E6-4CD0-AD34-971F60675F0E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E9E6-4CD0-AD34-971F60675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EBEVEYNEĞİTİMDURUMUVEÇALIŞMASTİ!$E$5:$E$11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  <c:pt idx="4">
                  <c:v>17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B84-4BEB-B3D8-9DAFC8EB282C}"/>
            </c:ext>
          </c:extLst>
        </c:ser>
        <c:ser>
          <c:idx val="4"/>
          <c:order val="4"/>
          <c:tx>
            <c:strRef>
              <c:f>EBEVEYNEĞİTİMDURUMUVEÇALIŞMASTİ!$F$3:$F$4</c:f>
              <c:strCache>
                <c:ptCount val="1"/>
                <c:pt idx="0">
                  <c:v>Not Alarak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E9E6-4CD0-AD34-971F60675F0E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E9E6-4CD0-AD34-971F60675F0E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E9E6-4CD0-AD34-971F60675F0E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E9E6-4CD0-AD34-971F60675F0E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E9E6-4CD0-AD34-971F60675F0E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E9E6-4CD0-AD34-971F60675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EBEVEYNEĞİTİMDURUMUVEÇALIŞMASTİ!$F$5:$F$11</c:f>
              <c:numCache>
                <c:formatCode>General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B84-4BEB-B3D8-9DAFC8EB282C}"/>
            </c:ext>
          </c:extLst>
        </c:ser>
        <c:ser>
          <c:idx val="5"/>
          <c:order val="5"/>
          <c:tx>
            <c:strRef>
              <c:f>EBEVEYNEĞİTİMDURUMUVEÇALIŞMASTİ!$G$3:$G$4</c:f>
              <c:strCache>
                <c:ptCount val="1"/>
                <c:pt idx="0">
                  <c:v>online videos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E9E6-4CD0-AD34-971F60675F0E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E9E6-4CD0-AD34-971F60675F0E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E9E6-4CD0-AD34-971F60675F0E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E9E6-4CD0-AD34-971F60675F0E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E9E6-4CD0-AD34-971F60675F0E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E9E6-4CD0-AD34-971F60675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EBEVEYNEĞİTİMDURUMUVEÇALIŞMASTİ!$A$5:$A$11</c:f>
              <c:strCache>
                <c:ptCount val="6"/>
                <c:pt idx="0">
                  <c:v>Doktora</c:v>
                </c:pt>
                <c:pt idx="1">
                  <c:v>Lisans</c:v>
                </c:pt>
                <c:pt idx="2">
                  <c:v>Lise</c:v>
                </c:pt>
                <c:pt idx="3">
                  <c:v>Okur yazar değil</c:v>
                </c:pt>
                <c:pt idx="4">
                  <c:v>Ön Lisans</c:v>
                </c:pt>
                <c:pt idx="5">
                  <c:v>Yüksek Lisans</c:v>
                </c:pt>
              </c:strCache>
            </c:strRef>
          </c:cat>
          <c:val>
            <c:numRef>
              <c:f>EBEVEYNEĞİTİMDURUMUVEÇALIŞMASTİ!$G$5:$G$11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B84-4BEB-B3D8-9DAFC8EB282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[RumeysaYilmaz_OgrenciPerfAnalizi_guncel.xlsx]MAT&lt;ORT_OLANLARINÇALIŞMASAATLER!PivotTable11</c:name>
    <c:fmtId val="1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4">
                  <a:shade val="47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47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4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4">
                  <a:shade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4">
                  <a:shade val="82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hade val="82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shade val="8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4">
                  <a:tint val="83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83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8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4">
                  <a:tint val="65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65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6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4">
                  <a:tint val="48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tint val="48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tint val="4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'MAT&lt;ORT_OLANLARINÇALIŞMASAATLER'!$B$3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4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41-4173-B616-8CF756C32B4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41-4173-B616-8CF756C32B4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8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41-4173-B616-8CF756C32B4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341-4173-B616-8CF756C32B4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tint val="8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341-4173-B616-8CF756C32B4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341-4173-B616-8CF756C32B4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4">
                      <a:tint val="4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341-4173-B616-8CF756C32B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'MAT&lt;ORT_OLANLARINÇALIŞMASAATLER'!$A$4:$A$11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'MAT&lt;ORT_OLANLARINÇALIŞMASAATLER'!$B$4:$B$11</c:f>
              <c:numCache>
                <c:formatCode>General</c:formatCode>
                <c:ptCount val="7"/>
                <c:pt idx="0">
                  <c:v>20</c:v>
                </c:pt>
                <c:pt idx="1">
                  <c:v>20</c:v>
                </c:pt>
                <c:pt idx="2">
                  <c:v>32</c:v>
                </c:pt>
                <c:pt idx="3">
                  <c:v>20</c:v>
                </c:pt>
                <c:pt idx="4">
                  <c:v>16</c:v>
                </c:pt>
                <c:pt idx="5">
                  <c:v>28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41-4173-B616-8CF756C32B4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[RumeysaYilmaz_OgrenciPerfAnalizi_guncel.xlsx]KOÇDESTEĞİALANÖĞRENCİLERİNOKULT!PivotTable5</c:name>
    <c:fmtId val="7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KOÇDESTEĞİALANÖĞRENCİLERİNOKULT!$B$3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4B-4F79-8564-44E6884A6D5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4B-4F79-8564-44E6884A6D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KOÇDESTEĞİALANÖĞRENCİLERİNOKULT!$A$4:$A$6</c:f>
              <c:strCache>
                <c:ptCount val="2"/>
                <c:pt idx="0">
                  <c:v>Devlet okulu</c:v>
                </c:pt>
                <c:pt idx="1">
                  <c:v>Özel okul</c:v>
                </c:pt>
              </c:strCache>
            </c:strRef>
          </c:cat>
          <c:val>
            <c:numRef>
              <c:f>KOÇDESTEĞİALANÖĞRENCİLERİNOKULT!$B$4:$B$6</c:f>
              <c:numCache>
                <c:formatCode>General</c:formatCode>
                <c:ptCount val="2"/>
                <c:pt idx="0">
                  <c:v>19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4B-4F79-8564-44E6884A6D5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[RumeysaYilmaz_OgrenciPerfAnalizi_guncel.xlsx]HARFNOTU_F_OLANLARINTELEFONDAGE!PivotTable1</c:name>
    <c:fmtId val="5"/>
  </c:pivotSource>
  <c:chart>
    <c:autoTitleDeleted val="1"/>
    <c:pivotFmts>
      <c:pivotFmt>
        <c:idx val="0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5"/>
            </a:fgClr>
            <a:bgClr>
              <a:schemeClr val="accent5">
                <a:lumMod val="20000"/>
                <a:lumOff val="80000"/>
              </a:schemeClr>
            </a:bgClr>
          </a:pattFill>
          <a:ln>
            <a:solidFill>
              <a:schemeClr val="accent5"/>
            </a:solidFill>
          </a:ln>
          <a:effectLst/>
          <a:sp3d>
            <a:contourClr>
              <a:schemeClr val="accent5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HARFNOTU_F_OLANLARINTELEFONDAGE!$B$3</c:f>
              <c:strCache>
                <c:ptCount val="1"/>
                <c:pt idx="0">
                  <c:v>Toplam</c:v>
                </c:pt>
              </c:strCache>
            </c:strRef>
          </c:tx>
          <c:spPr>
            <a:pattFill prst="ltDn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solidFill>
                <a:schemeClr val="accent5"/>
              </a:solidFill>
            </a:ln>
            <a:effectLst/>
            <a:sp3d>
              <a:contourClr>
                <a:schemeClr val="accent5"/>
              </a:contourClr>
            </a:sp3d>
          </c:spPr>
          <c:invertIfNegative val="0"/>
          <c:cat>
            <c:strRef>
              <c:f>HARFNOTU_F_OLANLARINTELEFONDAGE!$A$4:$A$9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HARFNOTU_F_OLANLARINTELEFONDAGE!$B$4:$B$9</c:f>
              <c:numCache>
                <c:formatCode>General</c:formatCode>
                <c:ptCount val="5"/>
                <c:pt idx="0">
                  <c:v>38.75</c:v>
                </c:pt>
                <c:pt idx="1">
                  <c:v>32.916666666666664</c:v>
                </c:pt>
                <c:pt idx="2">
                  <c:v>36.75</c:v>
                </c:pt>
                <c:pt idx="3">
                  <c:v>37.840909090909093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1-48B1-87A8-744AE6DCE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0500224"/>
        <c:axId val="1180496864"/>
        <c:axId val="0"/>
      </c:bar3DChart>
      <c:catAx>
        <c:axId val="118050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80496864"/>
        <c:crosses val="autoZero"/>
        <c:auto val="1"/>
        <c:lblAlgn val="ctr"/>
        <c:lblOffset val="100"/>
        <c:noMultiLvlLbl val="0"/>
      </c:catAx>
      <c:valAx>
        <c:axId val="1180496864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8050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[RumeysaYilmaz_OgrenciPerfAnalizi_guncel.xlsx]SOSYALMEDYADAGEÇİRİLENSÜRENİNPU!PivotTable4</c:name>
    <c:fmtId val="6"/>
  </c:pivotSource>
  <c:chart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SOSYALMEDYADAGEÇİRİLENSÜRENİNPU!$B$3</c:f>
              <c:strCache>
                <c:ptCount val="1"/>
                <c:pt idx="0">
                  <c:v>Ortalama Matematik Notu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SOSYALMEDYADAGEÇİRİLENSÜRENİNPU!$A$4:$A$8</c:f>
              <c:strCache>
                <c:ptCount val="4"/>
                <c:pt idx="0">
                  <c:v>10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</c:strCache>
            </c:strRef>
          </c:cat>
          <c:val>
            <c:numRef>
              <c:f>SOSYALMEDYADAGEÇİRİLENSÜRENİNPU!$B$4:$B$8</c:f>
              <c:numCache>
                <c:formatCode>0.0</c:formatCode>
                <c:ptCount val="4"/>
                <c:pt idx="0">
                  <c:v>66.278481012658233</c:v>
                </c:pt>
                <c:pt idx="1">
                  <c:v>65.864197530864203</c:v>
                </c:pt>
                <c:pt idx="2">
                  <c:v>65.023255813953483</c:v>
                </c:pt>
                <c:pt idx="3">
                  <c:v>66.726027397260268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7-4630-A4EE-5DA491C543BA}"/>
            </c:ext>
          </c:extLst>
        </c:ser>
        <c:ser>
          <c:idx val="1"/>
          <c:order val="1"/>
          <c:tx>
            <c:strRef>
              <c:f>SOSYALMEDYADAGEÇİRİLENSÜRENİNPU!$C$3</c:f>
              <c:strCache>
                <c:ptCount val="1"/>
                <c:pt idx="0">
                  <c:v>Ortalama Fen Notu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SOSYALMEDYADAGEÇİRİLENSÜRENİNPU!$A$4:$A$8</c:f>
              <c:strCache>
                <c:ptCount val="4"/>
                <c:pt idx="0">
                  <c:v>10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</c:strCache>
            </c:strRef>
          </c:cat>
          <c:val>
            <c:numRef>
              <c:f>SOSYALMEDYADAGEÇİRİLENSÜRENİNPU!$C$4:$C$8</c:f>
              <c:numCache>
                <c:formatCode>0.0</c:formatCode>
                <c:ptCount val="4"/>
                <c:pt idx="0">
                  <c:v>60.569620253164558</c:v>
                </c:pt>
                <c:pt idx="1">
                  <c:v>63.074074074074076</c:v>
                </c:pt>
                <c:pt idx="2">
                  <c:v>60.534883720930232</c:v>
                </c:pt>
                <c:pt idx="3">
                  <c:v>59.945205479452056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87-4630-A4EE-5DA491C543BA}"/>
            </c:ext>
          </c:extLst>
        </c:ser>
        <c:ser>
          <c:idx val="2"/>
          <c:order val="2"/>
          <c:tx>
            <c:strRef>
              <c:f>SOSYALMEDYADAGEÇİRİLENSÜRENİNPU!$D$3</c:f>
              <c:strCache>
                <c:ptCount val="1"/>
                <c:pt idx="0">
                  <c:v>Ortalama İngilizce Notu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SOSYALMEDYADAGEÇİRİLENSÜRENİNPU!$A$4:$A$8</c:f>
              <c:strCache>
                <c:ptCount val="4"/>
                <c:pt idx="0">
                  <c:v>10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</c:strCache>
            </c:strRef>
          </c:cat>
          <c:val>
            <c:numRef>
              <c:f>SOSYALMEDYADAGEÇİRİLENSÜRENİNPU!$D$4:$D$8</c:f>
              <c:numCache>
                <c:formatCode>0.0</c:formatCode>
                <c:ptCount val="4"/>
                <c:pt idx="0">
                  <c:v>69.949367088607602</c:v>
                </c:pt>
                <c:pt idx="1">
                  <c:v>72.679012345679013</c:v>
                </c:pt>
                <c:pt idx="2">
                  <c:v>70.348837209302332</c:v>
                </c:pt>
                <c:pt idx="3">
                  <c:v>72.095890410958901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87-4630-A4EE-5DA491C543BA}"/>
            </c:ext>
          </c:extLst>
        </c:ser>
        <c:ser>
          <c:idx val="3"/>
          <c:order val="3"/>
          <c:tx>
            <c:strRef>
              <c:f>SOSYALMEDYADAGEÇİRİLENSÜRENİNPU!$E$3</c:f>
              <c:strCache>
                <c:ptCount val="1"/>
                <c:pt idx="0">
                  <c:v>Ortalama Ortalama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SOSYALMEDYADAGEÇİRİLENSÜRENİNPU!$A$4:$A$8</c:f>
              <c:strCache>
                <c:ptCount val="4"/>
                <c:pt idx="0">
                  <c:v>10</c:v>
                </c:pt>
                <c:pt idx="1">
                  <c:v>20</c:v>
                </c:pt>
                <c:pt idx="2">
                  <c:v>45</c:v>
                </c:pt>
                <c:pt idx="3">
                  <c:v>75</c:v>
                </c:pt>
              </c:strCache>
            </c:strRef>
          </c:cat>
          <c:val>
            <c:numRef>
              <c:f>SOSYALMEDYADAGEÇİRİLENSÜRENİNPU!$E$4:$E$8</c:f>
              <c:numCache>
                <c:formatCode>0.0</c:formatCode>
                <c:ptCount val="4"/>
                <c:pt idx="0">
                  <c:v>65.599156118143455</c:v>
                </c:pt>
                <c:pt idx="1">
                  <c:v>67.205761316872426</c:v>
                </c:pt>
                <c:pt idx="2">
                  <c:v>65.302325581395323</c:v>
                </c:pt>
                <c:pt idx="3">
                  <c:v>66.255707762557051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87-4630-A4EE-5DA491C54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399306176"/>
        <c:axId val="1399309536"/>
      </c:barChart>
      <c:catAx>
        <c:axId val="139930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9309536"/>
        <c:crosses val="autoZero"/>
        <c:auto val="1"/>
        <c:lblAlgn val="ctr"/>
        <c:lblOffset val="100"/>
        <c:noMultiLvlLbl val="0"/>
      </c:catAx>
      <c:valAx>
        <c:axId val="139930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930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[RumeysaYilmaz_OgrenciPerfAnalizi_guncel.xlsx]FİNALNOTLARININCİNSİYETEGÖREKIY!PivotTable6</c:name>
    <c:fmtId val="5"/>
  </c:pivotSource>
  <c:chart>
    <c:autoTitleDeleted val="1"/>
    <c:pivotFmts>
      <c:pivotFmt>
        <c:idx val="0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747594050743652E-2"/>
          <c:y val="0.25809966462525519"/>
          <c:w val="0.79460870516185478"/>
          <c:h val="0.584966097987751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FİNALNOTLARININCİNSİYETEGÖREKIY!$B$3</c:f>
              <c:strCache>
                <c:ptCount val="1"/>
                <c:pt idx="0">
                  <c:v>Toplam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FİNALNOTLARININCİNSİYETEGÖREKIY!$A$4:$A$7</c:f>
              <c:strCache>
                <c:ptCount val="3"/>
                <c:pt idx="0">
                  <c:v>Diğer</c:v>
                </c:pt>
                <c:pt idx="1">
                  <c:v>Erkek</c:v>
                </c:pt>
                <c:pt idx="2">
                  <c:v>Kadın</c:v>
                </c:pt>
              </c:strCache>
            </c:strRef>
          </c:cat>
          <c:val>
            <c:numRef>
              <c:f>FİNALNOTLARININCİNSİYETEGÖREKIY!$B$4:$B$7</c:f>
              <c:numCache>
                <c:formatCode>0.0</c:formatCode>
                <c:ptCount val="3"/>
                <c:pt idx="0">
                  <c:v>65.508771929824519</c:v>
                </c:pt>
                <c:pt idx="1">
                  <c:v>64.051779935275093</c:v>
                </c:pt>
                <c:pt idx="2">
                  <c:v>68.758169934640534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8-4B9D-B1EC-200022ABE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25751968"/>
        <c:axId val="1325750048"/>
      </c:barChart>
      <c:catAx>
        <c:axId val="132575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25750048"/>
        <c:crosses val="autoZero"/>
        <c:auto val="1"/>
        <c:lblAlgn val="ctr"/>
        <c:lblOffset val="100"/>
        <c:noMultiLvlLbl val="0"/>
      </c:catAx>
      <c:valAx>
        <c:axId val="132575004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2575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[RumeysaYilmaz_OgrenciPerfAnalizi_guncel.xlsx]EKSTRAAKTİVİTEYAPANKADINVEERKEK!PivotTable7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EKSTRAAKTİVİTEYAPANKADINVEERKEK!$B$3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EKSTRAAKTİVİTEYAPANKADINVEERKEK!$A$4:$A$7</c:f>
              <c:strCache>
                <c:ptCount val="3"/>
                <c:pt idx="0">
                  <c:v>Diğer</c:v>
                </c:pt>
                <c:pt idx="1">
                  <c:v>Erkek</c:v>
                </c:pt>
                <c:pt idx="2">
                  <c:v>Kadın</c:v>
                </c:pt>
              </c:strCache>
            </c:strRef>
          </c:cat>
          <c:val>
            <c:numRef>
              <c:f>EKSTRAAKTİVİTEYAPANKADINVEERKEK!$B$4:$B$7</c:f>
              <c:numCache>
                <c:formatCode>General</c:formatCode>
                <c:ptCount val="3"/>
                <c:pt idx="0">
                  <c:v>46</c:v>
                </c:pt>
                <c:pt idx="1">
                  <c:v>52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D-4E50-A805-7F3DC47DC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1401127968"/>
        <c:axId val="1401128448"/>
      </c:barChart>
      <c:catAx>
        <c:axId val="140112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1128448"/>
        <c:crosses val="autoZero"/>
        <c:auto val="1"/>
        <c:lblAlgn val="ctr"/>
        <c:lblOffset val="100"/>
        <c:noMultiLvlLbl val="0"/>
      </c:catAx>
      <c:valAx>
        <c:axId val="140112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11279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[RumeysaYilmaz_OgrenciPerfAnalizi_guncel.xlsx]İNTERNETERİŞİMİNEGÖREORTALAMAPA!PivotTable10</c:name>
    <c:fmtId val="7"/>
  </c:pivotSource>
  <c:chart>
    <c:autoTitleDeleted val="0"/>
    <c:pivotFmts>
      <c:pivotFmt>
        <c:idx val="0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İNTERNETERİŞİMİNEGÖREORTALAMAPA!$B$3</c:f>
              <c:strCache>
                <c:ptCount val="1"/>
                <c:pt idx="0">
                  <c:v>Ortalama Ortalama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shade val="76000"/>
                  </a:schemeClr>
                </a:gs>
                <a:gs pos="75000">
                  <a:schemeClr val="accent5">
                    <a:shade val="76000"/>
                    <a:lumMod val="60000"/>
                    <a:lumOff val="40000"/>
                  </a:schemeClr>
                </a:gs>
                <a:gs pos="51000">
                  <a:schemeClr val="accent5">
                    <a:shade val="76000"/>
                    <a:alpha val="75000"/>
                  </a:schemeClr>
                </a:gs>
                <a:gs pos="100000">
                  <a:schemeClr val="accent5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İNTERNETERİŞİMİNEGÖREORTALAMAPA!$A$4:$A$6</c:f>
              <c:strCache>
                <c:ptCount val="2"/>
                <c:pt idx="0">
                  <c:v>Var</c:v>
                </c:pt>
                <c:pt idx="1">
                  <c:v>Yok</c:v>
                </c:pt>
              </c:strCache>
            </c:strRef>
          </c:cat>
          <c:val>
            <c:numRef>
              <c:f>İNTERNETERİŞİMİNEGÖREORTALAMAPA!$B$4:$B$6</c:f>
              <c:numCache>
                <c:formatCode>General</c:formatCode>
                <c:ptCount val="2"/>
                <c:pt idx="0">
                  <c:v>66.09999999999998</c:v>
                </c:pt>
                <c:pt idx="1">
                  <c:v>65.952380952380963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B-4267-9545-7B82EC1C02AE}"/>
            </c:ext>
          </c:extLst>
        </c:ser>
        <c:ser>
          <c:idx val="1"/>
          <c:order val="1"/>
          <c:tx>
            <c:strRef>
              <c:f>İNTERNETERİŞİMİNEGÖREORTALAMAPA!$C$3</c:f>
              <c:strCache>
                <c:ptCount val="1"/>
                <c:pt idx="0">
                  <c:v>Say Öğrenci ID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tint val="77000"/>
                  </a:schemeClr>
                </a:gs>
                <a:gs pos="75000">
                  <a:schemeClr val="accent5">
                    <a:tint val="77000"/>
                    <a:lumMod val="60000"/>
                    <a:lumOff val="40000"/>
                  </a:schemeClr>
                </a:gs>
                <a:gs pos="51000">
                  <a:schemeClr val="accent5">
                    <a:tint val="77000"/>
                    <a:alpha val="75000"/>
                  </a:schemeClr>
                </a:gs>
                <a:gs pos="100000">
                  <a:schemeClr val="accent5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İNTERNETERİŞİMİNEGÖREORTALAMAPA!$A$4:$A$6</c:f>
              <c:strCache>
                <c:ptCount val="2"/>
                <c:pt idx="0">
                  <c:v>Var</c:v>
                </c:pt>
                <c:pt idx="1">
                  <c:v>Yok</c:v>
                </c:pt>
              </c:strCache>
            </c:strRef>
          </c:cat>
          <c:val>
            <c:numRef>
              <c:f>İNTERNETERİŞİMİNEGÖREORTALAMAPA!$C$4:$C$6</c:f>
              <c:numCache>
                <c:formatCode>General</c:formatCode>
                <c:ptCount val="2"/>
                <c:pt idx="0">
                  <c:v>270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B-4267-9545-7B82EC1C0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62568016"/>
        <c:axId val="62568976"/>
      </c:barChart>
      <c:catAx>
        <c:axId val="6256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568976"/>
        <c:crosses val="autoZero"/>
        <c:auto val="1"/>
        <c:lblAlgn val="ctr"/>
        <c:lblOffset val="100"/>
        <c:noMultiLvlLbl val="0"/>
      </c:catAx>
      <c:valAx>
        <c:axId val="62568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56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[RumeysaYilmaz_OgrenciPerfAnalizi_guncel.xlsx]KATILIMYÜKSEKAMAORTALAMASIDÜŞÜK!PivotTable12</c:name>
    <c:fmtId val="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KATILIMYÜKSEKAMAORTALAMASIDÜŞÜK!$B$4</c:f>
              <c:strCache>
                <c:ptCount val="1"/>
                <c:pt idx="0">
                  <c:v>Toplam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KATILIMYÜKSEKAMAORTALAMASIDÜŞÜK!$A$5:$A$11</c:f>
              <c:strCache>
                <c:ptCount val="6"/>
                <c:pt idx="0">
                  <c:v>Bireysel Koçluk</c:v>
                </c:pt>
                <c:pt idx="1">
                  <c:v>Ders Kitabı</c:v>
                </c:pt>
                <c:pt idx="2">
                  <c:v>Grup Çalışması</c:v>
                </c:pt>
                <c:pt idx="3">
                  <c:v>Karma Yöntem</c:v>
                </c:pt>
                <c:pt idx="4">
                  <c:v>Not Alarak</c:v>
                </c:pt>
                <c:pt idx="5">
                  <c:v>online videos</c:v>
                </c:pt>
              </c:strCache>
            </c:strRef>
          </c:cat>
          <c:val>
            <c:numRef>
              <c:f>KATILIMYÜKSEKAMAORTALAMASIDÜŞÜK!$B$5:$B$11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29-449F-AFEF-5A9DABDD0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75232"/>
        <c:axId val="62974272"/>
      </c:barChart>
      <c:catAx>
        <c:axId val="6297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974272"/>
        <c:crosses val="autoZero"/>
        <c:auto val="1"/>
        <c:lblAlgn val="ctr"/>
        <c:lblOffset val="100"/>
        <c:noMultiLvlLbl val="0"/>
      </c:catAx>
      <c:valAx>
        <c:axId val="6297427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297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hyperlink" Target="#SOSYALMEDYADAGE&#199;&#304;R&#304;LENS&#220;REN&#304;NPU!A1"/><Relationship Id="rId18" Type="http://schemas.openxmlformats.org/officeDocument/2006/relationships/chart" Target="../charts/chart19.xml"/><Relationship Id="rId3" Type="http://schemas.openxmlformats.org/officeDocument/2006/relationships/hyperlink" Target="#ORTALAMASI85&#220;ST&#220;OLAN&#214;&#286;RENC&#304;LER&#304;!A1"/><Relationship Id="rId21" Type="http://schemas.openxmlformats.org/officeDocument/2006/relationships/hyperlink" Target="#KATILIMY&#220;KSEKAMAORTALAMASID&#220;&#350;&#220;K!A1"/><Relationship Id="rId7" Type="http://schemas.openxmlformats.org/officeDocument/2006/relationships/hyperlink" Target="#EBEVEYNE&#286;&#304;T&#304;MDURUMUVE&#199;ALI&#350;MAST&#304;!A1"/><Relationship Id="rId12" Type="http://schemas.openxmlformats.org/officeDocument/2006/relationships/chart" Target="../charts/chart16.xml"/><Relationship Id="rId17" Type="http://schemas.openxmlformats.org/officeDocument/2006/relationships/hyperlink" Target="#F&#304;NALNOTLARININC&#304;NS&#304;YETEG&#214;REKIY!A1"/><Relationship Id="rId2" Type="http://schemas.openxmlformats.org/officeDocument/2006/relationships/chart" Target="../charts/chart11.xml"/><Relationship Id="rId16" Type="http://schemas.openxmlformats.org/officeDocument/2006/relationships/hyperlink" Target="#EKSTRAAKT&#304;V&#304;TEYAPANKADINVEERKEK!A1"/><Relationship Id="rId20" Type="http://schemas.openxmlformats.org/officeDocument/2006/relationships/chart" Target="../charts/chart20.xml"/><Relationship Id="rId1" Type="http://schemas.openxmlformats.org/officeDocument/2006/relationships/image" Target="../media/image1.jpg"/><Relationship Id="rId6" Type="http://schemas.openxmlformats.org/officeDocument/2006/relationships/chart" Target="../charts/chart12.xml"/><Relationship Id="rId11" Type="http://schemas.openxmlformats.org/officeDocument/2006/relationships/chart" Target="../charts/chart15.xml"/><Relationship Id="rId5" Type="http://schemas.openxmlformats.org/officeDocument/2006/relationships/image" Target="../media/image3.svg"/><Relationship Id="rId15" Type="http://schemas.openxmlformats.org/officeDocument/2006/relationships/chart" Target="../charts/chart18.xml"/><Relationship Id="rId10" Type="http://schemas.openxmlformats.org/officeDocument/2006/relationships/chart" Target="../charts/chart14.xml"/><Relationship Id="rId19" Type="http://schemas.openxmlformats.org/officeDocument/2006/relationships/hyperlink" Target="#&#304;NTERNETER&#304;&#350;&#304;M&#304;NEG&#214;REORTALAMAPA!A1"/><Relationship Id="rId4" Type="http://schemas.openxmlformats.org/officeDocument/2006/relationships/image" Target="../media/image2.png"/><Relationship Id="rId9" Type="http://schemas.openxmlformats.org/officeDocument/2006/relationships/hyperlink" Target="#'MAT&lt;ORT_OLANLARIN&#199;ALI&#350;MASAATLER'!A1"/><Relationship Id="rId14" Type="http://schemas.openxmlformats.org/officeDocument/2006/relationships/chart" Target="../charts/chart17.xml"/><Relationship Id="rId22" Type="http://schemas.openxmlformats.org/officeDocument/2006/relationships/hyperlink" Target="#HARFNOTU_F_OLANLARINTELEFONDAG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9</xdr:row>
      <xdr:rowOff>53340</xdr:rowOff>
    </xdr:from>
    <xdr:to>
      <xdr:col>1</xdr:col>
      <xdr:colOff>838200</xdr:colOff>
      <xdr:row>23</xdr:row>
      <xdr:rowOff>74295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Harf Notu">
              <a:extLst>
                <a:ext uri="{FF2B5EF4-FFF2-40B4-BE49-F238E27FC236}">
                  <a16:creationId xmlns:a16="http://schemas.microsoft.com/office/drawing/2014/main" id="{9EB179FE-9DB8-8A02-A0FB-3F39F8B309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rf Not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" y="16992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2</xdr:col>
      <xdr:colOff>190500</xdr:colOff>
      <xdr:row>1</xdr:row>
      <xdr:rowOff>140970</xdr:rowOff>
    </xdr:from>
    <xdr:to>
      <xdr:col>11</xdr:col>
      <xdr:colOff>243840</xdr:colOff>
      <xdr:row>16</xdr:row>
      <xdr:rowOff>140970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D0629399-C8D3-F28D-2C8E-B95DEE098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0</xdr:row>
      <xdr:rowOff>110490</xdr:rowOff>
    </xdr:from>
    <xdr:to>
      <xdr:col>9</xdr:col>
      <xdr:colOff>487680</xdr:colOff>
      <xdr:row>15</xdr:row>
      <xdr:rowOff>110490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6AE57C0-FA1B-ABEA-A4F3-FACBF5000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8</xdr:row>
      <xdr:rowOff>34290</xdr:rowOff>
    </xdr:from>
    <xdr:to>
      <xdr:col>3</xdr:col>
      <xdr:colOff>662940</xdr:colOff>
      <xdr:row>23</xdr:row>
      <xdr:rowOff>34290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A5079EEE-5CBD-875F-E7B5-7D8FFA780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868680</xdr:colOff>
      <xdr:row>8</xdr:row>
      <xdr:rowOff>121920</xdr:rowOff>
    </xdr:from>
    <xdr:to>
      <xdr:col>5</xdr:col>
      <xdr:colOff>205740</xdr:colOff>
      <xdr:row>22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elefonda Geçirilen Süre">
              <a:extLst>
                <a:ext uri="{FF2B5EF4-FFF2-40B4-BE49-F238E27FC236}">
                  <a16:creationId xmlns:a16="http://schemas.microsoft.com/office/drawing/2014/main" id="{3B215005-3B7A-8EAB-D888-432DD8112B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lefonda Geçirilen Sü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7700" y="15849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1</xdr:row>
      <xdr:rowOff>19050</xdr:rowOff>
    </xdr:from>
    <xdr:to>
      <xdr:col>9</xdr:col>
      <xdr:colOff>365760</xdr:colOff>
      <xdr:row>16</xdr:row>
      <xdr:rowOff>19050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E8ACA24-AEC1-183B-9C85-568C1052B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148590</xdr:rowOff>
    </xdr:from>
    <xdr:to>
      <xdr:col>9</xdr:col>
      <xdr:colOff>281940</xdr:colOff>
      <xdr:row>16</xdr:row>
      <xdr:rowOff>148590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A0F26B80-46B9-BF7C-32F8-4D770B0AC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179070</xdr:rowOff>
    </xdr:from>
    <xdr:to>
      <xdr:col>10</xdr:col>
      <xdr:colOff>76200</xdr:colOff>
      <xdr:row>15</xdr:row>
      <xdr:rowOff>179070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E89B045-9C57-A0BE-41B3-A461C6769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1</xdr:row>
      <xdr:rowOff>95250</xdr:rowOff>
    </xdr:from>
    <xdr:to>
      <xdr:col>9</xdr:col>
      <xdr:colOff>396240</xdr:colOff>
      <xdr:row>16</xdr:row>
      <xdr:rowOff>95250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8E59A52-212B-97A2-532D-652E5CBA8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1</xdr:row>
      <xdr:rowOff>125730</xdr:rowOff>
    </xdr:from>
    <xdr:to>
      <xdr:col>10</xdr:col>
      <xdr:colOff>472440</xdr:colOff>
      <xdr:row>16</xdr:row>
      <xdr:rowOff>125730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9D69182-2E4B-4678-58BC-40AFBBA0A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34290</xdr:rowOff>
    </xdr:from>
    <xdr:to>
      <xdr:col>11</xdr:col>
      <xdr:colOff>259080</xdr:colOff>
      <xdr:row>17</xdr:row>
      <xdr:rowOff>34290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161BBAC6-5FAB-0C95-4AE4-F4F9CB38F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19103</xdr:colOff>
      <xdr:row>11</xdr:row>
      <xdr:rowOff>78340</xdr:rowOff>
    </xdr:from>
    <xdr:to>
      <xdr:col>7</xdr:col>
      <xdr:colOff>569621</xdr:colOff>
      <xdr:row>26</xdr:row>
      <xdr:rowOff>78340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ACD73F5-1C38-73CF-048A-9B4EC98A8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61168</xdr:colOff>
      <xdr:row>11</xdr:row>
      <xdr:rowOff>132045</xdr:rowOff>
    </xdr:from>
    <xdr:to>
      <xdr:col>1</xdr:col>
      <xdr:colOff>855945</xdr:colOff>
      <xdr:row>25</xdr:row>
      <xdr:rowOff>153001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Çalışma Stili">
              <a:extLst>
                <a:ext uri="{FF2B5EF4-FFF2-40B4-BE49-F238E27FC236}">
                  <a16:creationId xmlns:a16="http://schemas.microsoft.com/office/drawing/2014/main" id="{F09FD36E-0C2F-0349-FE14-9FD7BD899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Çalışma Stil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68" y="2198840"/>
              <a:ext cx="1828174" cy="26514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</xdr:colOff>
      <xdr:row>0</xdr:row>
      <xdr:rowOff>60960</xdr:rowOff>
    </xdr:from>
    <xdr:to>
      <xdr:col>29</xdr:col>
      <xdr:colOff>133549</xdr:colOff>
      <xdr:row>64</xdr:row>
      <xdr:rowOff>63500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242331F-0005-7BB6-67EF-13DDE93A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" y="60960"/>
          <a:ext cx="17591941" cy="12194540"/>
        </a:xfrm>
        <a:prstGeom prst="rect">
          <a:avLst/>
        </a:prstGeom>
        <a:effectLst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36708</xdr:colOff>
      <xdr:row>1</xdr:row>
      <xdr:rowOff>58454</xdr:rowOff>
    </xdr:from>
    <xdr:to>
      <xdr:col>27</xdr:col>
      <xdr:colOff>380184</xdr:colOff>
      <xdr:row>3</xdr:row>
      <xdr:rowOff>146308</xdr:rowOff>
    </xdr:to>
    <xdr:sp macro="" textlink="">
      <xdr:nvSpPr>
        <xdr:cNvPr id="7" name="Metin kutusu 6">
          <a:extLst>
            <a:ext uri="{FF2B5EF4-FFF2-40B4-BE49-F238E27FC236}">
              <a16:creationId xmlns:a16="http://schemas.microsoft.com/office/drawing/2014/main" id="{471F94E8-461C-73DF-0F23-3F459AC3E393}"/>
            </a:ext>
          </a:extLst>
        </xdr:cNvPr>
        <xdr:cNvSpPr txBox="1"/>
      </xdr:nvSpPr>
      <xdr:spPr>
        <a:xfrm>
          <a:off x="3065170" y="234300"/>
          <a:ext cx="13668706" cy="439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2800">
              <a:latin typeface="Segoe UI Black" panose="020B0A02040204020203" pitchFamily="34" charset="0"/>
              <a:ea typeface="Segoe UI Black" panose="020B0A02040204020203" pitchFamily="34" charset="0"/>
            </a:rPr>
            <a:t>ÖĞRENCİ PERFORMANSINI</a:t>
          </a:r>
          <a:r>
            <a:rPr lang="tr-TR" sz="2800" baseline="0">
              <a:latin typeface="Segoe UI Black" panose="020B0A02040204020203" pitchFamily="34" charset="0"/>
              <a:ea typeface="Segoe UI Black" panose="020B0A02040204020203" pitchFamily="34" charset="0"/>
            </a:rPr>
            <a:t> ETKİLEYEN FAKTÖRLER ANALİZİ</a:t>
          </a:r>
          <a:endParaRPr lang="tr-TR" sz="28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4</xdr:col>
      <xdr:colOff>400929</xdr:colOff>
      <xdr:row>1</xdr:row>
      <xdr:rowOff>74246</xdr:rowOff>
    </xdr:from>
    <xdr:to>
      <xdr:col>5</xdr:col>
      <xdr:colOff>27549</xdr:colOff>
      <xdr:row>2</xdr:row>
      <xdr:rowOff>166272</xdr:rowOff>
    </xdr:to>
    <xdr:sp macro="" textlink="">
      <xdr:nvSpPr>
        <xdr:cNvPr id="8" name="Yıldız: 4 Nokta 7">
          <a:extLst>
            <a:ext uri="{FF2B5EF4-FFF2-40B4-BE49-F238E27FC236}">
              <a16:creationId xmlns:a16="http://schemas.microsoft.com/office/drawing/2014/main" id="{EB7BF3BC-7E53-BA54-51C4-8101C95C4425}"/>
            </a:ext>
          </a:extLst>
        </xdr:cNvPr>
        <xdr:cNvSpPr/>
      </xdr:nvSpPr>
      <xdr:spPr>
        <a:xfrm>
          <a:off x="2823698" y="250092"/>
          <a:ext cx="232313" cy="267872"/>
        </a:xfrm>
        <a:prstGeom prst="star4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465475</xdr:colOff>
      <xdr:row>5</xdr:row>
      <xdr:rowOff>33618</xdr:rowOff>
    </xdr:from>
    <xdr:to>
      <xdr:col>28</xdr:col>
      <xdr:colOff>62063</xdr:colOff>
      <xdr:row>48</xdr:row>
      <xdr:rowOff>136770</xdr:rowOff>
    </xdr:to>
    <xdr:sp macro="" textlink="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B3827063-106B-6473-31E1-E6AC519C4DE6}"/>
            </a:ext>
          </a:extLst>
        </xdr:cNvPr>
        <xdr:cNvSpPr/>
      </xdr:nvSpPr>
      <xdr:spPr>
        <a:xfrm>
          <a:off x="13790706" y="912849"/>
          <a:ext cx="3230742" cy="7664536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380588</xdr:colOff>
      <xdr:row>5</xdr:row>
      <xdr:rowOff>6435</xdr:rowOff>
    </xdr:from>
    <xdr:to>
      <xdr:col>5</xdr:col>
      <xdr:colOff>582294</xdr:colOff>
      <xdr:row>48</xdr:row>
      <xdr:rowOff>117231</xdr:rowOff>
    </xdr:to>
    <xdr:sp macro="" textlink="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1B4BE818-4924-41E5-ACF3-E0A3BBE75F68}"/>
            </a:ext>
          </a:extLst>
        </xdr:cNvPr>
        <xdr:cNvSpPr/>
      </xdr:nvSpPr>
      <xdr:spPr>
        <a:xfrm>
          <a:off x="380588" y="885666"/>
          <a:ext cx="3230168" cy="767218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21773</xdr:colOff>
      <xdr:row>6</xdr:row>
      <xdr:rowOff>113778</xdr:rowOff>
    </xdr:from>
    <xdr:to>
      <xdr:col>11</xdr:col>
      <xdr:colOff>272143</xdr:colOff>
      <xdr:row>23</xdr:row>
      <xdr:rowOff>176120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0FB123DD-DE7D-45C8-ABD5-D03403BC0944}"/>
            </a:ext>
          </a:extLst>
        </xdr:cNvPr>
        <xdr:cNvSpPr/>
      </xdr:nvSpPr>
      <xdr:spPr>
        <a:xfrm>
          <a:off x="3679373" y="1224121"/>
          <a:ext cx="3298370" cy="320831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11</xdr:col>
      <xdr:colOff>492824</xdr:colOff>
      <xdr:row>28</xdr:row>
      <xdr:rowOff>81608</xdr:rowOff>
    </xdr:from>
    <xdr:to>
      <xdr:col>17</xdr:col>
      <xdr:colOff>13853</xdr:colOff>
      <xdr:row>45</xdr:row>
      <xdr:rowOff>143949</xdr:rowOff>
    </xdr:to>
    <xdr:sp macro="" textlink="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14EDC01A-A390-4CB3-8653-E150E7983826}"/>
            </a:ext>
          </a:extLst>
        </xdr:cNvPr>
        <xdr:cNvSpPr/>
      </xdr:nvSpPr>
      <xdr:spPr>
        <a:xfrm>
          <a:off x="7198424" y="5202248"/>
          <a:ext cx="3178629" cy="317130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239486</xdr:colOff>
      <xdr:row>28</xdr:row>
      <xdr:rowOff>97493</xdr:rowOff>
    </xdr:from>
    <xdr:to>
      <xdr:col>22</xdr:col>
      <xdr:colOff>239486</xdr:colOff>
      <xdr:row>45</xdr:row>
      <xdr:rowOff>159834</xdr:rowOff>
    </xdr:to>
    <xdr:sp macro="" textlink="">
      <xdr:nvSpPr>
        <xdr:cNvPr id="14" name="Dikdörtgen: Köşeleri Yuvarlatılmış 13">
          <a:extLst>
            <a:ext uri="{FF2B5EF4-FFF2-40B4-BE49-F238E27FC236}">
              <a16:creationId xmlns:a16="http://schemas.microsoft.com/office/drawing/2014/main" id="{AE3FAB32-6E03-4489-8415-5BE6A3DA3C18}"/>
            </a:ext>
          </a:extLst>
        </xdr:cNvPr>
        <xdr:cNvSpPr/>
      </xdr:nvSpPr>
      <xdr:spPr>
        <a:xfrm>
          <a:off x="10602686" y="5117728"/>
          <a:ext cx="3048000" cy="311034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261257</xdr:colOff>
      <xdr:row>6</xdr:row>
      <xdr:rowOff>182169</xdr:rowOff>
    </xdr:from>
    <xdr:to>
      <xdr:col>22</xdr:col>
      <xdr:colOff>240883</xdr:colOff>
      <xdr:row>24</xdr:row>
      <xdr:rowOff>59454</xdr:rowOff>
    </xdr:to>
    <xdr:sp macro="" textlink="">
      <xdr:nvSpPr>
        <xdr:cNvPr id="15" name="Dikdörtgen: Köşeleri Yuvarlatılmış 14">
          <a:extLst>
            <a:ext uri="{FF2B5EF4-FFF2-40B4-BE49-F238E27FC236}">
              <a16:creationId xmlns:a16="http://schemas.microsoft.com/office/drawing/2014/main" id="{A5C63CF8-623D-46D0-9FD4-29B4F4097BE8}"/>
            </a:ext>
          </a:extLst>
        </xdr:cNvPr>
        <xdr:cNvSpPr/>
      </xdr:nvSpPr>
      <xdr:spPr>
        <a:xfrm>
          <a:off x="10624457" y="1292512"/>
          <a:ext cx="3027626" cy="320831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11</xdr:col>
      <xdr:colOff>413656</xdr:colOff>
      <xdr:row>6</xdr:row>
      <xdr:rowOff>110713</xdr:rowOff>
    </xdr:from>
    <xdr:to>
      <xdr:col>16</xdr:col>
      <xdr:colOff>598713</xdr:colOff>
      <xdr:row>23</xdr:row>
      <xdr:rowOff>178003</xdr:rowOff>
    </xdr:to>
    <xdr:sp macro="" textlink="">
      <xdr:nvSpPr>
        <xdr:cNvPr id="16" name="Dikdörtgen: Köşeleri Yuvarlatılmış 15">
          <a:extLst>
            <a:ext uri="{FF2B5EF4-FFF2-40B4-BE49-F238E27FC236}">
              <a16:creationId xmlns:a16="http://schemas.microsoft.com/office/drawing/2014/main" id="{0FDDEF22-FB66-46A1-9050-AEEB971B7D54}"/>
            </a:ext>
          </a:extLst>
        </xdr:cNvPr>
        <xdr:cNvSpPr/>
      </xdr:nvSpPr>
      <xdr:spPr>
        <a:xfrm>
          <a:off x="7119256" y="1221056"/>
          <a:ext cx="3233057" cy="321326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6</xdr:col>
      <xdr:colOff>198912</xdr:colOff>
      <xdr:row>28</xdr:row>
      <xdr:rowOff>76382</xdr:rowOff>
    </xdr:from>
    <xdr:to>
      <xdr:col>11</xdr:col>
      <xdr:colOff>242454</xdr:colOff>
      <xdr:row>45</xdr:row>
      <xdr:rowOff>138723</xdr:rowOff>
    </xdr:to>
    <xdr:sp macro="" textlink="">
      <xdr:nvSpPr>
        <xdr:cNvPr id="17" name="Dikdörtgen: Köşeleri Yuvarlatılmış 16">
          <a:extLst>
            <a:ext uri="{FF2B5EF4-FFF2-40B4-BE49-F238E27FC236}">
              <a16:creationId xmlns:a16="http://schemas.microsoft.com/office/drawing/2014/main" id="{1B8E2F54-170C-4883-82F1-9987861C6142}"/>
            </a:ext>
          </a:extLst>
        </xdr:cNvPr>
        <xdr:cNvSpPr/>
      </xdr:nvSpPr>
      <xdr:spPr>
        <a:xfrm>
          <a:off x="3856512" y="5257982"/>
          <a:ext cx="3091542" cy="320831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490275</xdr:colOff>
      <xdr:row>7</xdr:row>
      <xdr:rowOff>32424</xdr:rowOff>
    </xdr:from>
    <xdr:to>
      <xdr:col>5</xdr:col>
      <xdr:colOff>490274</xdr:colOff>
      <xdr:row>21</xdr:row>
      <xdr:rowOff>145915</xdr:rowOff>
    </xdr:to>
    <xdr:graphicFrame macro="">
      <xdr:nvGraphicFramePr>
        <xdr:cNvPr id="44" name="Grafik 43">
          <a:extLst>
            <a:ext uri="{FF2B5EF4-FFF2-40B4-BE49-F238E27FC236}">
              <a16:creationId xmlns:a16="http://schemas.microsoft.com/office/drawing/2014/main" id="{AE7CC006-1920-4B27-83C8-499C4C855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488638</xdr:colOff>
      <xdr:row>22</xdr:row>
      <xdr:rowOff>113490</xdr:rowOff>
    </xdr:from>
    <xdr:to>
      <xdr:col>5</xdr:col>
      <xdr:colOff>553490</xdr:colOff>
      <xdr:row>26</xdr:row>
      <xdr:rowOff>32426</xdr:rowOff>
    </xdr:to>
    <xdr:sp macro="" textlink="">
      <xdr:nvSpPr>
        <xdr:cNvPr id="45" name="Metin kutusu 44">
          <a:extLst>
            <a:ext uri="{FF2B5EF4-FFF2-40B4-BE49-F238E27FC236}">
              <a16:creationId xmlns:a16="http://schemas.microsoft.com/office/drawing/2014/main" id="{D45F85E7-7A12-C6B2-4B73-874BFD381C95}"/>
            </a:ext>
          </a:extLst>
        </xdr:cNvPr>
        <xdr:cNvSpPr txBox="1"/>
      </xdr:nvSpPr>
      <xdr:spPr>
        <a:xfrm>
          <a:off x="488638" y="4195160"/>
          <a:ext cx="3112852" cy="661057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5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Ortalaması  85 üstü olan öğrencilerin çalışma stilleri</a:t>
          </a:r>
          <a:endParaRPr lang="tr-TR" sz="1500" b="1">
            <a:effectLst/>
          </a:endParaRPr>
        </a:p>
        <a:p>
          <a:pPr algn="ctr"/>
          <a:endParaRPr lang="tr-TR" sz="1100" b="1"/>
        </a:p>
      </xdr:txBody>
    </xdr:sp>
    <xdr:clientData/>
  </xdr:twoCellAnchor>
  <xdr:twoCellAnchor editAs="oneCell">
    <xdr:from>
      <xdr:col>4</xdr:col>
      <xdr:colOff>531092</xdr:colOff>
      <xdr:row>5</xdr:row>
      <xdr:rowOff>115454</xdr:rowOff>
    </xdr:from>
    <xdr:to>
      <xdr:col>5</xdr:col>
      <xdr:colOff>401096</xdr:colOff>
      <xdr:row>8</xdr:row>
      <xdr:rowOff>41313</xdr:rowOff>
    </xdr:to>
    <xdr:pic>
      <xdr:nvPicPr>
        <xdr:cNvPr id="33" name="Grafik 32" descr="Rozet Takip Et ana ha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ADA897-DC30-4D6D-AE6D-1F08FFDBA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78728" y="1039090"/>
          <a:ext cx="481913" cy="480041"/>
        </a:xfrm>
        <a:prstGeom prst="rect">
          <a:avLst/>
        </a:prstGeom>
      </xdr:spPr>
    </xdr:pic>
    <xdr:clientData/>
  </xdr:twoCellAnchor>
  <xdr:twoCellAnchor>
    <xdr:from>
      <xdr:col>0</xdr:col>
      <xdr:colOff>523793</xdr:colOff>
      <xdr:row>26</xdr:row>
      <xdr:rowOff>99393</xdr:rowOff>
    </xdr:from>
    <xdr:to>
      <xdr:col>5</xdr:col>
      <xdr:colOff>439973</xdr:colOff>
      <xdr:row>41</xdr:row>
      <xdr:rowOff>110286</xdr:rowOff>
    </xdr:to>
    <xdr:graphicFrame macro="">
      <xdr:nvGraphicFramePr>
        <xdr:cNvPr id="46" name="Grafik 45">
          <a:extLst>
            <a:ext uri="{FF2B5EF4-FFF2-40B4-BE49-F238E27FC236}">
              <a16:creationId xmlns:a16="http://schemas.microsoft.com/office/drawing/2014/main" id="{A4F55138-C8B8-4A1C-90BE-B1A944EDC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63361</xdr:colOff>
      <xdr:row>25</xdr:row>
      <xdr:rowOff>11151</xdr:rowOff>
    </xdr:from>
    <xdr:to>
      <xdr:col>5</xdr:col>
      <xdr:colOff>542965</xdr:colOff>
      <xdr:row>27</xdr:row>
      <xdr:rowOff>121738</xdr:rowOff>
    </xdr:to>
    <xdr:pic>
      <xdr:nvPicPr>
        <xdr:cNvPr id="34" name="Grafik 33" descr="Rozet Takip Et ana ha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651D6E-ED53-4A93-B92F-50A8EFCE0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111361" y="4649412"/>
          <a:ext cx="479604" cy="481648"/>
        </a:xfrm>
        <a:prstGeom prst="rect">
          <a:avLst/>
        </a:prstGeom>
      </xdr:spPr>
    </xdr:pic>
    <xdr:clientData/>
  </xdr:twoCellAnchor>
  <xdr:twoCellAnchor>
    <xdr:from>
      <xdr:col>0</xdr:col>
      <xdr:colOff>572825</xdr:colOff>
      <xdr:row>43</xdr:row>
      <xdr:rowOff>42738</xdr:rowOff>
    </xdr:from>
    <xdr:to>
      <xdr:col>5</xdr:col>
      <xdr:colOff>435665</xdr:colOff>
      <xdr:row>46</xdr:row>
      <xdr:rowOff>73218</xdr:rowOff>
    </xdr:to>
    <xdr:sp macro="" textlink="">
      <xdr:nvSpPr>
        <xdr:cNvPr id="47" name="Metin kutusu 46">
          <a:extLst>
            <a:ext uri="{FF2B5EF4-FFF2-40B4-BE49-F238E27FC236}">
              <a16:creationId xmlns:a16="http://schemas.microsoft.com/office/drawing/2014/main" id="{14A8243D-7AE4-EB7F-0EC9-63D23F74C63B}"/>
            </a:ext>
          </a:extLst>
        </xdr:cNvPr>
        <xdr:cNvSpPr txBox="1"/>
      </xdr:nvSpPr>
      <xdr:spPr>
        <a:xfrm>
          <a:off x="572825" y="8020547"/>
          <a:ext cx="2910840" cy="587071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500" b="1"/>
            <a:t>EBEVEYN EĞİTİM DURUMUNA</a:t>
          </a:r>
          <a:r>
            <a:rPr lang="tr-TR" sz="1500" b="1" baseline="0"/>
            <a:t> GÖRE ÇALIŞMA STİLLERİ</a:t>
          </a:r>
          <a:endParaRPr lang="tr-TR" sz="1500" b="1"/>
        </a:p>
      </xdr:txBody>
    </xdr:sp>
    <xdr:clientData/>
  </xdr:twoCellAnchor>
  <xdr:twoCellAnchor>
    <xdr:from>
      <xdr:col>23</xdr:col>
      <xdr:colOff>157129</xdr:colOff>
      <xdr:row>8</xdr:row>
      <xdr:rowOff>5096</xdr:rowOff>
    </xdr:from>
    <xdr:to>
      <xdr:col>27</xdr:col>
      <xdr:colOff>518934</xdr:colOff>
      <xdr:row>22</xdr:row>
      <xdr:rowOff>73676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21D1D290-22D5-464F-B283-5DD6B73AB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98340</xdr:colOff>
      <xdr:row>7</xdr:row>
      <xdr:rowOff>50281</xdr:rowOff>
    </xdr:from>
    <xdr:to>
      <xdr:col>27</xdr:col>
      <xdr:colOff>580253</xdr:colOff>
      <xdr:row>9</xdr:row>
      <xdr:rowOff>160867</xdr:rowOff>
    </xdr:to>
    <xdr:pic>
      <xdr:nvPicPr>
        <xdr:cNvPr id="40" name="Grafik 39" descr="Rozet Takip Et ana ha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A9FC676-6149-464B-B054-3A7FA51E1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6557540" y="1305340"/>
          <a:ext cx="481913" cy="469174"/>
        </a:xfrm>
        <a:prstGeom prst="rect">
          <a:avLst/>
        </a:prstGeom>
      </xdr:spPr>
    </xdr:pic>
    <xdr:clientData/>
  </xdr:twoCellAnchor>
  <xdr:twoCellAnchor>
    <xdr:from>
      <xdr:col>22</xdr:col>
      <xdr:colOff>484094</xdr:colOff>
      <xdr:row>24</xdr:row>
      <xdr:rowOff>17929</xdr:rowOff>
    </xdr:from>
    <xdr:to>
      <xdr:col>28</xdr:col>
      <xdr:colOff>26894</xdr:colOff>
      <xdr:row>27</xdr:row>
      <xdr:rowOff>125506</xdr:rowOff>
    </xdr:to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3CE35395-DDF9-BF76-5137-0F171EA38646}"/>
            </a:ext>
          </a:extLst>
        </xdr:cNvPr>
        <xdr:cNvSpPr txBox="1"/>
      </xdr:nvSpPr>
      <xdr:spPr>
        <a:xfrm>
          <a:off x="13895294" y="4320988"/>
          <a:ext cx="3200400" cy="645459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300" b="1"/>
            <a:t>MATEMATİK NOTU ORTALAMASINDAN DÜŞÜK OLANLARIN ÇALIŞMA SAATLERİ</a:t>
          </a:r>
        </a:p>
      </xdr:txBody>
    </xdr:sp>
    <xdr:clientData/>
  </xdr:twoCellAnchor>
  <xdr:twoCellAnchor>
    <xdr:from>
      <xdr:col>23</xdr:col>
      <xdr:colOff>81788</xdr:colOff>
      <xdr:row>29</xdr:row>
      <xdr:rowOff>95250</xdr:rowOff>
    </xdr:from>
    <xdr:to>
      <xdr:col>27</xdr:col>
      <xdr:colOff>500744</xdr:colOff>
      <xdr:row>41</xdr:row>
      <xdr:rowOff>82007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0E122525-F44E-4D62-A88C-5B08EC515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27</xdr:col>
      <xdr:colOff>166646</xdr:colOff>
      <xdr:row>27</xdr:row>
      <xdr:rowOff>165878</xdr:rowOff>
    </xdr:from>
    <xdr:to>
      <xdr:col>28</xdr:col>
      <xdr:colOff>35496</xdr:colOff>
      <xdr:row>30</xdr:row>
      <xdr:rowOff>85965</xdr:rowOff>
    </xdr:to>
    <xdr:pic>
      <xdr:nvPicPr>
        <xdr:cNvPr id="2" name="Grafik 1" descr="Rozet Takip Et ana hat">
          <a:extLst>
            <a:ext uri="{FF2B5EF4-FFF2-40B4-BE49-F238E27FC236}">
              <a16:creationId xmlns:a16="http://schemas.microsoft.com/office/drawing/2014/main" id="{61E5150F-6CD9-476E-87FE-51FF50E7C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6625846" y="5162421"/>
          <a:ext cx="478450" cy="475258"/>
        </a:xfrm>
        <a:prstGeom prst="rect">
          <a:avLst/>
        </a:prstGeom>
      </xdr:spPr>
    </xdr:pic>
    <xdr:clientData/>
  </xdr:twoCellAnchor>
  <xdr:twoCellAnchor>
    <xdr:from>
      <xdr:col>23</xdr:col>
      <xdr:colOff>174171</xdr:colOff>
      <xdr:row>43</xdr:row>
      <xdr:rowOff>119743</xdr:rowOff>
    </xdr:from>
    <xdr:to>
      <xdr:col>27</xdr:col>
      <xdr:colOff>370114</xdr:colOff>
      <xdr:row>46</xdr:row>
      <xdr:rowOff>108857</xdr:rowOff>
    </xdr:to>
    <xdr:sp macro="" textlink="">
      <xdr:nvSpPr>
        <xdr:cNvPr id="11" name="Metin kutusu 10">
          <a:extLst>
            <a:ext uri="{FF2B5EF4-FFF2-40B4-BE49-F238E27FC236}">
              <a16:creationId xmlns:a16="http://schemas.microsoft.com/office/drawing/2014/main" id="{72C8B896-FF76-659D-58FE-524023F5178B}"/>
            </a:ext>
          </a:extLst>
        </xdr:cNvPr>
        <xdr:cNvSpPr txBox="1"/>
      </xdr:nvSpPr>
      <xdr:spPr>
        <a:xfrm>
          <a:off x="14194971" y="8077200"/>
          <a:ext cx="2634343" cy="544286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300" b="1" i="0" cap="al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Koç desteği alan öğrencilerin okul türleri</a:t>
          </a:r>
          <a:endParaRPr lang="tr-TR" sz="1300" b="1">
            <a:effectLst/>
          </a:endParaRPr>
        </a:p>
        <a:p>
          <a:endParaRPr lang="tr-TR" sz="1100"/>
        </a:p>
      </xdr:txBody>
    </xdr:sp>
    <xdr:clientData/>
  </xdr:twoCellAnchor>
  <xdr:twoCellAnchor>
    <xdr:from>
      <xdr:col>6</xdr:col>
      <xdr:colOff>0</xdr:colOff>
      <xdr:row>7</xdr:row>
      <xdr:rowOff>141514</xdr:rowOff>
    </xdr:from>
    <xdr:to>
      <xdr:col>11</xdr:col>
      <xdr:colOff>370114</xdr:colOff>
      <xdr:row>23</xdr:row>
      <xdr:rowOff>21773</xdr:rowOff>
    </xdr:to>
    <xdr:graphicFrame macro="">
      <xdr:nvGraphicFramePr>
        <xdr:cNvPr id="18" name="Grafik 17">
          <a:extLst>
            <a:ext uri="{FF2B5EF4-FFF2-40B4-BE49-F238E27FC236}">
              <a16:creationId xmlns:a16="http://schemas.microsoft.com/office/drawing/2014/main" id="{EA4A9F0F-FDF2-4BB1-8926-475435BEF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130629</xdr:colOff>
      <xdr:row>24</xdr:row>
      <xdr:rowOff>65314</xdr:rowOff>
    </xdr:from>
    <xdr:to>
      <xdr:col>11</xdr:col>
      <xdr:colOff>108857</xdr:colOff>
      <xdr:row>28</xdr:row>
      <xdr:rowOff>79375</xdr:rowOff>
    </xdr:to>
    <xdr:sp macro="" textlink="">
      <xdr:nvSpPr>
        <xdr:cNvPr id="19" name="Metin kutusu 18">
          <a:extLst>
            <a:ext uri="{FF2B5EF4-FFF2-40B4-BE49-F238E27FC236}">
              <a16:creationId xmlns:a16="http://schemas.microsoft.com/office/drawing/2014/main" id="{F2899781-74B9-C60E-5672-DFA29D891047}"/>
            </a:ext>
          </a:extLst>
        </xdr:cNvPr>
        <xdr:cNvSpPr txBox="1"/>
      </xdr:nvSpPr>
      <xdr:spPr>
        <a:xfrm>
          <a:off x="4297817" y="4351564"/>
          <a:ext cx="3450884" cy="728436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300" b="1" i="0" cap="al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Harf notu</a:t>
          </a:r>
          <a:r>
            <a:rPr lang="tr-TR" sz="1300" b="1" i="0" cap="al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göre</a:t>
          </a:r>
          <a:r>
            <a:rPr lang="en-US" sz="1300" b="1" i="0" cap="al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öğrencilerin telefonda geçirdiği ortalama süre</a:t>
          </a:r>
          <a:endParaRPr lang="tr-TR" sz="1300" b="1">
            <a:effectLst/>
          </a:endParaRPr>
        </a:p>
        <a:p>
          <a:endParaRPr lang="tr-TR" sz="1100"/>
        </a:p>
      </xdr:txBody>
    </xdr:sp>
    <xdr:clientData/>
  </xdr:twoCellAnchor>
  <xdr:twoCellAnchor>
    <xdr:from>
      <xdr:col>11</xdr:col>
      <xdr:colOff>468088</xdr:colOff>
      <xdr:row>9</xdr:row>
      <xdr:rowOff>110997</xdr:rowOff>
    </xdr:from>
    <xdr:to>
      <xdr:col>17</xdr:col>
      <xdr:colOff>32658</xdr:colOff>
      <xdr:row>23</xdr:row>
      <xdr:rowOff>32657</xdr:rowOff>
    </xdr:to>
    <xdr:graphicFrame macro="">
      <xdr:nvGraphicFramePr>
        <xdr:cNvPr id="21" name="Grafik 20">
          <a:extLst>
            <a:ext uri="{FF2B5EF4-FFF2-40B4-BE49-F238E27FC236}">
              <a16:creationId xmlns:a16="http://schemas.microsoft.com/office/drawing/2014/main" id="{F8289DD6-599E-4C65-BE23-D6FDB1D74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15</xdr:col>
      <xdr:colOff>596871</xdr:colOff>
      <xdr:row>7</xdr:row>
      <xdr:rowOff>32852</xdr:rowOff>
    </xdr:from>
    <xdr:to>
      <xdr:col>16</xdr:col>
      <xdr:colOff>466875</xdr:colOff>
      <xdr:row>9</xdr:row>
      <xdr:rowOff>143769</xdr:rowOff>
    </xdr:to>
    <xdr:pic>
      <xdr:nvPicPr>
        <xdr:cNvPr id="24" name="Grafik 23" descr="Rozet Takip Et ana ha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3E47857-0B59-4BCC-9BBE-D7116F6A7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740871" y="1287911"/>
          <a:ext cx="479604" cy="469505"/>
        </a:xfrm>
        <a:prstGeom prst="rect">
          <a:avLst/>
        </a:prstGeom>
      </xdr:spPr>
    </xdr:pic>
    <xdr:clientData/>
  </xdr:twoCellAnchor>
  <xdr:twoCellAnchor>
    <xdr:from>
      <xdr:col>11</xdr:col>
      <xdr:colOff>525081</xdr:colOff>
      <xdr:row>24</xdr:row>
      <xdr:rowOff>92210</xdr:rowOff>
    </xdr:from>
    <xdr:to>
      <xdr:col>16</xdr:col>
      <xdr:colOff>503309</xdr:colOff>
      <xdr:row>27</xdr:row>
      <xdr:rowOff>81324</xdr:rowOff>
    </xdr:to>
    <xdr:sp macro="" textlink="">
      <xdr:nvSpPr>
        <xdr:cNvPr id="27" name="Metin kutusu 26">
          <a:extLst>
            <a:ext uri="{FF2B5EF4-FFF2-40B4-BE49-F238E27FC236}">
              <a16:creationId xmlns:a16="http://schemas.microsoft.com/office/drawing/2014/main" id="{FB3F85FD-7F44-7046-81AF-477BD4D3DD4B}"/>
            </a:ext>
          </a:extLst>
        </xdr:cNvPr>
        <xdr:cNvSpPr txBox="1"/>
      </xdr:nvSpPr>
      <xdr:spPr>
        <a:xfrm>
          <a:off x="7230681" y="4395269"/>
          <a:ext cx="3026228" cy="526996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300" b="1"/>
            <a:t>SOSYAL MEDYADA GEÇİRİLEN SÜRENİN</a:t>
          </a:r>
          <a:r>
            <a:rPr lang="tr-TR" sz="1300" b="1" baseline="0"/>
            <a:t> PUANLARA ETKİSİ</a:t>
          </a:r>
          <a:endParaRPr lang="tr-TR" sz="1300" b="1"/>
        </a:p>
      </xdr:txBody>
    </xdr:sp>
    <xdr:clientData/>
  </xdr:twoCellAnchor>
  <xdr:twoCellAnchor>
    <xdr:from>
      <xdr:col>17</xdr:col>
      <xdr:colOff>304800</xdr:colOff>
      <xdr:row>10</xdr:row>
      <xdr:rowOff>80682</xdr:rowOff>
    </xdr:from>
    <xdr:to>
      <xdr:col>22</xdr:col>
      <xdr:colOff>502022</xdr:colOff>
      <xdr:row>22</xdr:row>
      <xdr:rowOff>17929</xdr:rowOff>
    </xdr:to>
    <xdr:graphicFrame macro="">
      <xdr:nvGraphicFramePr>
        <xdr:cNvPr id="28" name="Grafik 27">
          <a:extLst>
            <a:ext uri="{FF2B5EF4-FFF2-40B4-BE49-F238E27FC236}">
              <a16:creationId xmlns:a16="http://schemas.microsoft.com/office/drawing/2014/main" id="{08DAFB22-24B2-45B7-92EB-07B46F4B3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274069</xdr:colOff>
      <xdr:row>24</xdr:row>
      <xdr:rowOff>137033</xdr:rowOff>
    </xdr:from>
    <xdr:to>
      <xdr:col>22</xdr:col>
      <xdr:colOff>252297</xdr:colOff>
      <xdr:row>27</xdr:row>
      <xdr:rowOff>126147</xdr:rowOff>
    </xdr:to>
    <xdr:sp macro="" textlink="">
      <xdr:nvSpPr>
        <xdr:cNvPr id="29" name="Metin kutusu 28">
          <a:extLst>
            <a:ext uri="{FF2B5EF4-FFF2-40B4-BE49-F238E27FC236}">
              <a16:creationId xmlns:a16="http://schemas.microsoft.com/office/drawing/2014/main" id="{35EA08A1-6096-13B8-6949-44ECC9C49B5A}"/>
            </a:ext>
          </a:extLst>
        </xdr:cNvPr>
        <xdr:cNvSpPr txBox="1"/>
      </xdr:nvSpPr>
      <xdr:spPr>
        <a:xfrm>
          <a:off x="10637269" y="4440092"/>
          <a:ext cx="3026228" cy="526996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300" b="1" i="0" cap="al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final notlarınıın cinsiyete göre kıyaslanması</a:t>
          </a:r>
          <a:endParaRPr lang="tr-TR" sz="1300">
            <a:effectLst/>
          </a:endParaRPr>
        </a:p>
        <a:p>
          <a:pPr algn="ctr"/>
          <a:r>
            <a:rPr lang="tr-TR" sz="1300" b="1"/>
            <a:t>D</a:t>
          </a:r>
        </a:p>
      </xdr:txBody>
    </xdr:sp>
    <xdr:clientData/>
  </xdr:twoCellAnchor>
  <xdr:twoCellAnchor>
    <xdr:from>
      <xdr:col>6</xdr:col>
      <xdr:colOff>233082</xdr:colOff>
      <xdr:row>29</xdr:row>
      <xdr:rowOff>80683</xdr:rowOff>
    </xdr:from>
    <xdr:to>
      <xdr:col>11</xdr:col>
      <xdr:colOff>277091</xdr:colOff>
      <xdr:row>45</xdr:row>
      <xdr:rowOff>33690</xdr:rowOff>
    </xdr:to>
    <xdr:graphicFrame macro="">
      <xdr:nvGraphicFramePr>
        <xdr:cNvPr id="30" name="Grafik 29">
          <a:extLst>
            <a:ext uri="{FF2B5EF4-FFF2-40B4-BE49-F238E27FC236}">
              <a16:creationId xmlns:a16="http://schemas.microsoft.com/office/drawing/2014/main" id="{326BC603-DCA1-4CAF-8B47-2587F92E9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263468</xdr:colOff>
      <xdr:row>46</xdr:row>
      <xdr:rowOff>59607</xdr:rowOff>
    </xdr:from>
    <xdr:to>
      <xdr:col>11</xdr:col>
      <xdr:colOff>241696</xdr:colOff>
      <xdr:row>49</xdr:row>
      <xdr:rowOff>48721</xdr:rowOff>
    </xdr:to>
    <xdr:sp macro="" textlink="">
      <xdr:nvSpPr>
        <xdr:cNvPr id="31" name="Metin kutusu 30">
          <a:extLst>
            <a:ext uri="{FF2B5EF4-FFF2-40B4-BE49-F238E27FC236}">
              <a16:creationId xmlns:a16="http://schemas.microsoft.com/office/drawing/2014/main" id="{5E6FBE38-21DD-450A-DD38-F5F1204C9793}"/>
            </a:ext>
          </a:extLst>
        </xdr:cNvPr>
        <xdr:cNvSpPr txBox="1"/>
      </xdr:nvSpPr>
      <xdr:spPr>
        <a:xfrm>
          <a:off x="3921068" y="8307136"/>
          <a:ext cx="3026228" cy="526997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tr-TR" sz="13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EKSTRA AKTİVİTE YAPANLARIN CİNSİYET BAZINDA DAĞILIMI</a:t>
          </a:r>
          <a:endParaRPr lang="tr-TR" sz="1300">
            <a:effectLst/>
          </a:endParaRPr>
        </a:p>
      </xdr:txBody>
    </xdr:sp>
    <xdr:clientData/>
  </xdr:twoCellAnchor>
  <xdr:twoCellAnchor>
    <xdr:from>
      <xdr:col>17</xdr:col>
      <xdr:colOff>130628</xdr:colOff>
      <xdr:row>46</xdr:row>
      <xdr:rowOff>37604</xdr:rowOff>
    </xdr:from>
    <xdr:to>
      <xdr:col>22</xdr:col>
      <xdr:colOff>108856</xdr:colOff>
      <xdr:row>50</xdr:row>
      <xdr:rowOff>79375</xdr:rowOff>
    </xdr:to>
    <xdr:sp macro="" textlink="">
      <xdr:nvSpPr>
        <xdr:cNvPr id="37" name="Metin kutusu 36">
          <a:extLst>
            <a:ext uri="{FF2B5EF4-FFF2-40B4-BE49-F238E27FC236}">
              <a16:creationId xmlns:a16="http://schemas.microsoft.com/office/drawing/2014/main" id="{1323D72D-BC9C-CE1A-1F41-1BCAD9DFEE21}"/>
            </a:ext>
          </a:extLst>
        </xdr:cNvPr>
        <xdr:cNvSpPr txBox="1"/>
      </xdr:nvSpPr>
      <xdr:spPr>
        <a:xfrm>
          <a:off x="11937659" y="8252917"/>
          <a:ext cx="3450885" cy="756146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300" b="1" i="0" cap="al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KATILIMI YÜKSEK AMA ORTALAMASI DÜŞÜK ÖĞRENCİLERİN ÇALIŞMA STİLLERİ</a:t>
          </a:r>
          <a:endParaRPr lang="tr-TR" sz="1300" b="1">
            <a:effectLst/>
          </a:endParaRPr>
        </a:p>
        <a:p>
          <a:endParaRPr lang="tr-TR" sz="1100"/>
        </a:p>
      </xdr:txBody>
    </xdr:sp>
    <xdr:clientData/>
  </xdr:twoCellAnchor>
  <xdr:twoCellAnchor>
    <xdr:from>
      <xdr:col>12</xdr:col>
      <xdr:colOff>17021</xdr:colOff>
      <xdr:row>46</xdr:row>
      <xdr:rowOff>59078</xdr:rowOff>
    </xdr:from>
    <xdr:to>
      <xdr:col>16</xdr:col>
      <xdr:colOff>604849</xdr:colOff>
      <xdr:row>49</xdr:row>
      <xdr:rowOff>48191</xdr:rowOff>
    </xdr:to>
    <xdr:sp macro="" textlink="">
      <xdr:nvSpPr>
        <xdr:cNvPr id="39" name="Metin kutusu 38">
          <a:extLst>
            <a:ext uri="{FF2B5EF4-FFF2-40B4-BE49-F238E27FC236}">
              <a16:creationId xmlns:a16="http://schemas.microsoft.com/office/drawing/2014/main" id="{F3BE569D-C6C1-5A49-30A0-0BADCEE98003}"/>
            </a:ext>
          </a:extLst>
        </xdr:cNvPr>
        <xdr:cNvSpPr txBox="1"/>
      </xdr:nvSpPr>
      <xdr:spPr>
        <a:xfrm>
          <a:off x="7332221" y="8471558"/>
          <a:ext cx="3026228" cy="537753"/>
        </a:xfrm>
        <a:prstGeom prst="rect">
          <a:avLst/>
        </a:prstGeom>
        <a:noFill/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300" b="1" i="0" cap="al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İNTERNET ERİŞİMİNE GÖRE ORTALAMA PUANLARIN KIYASLANMASI</a:t>
          </a:r>
          <a:endParaRPr lang="tr-TR" sz="1100"/>
        </a:p>
      </xdr:txBody>
    </xdr:sp>
    <xdr:clientData/>
  </xdr:twoCellAnchor>
  <xdr:twoCellAnchor editAs="oneCell">
    <xdr:from>
      <xdr:col>10</xdr:col>
      <xdr:colOff>259628</xdr:colOff>
      <xdr:row>28</xdr:row>
      <xdr:rowOff>157878</xdr:rowOff>
    </xdr:from>
    <xdr:to>
      <xdr:col>11</xdr:col>
      <xdr:colOff>129632</xdr:colOff>
      <xdr:row>31</xdr:row>
      <xdr:rowOff>84221</xdr:rowOff>
    </xdr:to>
    <xdr:pic>
      <xdr:nvPicPr>
        <xdr:cNvPr id="42" name="Grafik 41" descr="Rozet Takip Et ana ha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9FEC2E5-0171-4304-95F9-E7D67B7D9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355628" y="5178113"/>
          <a:ext cx="479604" cy="464226"/>
        </a:xfrm>
        <a:prstGeom prst="rect">
          <a:avLst/>
        </a:prstGeom>
      </xdr:spPr>
    </xdr:pic>
    <xdr:clientData/>
  </xdr:twoCellAnchor>
  <xdr:twoCellAnchor editAs="oneCell">
    <xdr:from>
      <xdr:col>21</xdr:col>
      <xdr:colOff>267855</xdr:colOff>
      <xdr:row>7</xdr:row>
      <xdr:rowOff>98064</xdr:rowOff>
    </xdr:from>
    <xdr:to>
      <xdr:col>22</xdr:col>
      <xdr:colOff>137859</xdr:colOff>
      <xdr:row>10</xdr:row>
      <xdr:rowOff>23924</xdr:rowOff>
    </xdr:to>
    <xdr:pic>
      <xdr:nvPicPr>
        <xdr:cNvPr id="38" name="Grafik 37" descr="Rozet Takip Et ana ha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4BAB8C4-A5C3-4280-8169-B89984AD2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3069455" y="1353123"/>
          <a:ext cx="479604" cy="463742"/>
        </a:xfrm>
        <a:prstGeom prst="rect">
          <a:avLst/>
        </a:prstGeom>
      </xdr:spPr>
    </xdr:pic>
    <xdr:clientData/>
  </xdr:twoCellAnchor>
  <xdr:twoCellAnchor>
    <xdr:from>
      <xdr:col>11</xdr:col>
      <xdr:colOff>456965</xdr:colOff>
      <xdr:row>31</xdr:row>
      <xdr:rowOff>106680</xdr:rowOff>
    </xdr:from>
    <xdr:to>
      <xdr:col>16</xdr:col>
      <xdr:colOff>600635</xdr:colOff>
      <xdr:row>45</xdr:row>
      <xdr:rowOff>15240</xdr:rowOff>
    </xdr:to>
    <xdr:graphicFrame macro="">
      <xdr:nvGraphicFramePr>
        <xdr:cNvPr id="48" name="Grafik 47">
          <a:extLst>
            <a:ext uri="{FF2B5EF4-FFF2-40B4-BE49-F238E27FC236}">
              <a16:creationId xmlns:a16="http://schemas.microsoft.com/office/drawing/2014/main" id="{2B516FBD-D99B-4745-B041-65A5FAD24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16</xdr:col>
      <xdr:colOff>22393</xdr:colOff>
      <xdr:row>28</xdr:row>
      <xdr:rowOff>159878</xdr:rowOff>
    </xdr:from>
    <xdr:to>
      <xdr:col>16</xdr:col>
      <xdr:colOff>501997</xdr:colOff>
      <xdr:row>31</xdr:row>
      <xdr:rowOff>79642</xdr:rowOff>
    </xdr:to>
    <xdr:pic>
      <xdr:nvPicPr>
        <xdr:cNvPr id="43" name="Grafik 42" descr="Rozet Takip Et ana ha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00232D5-C190-495F-936A-44E5827D3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9775993" y="5341478"/>
          <a:ext cx="479604" cy="474935"/>
        </a:xfrm>
        <a:prstGeom prst="rect">
          <a:avLst/>
        </a:prstGeom>
      </xdr:spPr>
    </xdr:pic>
    <xdr:clientData/>
  </xdr:twoCellAnchor>
  <xdr:twoCellAnchor>
    <xdr:from>
      <xdr:col>17</xdr:col>
      <xdr:colOff>228601</xdr:colOff>
      <xdr:row>30</xdr:row>
      <xdr:rowOff>89843</xdr:rowOff>
    </xdr:from>
    <xdr:to>
      <xdr:col>23</xdr:col>
      <xdr:colOff>163287</xdr:colOff>
      <xdr:row>44</xdr:row>
      <xdr:rowOff>55418</xdr:rowOff>
    </xdr:to>
    <xdr:graphicFrame macro="">
      <xdr:nvGraphicFramePr>
        <xdr:cNvPr id="49" name="Grafik 48">
          <a:extLst>
            <a:ext uri="{FF2B5EF4-FFF2-40B4-BE49-F238E27FC236}">
              <a16:creationId xmlns:a16="http://schemas.microsoft.com/office/drawing/2014/main" id="{BDCFA82C-849F-47F2-BD4E-4784122CB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21</xdr:col>
      <xdr:colOff>273696</xdr:colOff>
      <xdr:row>29</xdr:row>
      <xdr:rowOff>24629</xdr:rowOff>
    </xdr:from>
    <xdr:to>
      <xdr:col>22</xdr:col>
      <xdr:colOff>143700</xdr:colOff>
      <xdr:row>31</xdr:row>
      <xdr:rowOff>129451</xdr:rowOff>
    </xdr:to>
    <xdr:pic>
      <xdr:nvPicPr>
        <xdr:cNvPr id="41" name="Grafik 40" descr="Rozet Takip Et ana hat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2ADCF05-4696-401A-831B-D5D0C0685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3075296" y="5391286"/>
          <a:ext cx="479604" cy="474936"/>
        </a:xfrm>
        <a:prstGeom prst="rect">
          <a:avLst/>
        </a:prstGeom>
      </xdr:spPr>
    </xdr:pic>
    <xdr:clientData/>
  </xdr:twoCellAnchor>
  <xdr:twoCellAnchor editAs="oneCell">
    <xdr:from>
      <xdr:col>10</xdr:col>
      <xdr:colOff>220354</xdr:colOff>
      <xdr:row>7</xdr:row>
      <xdr:rowOff>54094</xdr:rowOff>
    </xdr:from>
    <xdr:to>
      <xdr:col>11</xdr:col>
      <xdr:colOff>90358</xdr:colOff>
      <xdr:row>9</xdr:row>
      <xdr:rowOff>165011</xdr:rowOff>
    </xdr:to>
    <xdr:pic>
      <xdr:nvPicPr>
        <xdr:cNvPr id="36" name="Grafik 35" descr="Rozet Takip Et ana hat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A941202B-329A-4DD1-835C-858E31C6A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316354" y="1349494"/>
          <a:ext cx="479604" cy="481031"/>
        </a:xfrm>
        <a:prstGeom prst="rect">
          <a:avLst/>
        </a:prstGeom>
      </xdr:spPr>
    </xdr:pic>
    <xdr:clientData/>
  </xdr:twoCellAnchor>
  <xdr:twoCellAnchor>
    <xdr:from>
      <xdr:col>4</xdr:col>
      <xdr:colOff>127000</xdr:colOff>
      <xdr:row>50</xdr:row>
      <xdr:rowOff>79375</xdr:rowOff>
    </xdr:from>
    <xdr:to>
      <xdr:col>23</xdr:col>
      <xdr:colOff>460375</xdr:colOff>
      <xdr:row>63</xdr:row>
      <xdr:rowOff>111125</xdr:rowOff>
    </xdr:to>
    <xdr:sp macro="" textlink="">
      <xdr:nvSpPr>
        <xdr:cNvPr id="20" name="Dikdörtgen: Köşeleri Yuvarlatılmış 19">
          <a:extLst>
            <a:ext uri="{FF2B5EF4-FFF2-40B4-BE49-F238E27FC236}">
              <a16:creationId xmlns:a16="http://schemas.microsoft.com/office/drawing/2014/main" id="{66195CE6-DF21-4A27-3698-7A6E3F45A648}"/>
            </a:ext>
          </a:extLst>
        </xdr:cNvPr>
        <xdr:cNvSpPr/>
      </xdr:nvSpPr>
      <xdr:spPr>
        <a:xfrm>
          <a:off x="2540000" y="9604375"/>
          <a:ext cx="11795125" cy="25082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6</xdr:col>
      <xdr:colOff>571500</xdr:colOff>
      <xdr:row>51</xdr:row>
      <xdr:rowOff>63501</xdr:rowOff>
    </xdr:from>
    <xdr:to>
      <xdr:col>9</xdr:col>
      <xdr:colOff>590550</xdr:colOff>
      <xdr:row>63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Harf Notu 1">
              <a:extLst>
                <a:ext uri="{FF2B5EF4-FFF2-40B4-BE49-F238E27FC236}">
                  <a16:creationId xmlns:a16="http://schemas.microsoft.com/office/drawing/2014/main" id="{DE494658-0FBE-4C29-9D21-046BC34962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arf Notu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8527" y="9516420"/>
              <a:ext cx="1872564" cy="216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301625</xdr:colOff>
      <xdr:row>51</xdr:row>
      <xdr:rowOff>15875</xdr:rowOff>
    </xdr:from>
    <xdr:to>
      <xdr:col>15</xdr:col>
      <xdr:colOff>320675</xdr:colOff>
      <xdr:row>62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Telefonda Geçirilen Süre 1">
              <a:extLst>
                <a:ext uri="{FF2B5EF4-FFF2-40B4-BE49-F238E27FC236}">
                  <a16:creationId xmlns:a16="http://schemas.microsoft.com/office/drawing/2014/main" id="{26E10A32-9709-4F9D-A349-BE36C80226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lefonda Geçirilen Sü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5679" y="9468794"/>
              <a:ext cx="1872564" cy="2118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254000</xdr:colOff>
      <xdr:row>51</xdr:row>
      <xdr:rowOff>1</xdr:rowOff>
    </xdr:from>
    <xdr:to>
      <xdr:col>21</xdr:col>
      <xdr:colOff>272424</xdr:colOff>
      <xdr:row>62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1" name="Çalışma Stili 1">
              <a:extLst>
                <a:ext uri="{FF2B5EF4-FFF2-40B4-BE49-F238E27FC236}">
                  <a16:creationId xmlns:a16="http://schemas.microsoft.com/office/drawing/2014/main" id="{34BB5CC8-6505-4DE3-B361-63919B82EB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Çalışma Stil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75081" y="9452920"/>
              <a:ext cx="1871938" cy="21817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24</xdr:col>
      <xdr:colOff>285750</xdr:colOff>
      <xdr:row>52</xdr:row>
      <xdr:rowOff>15875</xdr:rowOff>
    </xdr:from>
    <xdr:to>
      <xdr:col>26</xdr:col>
      <xdr:colOff>254000</xdr:colOff>
      <xdr:row>57</xdr:row>
      <xdr:rowOff>111125</xdr:rowOff>
    </xdr:to>
    <xdr:sp macro="" textlink="">
      <xdr:nvSpPr>
        <xdr:cNvPr id="52" name="Ok: Yukarı Bükülü 51">
          <a:extLst>
            <a:ext uri="{FF2B5EF4-FFF2-40B4-BE49-F238E27FC236}">
              <a16:creationId xmlns:a16="http://schemas.microsoft.com/office/drawing/2014/main" id="{5BF54933-ECCA-2B3D-99DE-EEA962C73D5C}"/>
            </a:ext>
          </a:extLst>
        </xdr:cNvPr>
        <xdr:cNvSpPr/>
      </xdr:nvSpPr>
      <xdr:spPr>
        <a:xfrm>
          <a:off x="14763750" y="9921875"/>
          <a:ext cx="1174750" cy="1047750"/>
        </a:xfrm>
        <a:prstGeom prst="bentUpArrow">
          <a:avLst/>
        </a:prstGeom>
        <a:solidFill>
          <a:sysClr val="window" lastClr="FFFFFF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</xdr:col>
      <xdr:colOff>476248</xdr:colOff>
      <xdr:row>52</xdr:row>
      <xdr:rowOff>108584</xdr:rowOff>
    </xdr:from>
    <xdr:to>
      <xdr:col>3</xdr:col>
      <xdr:colOff>337481</xdr:colOff>
      <xdr:row>57</xdr:row>
      <xdr:rowOff>174625</xdr:rowOff>
    </xdr:to>
    <xdr:sp macro="" textlink="">
      <xdr:nvSpPr>
        <xdr:cNvPr id="54" name="Ok: Yukarı Bükülü 53">
          <a:extLst>
            <a:ext uri="{FF2B5EF4-FFF2-40B4-BE49-F238E27FC236}">
              <a16:creationId xmlns:a16="http://schemas.microsoft.com/office/drawing/2014/main" id="{962A1FAD-8F35-43EF-B43A-DAD7665B12AC}"/>
            </a:ext>
          </a:extLst>
        </xdr:cNvPr>
        <xdr:cNvSpPr/>
      </xdr:nvSpPr>
      <xdr:spPr>
        <a:xfrm flipH="1">
          <a:off x="1079498" y="10014584"/>
          <a:ext cx="1067733" cy="1018541"/>
        </a:xfrm>
        <a:prstGeom prst="bentUpArrow">
          <a:avLst/>
        </a:prstGeom>
        <a:solidFill>
          <a:sysClr val="window" lastClr="FFFFFF"/>
        </a:solidFill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ümeysa Yılmaz 3354" refreshedDate="46012.72661863426" createdVersion="8" refreshedVersion="8" minRefreshableVersion="3" recordCount="319" xr:uid="{00000000-000A-0000-FFFF-FFFF00000000}">
  <cacheSource type="worksheet">
    <worksheetSource ref="A1:P320" sheet="TEMİZLENMİŞ VERİ"/>
  </cacheSource>
  <cacheFields count="16">
    <cacheField name="Öğrenci ID" numFmtId="0">
      <sharedItems containsSemiMixedTypes="0" containsString="0" containsNumber="1" containsInteger="1" minValue="1" maxValue="319"/>
    </cacheField>
    <cacheField name="Yaş" numFmtId="0">
      <sharedItems containsSemiMixedTypes="0" containsString="0" containsNumber="1" containsInteger="1" minValue="14" maxValue="19"/>
    </cacheField>
    <cacheField name="Cinsiyet" numFmtId="0">
      <sharedItems count="3">
        <s v="Erkek"/>
        <s v="Kadın"/>
        <s v="Diğer"/>
      </sharedItems>
    </cacheField>
    <cacheField name="Okul Türü" numFmtId="0">
      <sharedItems count="2">
        <s v="Devlet okulu"/>
        <s v="Özel okul"/>
      </sharedItems>
    </cacheField>
    <cacheField name="Ebeveyn Öğrenim Durumu" numFmtId="0">
      <sharedItems/>
    </cacheField>
    <cacheField name="Ders Çalışma Süresi" numFmtId="0">
      <sharedItems containsSemiMixedTypes="0" containsString="0" containsNumber="1" containsInteger="1" minValue="1" maxValue="7"/>
    </cacheField>
    <cacheField name="Katılım Yüzdesi" numFmtId="0">
      <sharedItems containsSemiMixedTypes="0" containsString="0" containsNumber="1" containsInteger="1" minValue="50" maxValue="100" count="51">
        <n v="84"/>
        <n v="88"/>
        <n v="66"/>
        <n v="58"/>
        <n v="61"/>
        <n v="70"/>
        <n v="82"/>
        <n v="59"/>
        <n v="90"/>
        <n v="62"/>
        <n v="91"/>
        <n v="96"/>
        <n v="85"/>
        <n v="94"/>
        <n v="67"/>
        <n v="93"/>
        <n v="74"/>
        <n v="60"/>
        <n v="100"/>
        <n v="97"/>
        <n v="56"/>
        <n v="73"/>
        <n v="99"/>
        <n v="77"/>
        <n v="75"/>
        <n v="71"/>
        <n v="86"/>
        <n v="55"/>
        <n v="50"/>
        <n v="57"/>
        <n v="92"/>
        <n v="54"/>
        <n v="53"/>
        <n v="72"/>
        <n v="89"/>
        <n v="79"/>
        <n v="69"/>
        <n v="87"/>
        <n v="80"/>
        <n v="52"/>
        <n v="95"/>
        <n v="98"/>
        <n v="63"/>
        <n v="65"/>
        <n v="64"/>
        <n v="78"/>
        <n v="68"/>
        <n v="81"/>
        <n v="83"/>
        <n v="76"/>
        <n v="51"/>
      </sharedItems>
    </cacheField>
    <cacheField name="İnternet Erişimi" numFmtId="0">
      <sharedItems count="2">
        <s v="Var"/>
        <s v="Yok"/>
      </sharedItems>
    </cacheField>
    <cacheField name="Telefonda Geçirilen Süre" numFmtId="0">
      <sharedItems containsSemiMixedTypes="0" containsString="0" containsNumber="1" containsInteger="1" minValue="10" maxValue="75" count="4">
        <n v="10"/>
        <n v="75"/>
        <n v="20"/>
        <n v="45"/>
      </sharedItems>
    </cacheField>
    <cacheField name="Extra Aktivite" numFmtId="0">
      <sharedItems count="2">
        <s v="Var"/>
        <s v="Yok"/>
      </sharedItems>
    </cacheField>
    <cacheField name="Çalışma Methodu" numFmtId="0">
      <sharedItems count="6">
        <s v="Not Alarak"/>
        <s v="Ders Kitabı"/>
        <s v="Grup Çalışması"/>
        <s v="Bireysel Koçluk"/>
        <s v="Karma Yöntem"/>
        <s v="online videos"/>
      </sharedItems>
    </cacheField>
    <cacheField name="Matematik Notu" numFmtId="0">
      <sharedItems containsSemiMixedTypes="0" containsString="0" containsNumber="1" containsInteger="1" minValue="30" maxValue="100" count="71">
        <n v="44"/>
        <n v="38"/>
        <n v="91"/>
        <n v="66"/>
        <n v="74"/>
        <n v="98"/>
        <n v="50"/>
        <n v="75"/>
        <n v="65"/>
        <n v="89"/>
        <n v="79"/>
        <n v="35"/>
        <n v="76"/>
        <n v="73"/>
        <n v="46"/>
        <n v="71"/>
        <n v="41"/>
        <n v="68"/>
        <n v="56"/>
        <n v="59"/>
        <n v="90"/>
        <n v="93"/>
        <n v="33"/>
        <n v="61"/>
        <n v="55"/>
        <n v="97"/>
        <n v="95"/>
        <n v="57"/>
        <n v="77"/>
        <n v="34"/>
        <n v="32"/>
        <n v="82"/>
        <n v="70"/>
        <n v="87"/>
        <n v="81"/>
        <n v="53"/>
        <n v="60"/>
        <n v="78"/>
        <n v="51"/>
        <n v="42"/>
        <n v="96"/>
        <n v="31"/>
        <n v="62"/>
        <n v="86"/>
        <n v="64"/>
        <n v="99"/>
        <n v="39"/>
        <n v="52"/>
        <n v="92"/>
        <n v="72"/>
        <n v="43"/>
        <n v="94"/>
        <n v="69"/>
        <n v="85"/>
        <n v="58"/>
        <n v="83"/>
        <n v="37"/>
        <n v="84"/>
        <n v="100"/>
        <n v="40"/>
        <n v="45"/>
        <n v="49"/>
        <n v="48"/>
        <n v="47"/>
        <n v="67"/>
        <n v="36"/>
        <n v="80"/>
        <n v="88"/>
        <n v="54"/>
        <n v="63"/>
        <n v="30"/>
      </sharedItems>
    </cacheField>
    <cacheField name="Fen Notu" numFmtId="0">
      <sharedItems containsSemiMixedTypes="0" containsString="0" containsNumber="1" containsInteger="1" minValue="20" maxValue="100" count="80">
        <n v="40"/>
        <n v="39"/>
        <n v="84"/>
        <n v="30"/>
        <n v="68"/>
        <n v="95"/>
        <n v="99"/>
        <n v="81"/>
        <n v="37"/>
        <n v="71"/>
        <n v="73"/>
        <n v="80"/>
        <n v="60"/>
        <n v="49"/>
        <n v="61"/>
        <n v="77"/>
        <n v="47"/>
        <n v="91"/>
        <n v="88"/>
        <n v="42"/>
        <n v="33"/>
        <n v="94"/>
        <n v="50"/>
        <n v="72"/>
        <n v="70"/>
        <n v="41"/>
        <n v="45"/>
        <n v="96"/>
        <n v="21"/>
        <n v="92"/>
        <n v="74"/>
        <n v="86"/>
        <n v="75"/>
        <n v="62"/>
        <n v="52"/>
        <n v="93"/>
        <n v="38"/>
        <n v="35"/>
        <n v="82"/>
        <n v="67"/>
        <n v="89"/>
        <n v="43"/>
        <n v="24"/>
        <n v="54"/>
        <n v="90"/>
        <n v="48"/>
        <n v="26"/>
        <n v="83"/>
        <n v="28"/>
        <n v="32"/>
        <n v="100"/>
        <n v="97"/>
        <n v="63"/>
        <n v="53"/>
        <n v="22"/>
        <n v="23"/>
        <n v="56"/>
        <n v="87"/>
        <n v="20"/>
        <n v="25"/>
        <n v="85"/>
        <n v="29"/>
        <n v="79"/>
        <n v="36"/>
        <n v="76"/>
        <n v="27"/>
        <n v="98"/>
        <n v="64"/>
        <n v="59"/>
        <n v="46"/>
        <n v="55"/>
        <n v="66"/>
        <n v="44"/>
        <n v="58"/>
        <n v="69"/>
        <n v="65"/>
        <n v="57"/>
        <n v="51"/>
        <n v="31"/>
        <n v="78"/>
      </sharedItems>
    </cacheField>
    <cacheField name="İngilizce Notu" numFmtId="0">
      <sharedItems containsSemiMixedTypes="0" containsString="0" containsNumber="1" containsInteger="1" minValue="42" maxValue="100" count="59">
        <n v="75"/>
        <n v="64"/>
        <n v="57"/>
        <n v="88"/>
        <n v="53"/>
        <n v="72"/>
        <n v="74"/>
        <n v="89"/>
        <n v="93"/>
        <n v="49"/>
        <n v="85"/>
        <n v="99"/>
        <n v="65"/>
        <n v="54"/>
        <n v="45"/>
        <n v="82"/>
        <n v="56"/>
        <n v="86"/>
        <n v="77"/>
        <n v="94"/>
        <n v="70"/>
        <n v="92"/>
        <n v="79"/>
        <n v="63"/>
        <n v="44"/>
        <n v="42"/>
        <n v="76"/>
        <n v="73"/>
        <n v="69"/>
        <n v="96"/>
        <n v="50"/>
        <n v="97"/>
        <n v="90"/>
        <n v="71"/>
        <n v="95"/>
        <n v="66"/>
        <n v="98"/>
        <n v="51"/>
        <n v="58"/>
        <n v="78"/>
        <n v="68"/>
        <n v="100"/>
        <n v="84"/>
        <n v="52"/>
        <n v="80"/>
        <n v="61"/>
        <n v="91"/>
        <n v="59"/>
        <n v="46"/>
        <n v="48"/>
        <n v="81"/>
        <n v="62"/>
        <n v="43"/>
        <n v="60"/>
        <n v="87"/>
        <n v="55"/>
        <n v="67"/>
        <n v="83"/>
        <n v="47"/>
      </sharedItems>
    </cacheField>
    <cacheField name="Ortalama" numFmtId="0">
      <sharedItems containsSemiMixedTypes="0" containsString="0" containsNumber="1" minValue="36" maxValue="96.666666666666671" count="129">
        <n v="53"/>
        <n v="47"/>
        <n v="77.333333333333329"/>
        <n v="61.333333333333336"/>
        <n v="65"/>
        <n v="85.666666666666671"/>
        <n v="73.666666666666671"/>
        <n v="76.666666666666671"/>
        <n v="51.666666666666664"/>
        <n v="83"/>
        <n v="70.333333333333329"/>
        <n v="52.333333333333336"/>
        <n v="85.333333333333329"/>
        <n v="78.333333333333329"/>
        <n v="64.333333333333329"/>
        <n v="63.666666666666664"/>
        <n v="70.666666666666671"/>
        <n v="58"/>
        <n v="84"/>
        <n v="69.666666666666671"/>
        <n v="42.666666666666664"/>
        <n v="73.333333333333329"/>
        <n v="80"/>
        <n v="79.666666666666671"/>
        <n v="73"/>
        <n v="67.666666666666671"/>
        <n v="69"/>
        <n v="38.666666666666664"/>
        <n v="39.333333333333336"/>
        <n v="87"/>
        <n v="62.666666666666664"/>
        <n v="58.333333333333336"/>
        <n v="92.333333333333329"/>
        <n v="60.666666666666664"/>
        <n v="78.666666666666671"/>
        <n v="71.666666666666671"/>
        <n v="76"/>
        <n v="72.333333333333329"/>
        <n v="60"/>
        <n v="54"/>
        <n v="80.333333333333329"/>
        <n v="74"/>
        <n v="64"/>
        <n v="55.666666666666664"/>
        <n v="91.666666666666671"/>
        <n v="67"/>
        <n v="81.333333333333329"/>
        <n v="68.333333333333329"/>
        <n v="70"/>
        <n v="63"/>
        <n v="67.333333333333329"/>
        <n v="71.333333333333329"/>
        <n v="65.333333333333329"/>
        <n v="61"/>
        <n v="74.666666666666671"/>
        <n v="79"/>
        <n v="81"/>
        <n v="60.333333333333336"/>
        <n v="75.333333333333329"/>
        <n v="77.666666666666671"/>
        <n v="38"/>
        <n v="47.666666666666664"/>
        <n v="63.333333333333336"/>
        <n v="86.666666666666671"/>
        <n v="68"/>
        <n v="66.666666666666671"/>
        <n v="82.666666666666671"/>
        <n v="57.333333333333336"/>
        <n v="48.333333333333336"/>
        <n v="45.333333333333336"/>
        <n v="74.333333333333329"/>
        <n v="80.666666666666671"/>
        <n v="56.666666666666664"/>
        <n v="92"/>
        <n v="91"/>
        <n v="82.333333333333329"/>
        <n v="57.666666666666664"/>
        <n v="59"/>
        <n v="75.666666666666671"/>
        <n v="51.333333333333336"/>
        <n v="72.666666666666671"/>
        <n v="53.666666666666664"/>
        <n v="88"/>
        <n v="39.666666666666664"/>
        <n v="58.666666666666664"/>
        <n v="45.666666666666664"/>
        <n v="83.333333333333329"/>
        <n v="55.333333333333336"/>
        <n v="68.666666666666671"/>
        <n v="53.333333333333336"/>
        <n v="56"/>
        <n v="62"/>
        <n v="49"/>
        <n v="46"/>
        <n v="96.666666666666671"/>
        <n v="83.666666666666671"/>
        <n v="51"/>
        <n v="57"/>
        <n v="69.333333333333329"/>
        <n v="62.333333333333336"/>
        <n v="52"/>
        <n v="64.666666666666671"/>
        <n v="65.666666666666671"/>
        <n v="71"/>
        <n v="93.666666666666671"/>
        <n v="86"/>
        <n v="48"/>
        <n v="90.333333333333329"/>
        <n v="43"/>
        <n v="52.666666666666664"/>
        <n v="66.333333333333329"/>
        <n v="43.333333333333336"/>
        <n v="44.666666666666664"/>
        <n v="38.333333333333336"/>
        <n v="66"/>
        <n v="75"/>
        <n v="90.666666666666671"/>
        <n v="77"/>
        <n v="42.333333333333336"/>
        <n v="87.666666666666671"/>
        <n v="50.333333333333336"/>
        <n v="76.333333333333329"/>
        <n v="49.333333333333336"/>
        <n v="54.333333333333336"/>
        <n v="54.666666666666664"/>
        <n v="55"/>
        <n v="44.333333333333336"/>
        <n v="36"/>
        <n v="48.666666666666664"/>
      </sharedItems>
    </cacheField>
    <cacheField name="Harf Notu" numFmtId="0">
      <sharedItems count="5">
        <s v="D"/>
        <s v="C"/>
        <s v="B"/>
        <s v="F"/>
        <s v="A"/>
      </sharedItems>
    </cacheField>
  </cacheFields>
  <extLst>
    <ext xmlns:x14="http://schemas.microsoft.com/office/spreadsheetml/2009/9/main" uri="{725AE2AE-9491-48be-B2B4-4EB974FC3084}">
      <x14:pivotCacheDefinition pivotCacheId="11149381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ümeysa Yılmaz 3354" refreshedDate="46012.840258217591" createdVersion="8" refreshedVersion="8" minRefreshableVersion="3" recordCount="319" xr:uid="{00000000-000A-0000-FFFF-FFFF01000000}">
  <cacheSource type="worksheet">
    <worksheetSource ref="A1:Q320" sheet="TEMİZLENMİŞ VERİ"/>
  </cacheSource>
  <cacheFields count="17">
    <cacheField name="Öğrenci ID" numFmtId="0">
      <sharedItems containsSemiMixedTypes="0" containsString="0" containsNumber="1" containsInteger="1" minValue="1" maxValue="319"/>
    </cacheField>
    <cacheField name="Yaş" numFmtId="0">
      <sharedItems containsSemiMixedTypes="0" containsString="0" containsNumber="1" containsInteger="1" minValue="14" maxValue="19"/>
    </cacheField>
    <cacheField name="Cinsiyet" numFmtId="0">
      <sharedItems/>
    </cacheField>
    <cacheField name="Okul Türü" numFmtId="0">
      <sharedItems/>
    </cacheField>
    <cacheField name="Ebeveyn Öğrenim Durumu" numFmtId="0">
      <sharedItems count="6">
        <s v="Yüksek Lisans"/>
        <s v="Lisans"/>
        <s v="Lise"/>
        <s v="Okur yazar değil"/>
        <s v="Ön Lisans"/>
        <s v="Doktora"/>
      </sharedItems>
    </cacheField>
    <cacheField name="Ders Çalışma Süresi" numFmtId="0">
      <sharedItems containsSemiMixedTypes="0" containsString="0" containsNumber="1" containsInteger="1" minValue="1" maxValue="7" count="7">
        <n v="7"/>
        <n v="4"/>
        <n v="1"/>
        <n v="5"/>
        <n v="2"/>
        <n v="3"/>
        <n v="6"/>
      </sharedItems>
    </cacheField>
    <cacheField name="Katılım Yüzdesi" numFmtId="0">
      <sharedItems containsSemiMixedTypes="0" containsString="0" containsNumber="1" containsInteger="1" minValue="50" maxValue="100" count="51">
        <n v="84"/>
        <n v="88"/>
        <n v="66"/>
        <n v="58"/>
        <n v="61"/>
        <n v="70"/>
        <n v="82"/>
        <n v="59"/>
        <n v="90"/>
        <n v="62"/>
        <n v="91"/>
        <n v="96"/>
        <n v="85"/>
        <n v="94"/>
        <n v="67"/>
        <n v="93"/>
        <n v="74"/>
        <n v="60"/>
        <n v="100"/>
        <n v="97"/>
        <n v="56"/>
        <n v="73"/>
        <n v="99"/>
        <n v="77"/>
        <n v="75"/>
        <n v="71"/>
        <n v="86"/>
        <n v="55"/>
        <n v="50"/>
        <n v="57"/>
        <n v="92"/>
        <n v="54"/>
        <n v="53"/>
        <n v="72"/>
        <n v="89"/>
        <n v="79"/>
        <n v="69"/>
        <n v="87"/>
        <n v="80"/>
        <n v="52"/>
        <n v="95"/>
        <n v="98"/>
        <n v="63"/>
        <n v="65"/>
        <n v="64"/>
        <n v="78"/>
        <n v="68"/>
        <n v="81"/>
        <n v="83"/>
        <n v="76"/>
        <n v="51"/>
      </sharedItems>
    </cacheField>
    <cacheField name="İnternet Erişimi" numFmtId="0">
      <sharedItems/>
    </cacheField>
    <cacheField name="Telefonda Geçirilen Süre" numFmtId="0">
      <sharedItems containsSemiMixedTypes="0" containsString="0" containsNumber="1" containsInteger="1" minValue="10" maxValue="75" count="4">
        <n v="10"/>
        <n v="75"/>
        <n v="20"/>
        <n v="45"/>
      </sharedItems>
    </cacheField>
    <cacheField name="Extra Aktivite" numFmtId="0">
      <sharedItems/>
    </cacheField>
    <cacheField name="Çalışma Stili" numFmtId="0">
      <sharedItems count="6">
        <s v="Not Alarak"/>
        <s v="Ders Kitabı"/>
        <s v="Grup Çalışması"/>
        <s v="Bireysel Koçluk"/>
        <s v="Karma Yöntem"/>
        <s v="online videos"/>
      </sharedItems>
    </cacheField>
    <cacheField name="Matematik Notu" numFmtId="0">
      <sharedItems containsSemiMixedTypes="0" containsString="0" containsNumber="1" containsInteger="1" minValue="30" maxValue="100"/>
    </cacheField>
    <cacheField name="Fen Notu" numFmtId="0">
      <sharedItems containsSemiMixedTypes="0" containsString="0" containsNumber="1" containsInteger="1" minValue="20" maxValue="100"/>
    </cacheField>
    <cacheField name="İngilizce Notu" numFmtId="0">
      <sharedItems containsSemiMixedTypes="0" containsString="0" containsNumber="1" containsInteger="1" minValue="42" maxValue="100"/>
    </cacheField>
    <cacheField name="Ortalama" numFmtId="0">
      <sharedItems containsSemiMixedTypes="0" containsString="0" containsNumber="1" minValue="36" maxValue="96.666666666666671" count="129">
        <n v="53"/>
        <n v="47"/>
        <n v="77.333333333333329"/>
        <n v="61.333333333333336"/>
        <n v="65"/>
        <n v="85.666666666666671"/>
        <n v="73.666666666666671"/>
        <n v="76.666666666666671"/>
        <n v="51.666666666666664"/>
        <n v="83"/>
        <n v="70.333333333333329"/>
        <n v="52.333333333333336"/>
        <n v="85.333333333333329"/>
        <n v="78.333333333333329"/>
        <n v="64.333333333333329"/>
        <n v="63.666666666666664"/>
        <n v="70.666666666666671"/>
        <n v="58"/>
        <n v="84"/>
        <n v="69.666666666666671"/>
        <n v="42.666666666666664"/>
        <n v="73.333333333333329"/>
        <n v="80"/>
        <n v="79.666666666666671"/>
        <n v="73"/>
        <n v="67.666666666666671"/>
        <n v="69"/>
        <n v="38.666666666666664"/>
        <n v="39.333333333333336"/>
        <n v="87"/>
        <n v="62.666666666666664"/>
        <n v="58.333333333333336"/>
        <n v="92.333333333333329"/>
        <n v="60.666666666666664"/>
        <n v="78.666666666666671"/>
        <n v="71.666666666666671"/>
        <n v="76"/>
        <n v="72.333333333333329"/>
        <n v="60"/>
        <n v="54"/>
        <n v="80.333333333333329"/>
        <n v="74"/>
        <n v="64"/>
        <n v="55.666666666666664"/>
        <n v="91.666666666666671"/>
        <n v="67"/>
        <n v="81.333333333333329"/>
        <n v="68.333333333333329"/>
        <n v="70"/>
        <n v="63"/>
        <n v="67.333333333333329"/>
        <n v="71.333333333333329"/>
        <n v="65.333333333333329"/>
        <n v="61"/>
        <n v="74.666666666666671"/>
        <n v="79"/>
        <n v="81"/>
        <n v="60.333333333333336"/>
        <n v="75.333333333333329"/>
        <n v="77.666666666666671"/>
        <n v="38"/>
        <n v="47.666666666666664"/>
        <n v="63.333333333333336"/>
        <n v="86.666666666666671"/>
        <n v="68"/>
        <n v="66.666666666666671"/>
        <n v="82.666666666666671"/>
        <n v="57.333333333333336"/>
        <n v="48.333333333333336"/>
        <n v="45.333333333333336"/>
        <n v="74.333333333333329"/>
        <n v="80.666666666666671"/>
        <n v="56.666666666666664"/>
        <n v="92"/>
        <n v="91"/>
        <n v="82.333333333333329"/>
        <n v="57.666666666666664"/>
        <n v="59"/>
        <n v="75.666666666666671"/>
        <n v="51.333333333333336"/>
        <n v="72.666666666666671"/>
        <n v="53.666666666666664"/>
        <n v="88"/>
        <n v="39.666666666666664"/>
        <n v="58.666666666666664"/>
        <n v="45.666666666666664"/>
        <n v="83.333333333333329"/>
        <n v="55.333333333333336"/>
        <n v="68.666666666666671"/>
        <n v="53.333333333333336"/>
        <n v="56"/>
        <n v="62"/>
        <n v="49"/>
        <n v="46"/>
        <n v="96.666666666666671"/>
        <n v="83.666666666666671"/>
        <n v="51"/>
        <n v="57"/>
        <n v="69.333333333333329"/>
        <n v="62.333333333333336"/>
        <n v="52"/>
        <n v="64.666666666666671"/>
        <n v="65.666666666666671"/>
        <n v="71"/>
        <n v="93.666666666666671"/>
        <n v="86"/>
        <n v="48"/>
        <n v="90.333333333333329"/>
        <n v="43"/>
        <n v="52.666666666666664"/>
        <n v="66.333333333333329"/>
        <n v="43.333333333333336"/>
        <n v="44.666666666666664"/>
        <n v="38.333333333333336"/>
        <n v="66"/>
        <n v="75"/>
        <n v="90.666666666666671"/>
        <n v="77"/>
        <n v="42.333333333333336"/>
        <n v="87.666666666666671"/>
        <n v="50.333333333333336"/>
        <n v="76.333333333333329"/>
        <n v="49.333333333333336"/>
        <n v="54.333333333333336"/>
        <n v="54.666666666666664"/>
        <n v="55"/>
        <n v="44.333333333333336"/>
        <n v="36"/>
        <n v="48.666666666666664"/>
      </sharedItems>
    </cacheField>
    <cacheField name="Harf Notu" numFmtId="0">
      <sharedItems/>
    </cacheField>
    <cacheField name="Mat&gt;ortalama?" numFmtId="0">
      <sharedItems count="2">
        <s v="Evet"/>
        <s v="Hayır"/>
      </sharedItems>
    </cacheField>
  </cacheFields>
  <extLst>
    <ext xmlns:x14="http://schemas.microsoft.com/office/spreadsheetml/2009/9/main" uri="{725AE2AE-9491-48be-B2B4-4EB974FC3084}">
      <x14:pivotCacheDefinition pivotCacheId="5963046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n v="1"/>
    <n v="14"/>
    <x v="0"/>
    <x v="0"/>
    <s v="Yüksek Lisans"/>
    <n v="7"/>
    <x v="0"/>
    <x v="0"/>
    <x v="0"/>
    <x v="0"/>
    <x v="0"/>
    <x v="0"/>
    <x v="0"/>
    <x v="0"/>
    <x v="0"/>
    <x v="0"/>
  </r>
  <r>
    <n v="2"/>
    <n v="18"/>
    <x v="1"/>
    <x v="0"/>
    <s v="Lisans"/>
    <n v="4"/>
    <x v="1"/>
    <x v="0"/>
    <x v="1"/>
    <x v="1"/>
    <x v="1"/>
    <x v="1"/>
    <x v="1"/>
    <x v="1"/>
    <x v="1"/>
    <x v="0"/>
  </r>
  <r>
    <n v="3"/>
    <n v="17"/>
    <x v="1"/>
    <x v="1"/>
    <s v="Yüksek Lisans"/>
    <n v="7"/>
    <x v="2"/>
    <x v="1"/>
    <x v="0"/>
    <x v="1"/>
    <x v="0"/>
    <x v="2"/>
    <x v="2"/>
    <x v="2"/>
    <x v="2"/>
    <x v="1"/>
  </r>
  <r>
    <n v="4"/>
    <n v="16"/>
    <x v="2"/>
    <x v="0"/>
    <s v="Lise"/>
    <n v="1"/>
    <x v="3"/>
    <x v="1"/>
    <x v="2"/>
    <x v="1"/>
    <x v="0"/>
    <x v="3"/>
    <x v="3"/>
    <x v="3"/>
    <x v="3"/>
    <x v="1"/>
  </r>
  <r>
    <n v="5"/>
    <n v="16"/>
    <x v="1"/>
    <x v="0"/>
    <s v="Lise"/>
    <n v="5"/>
    <x v="4"/>
    <x v="0"/>
    <x v="3"/>
    <x v="0"/>
    <x v="2"/>
    <x v="4"/>
    <x v="4"/>
    <x v="4"/>
    <x v="4"/>
    <x v="1"/>
  </r>
  <r>
    <n v="6"/>
    <n v="19"/>
    <x v="0"/>
    <x v="0"/>
    <s v="Okur yazar değil"/>
    <n v="5"/>
    <x v="5"/>
    <x v="0"/>
    <x v="1"/>
    <x v="0"/>
    <x v="3"/>
    <x v="5"/>
    <x v="5"/>
    <x v="1"/>
    <x v="5"/>
    <x v="2"/>
  </r>
  <r>
    <n v="7"/>
    <n v="14"/>
    <x v="1"/>
    <x v="1"/>
    <s v="Yüksek Lisans"/>
    <n v="2"/>
    <x v="6"/>
    <x v="0"/>
    <x v="3"/>
    <x v="1"/>
    <x v="1"/>
    <x v="6"/>
    <x v="6"/>
    <x v="5"/>
    <x v="6"/>
    <x v="1"/>
  </r>
  <r>
    <n v="8"/>
    <n v="18"/>
    <x v="1"/>
    <x v="1"/>
    <s v="Yüksek Lisans"/>
    <n v="7"/>
    <x v="7"/>
    <x v="0"/>
    <x v="1"/>
    <x v="0"/>
    <x v="2"/>
    <x v="7"/>
    <x v="7"/>
    <x v="6"/>
    <x v="7"/>
    <x v="1"/>
  </r>
  <r>
    <n v="9"/>
    <n v="15"/>
    <x v="2"/>
    <x v="1"/>
    <s v="Lise"/>
    <n v="5"/>
    <x v="8"/>
    <x v="0"/>
    <x v="2"/>
    <x v="0"/>
    <x v="4"/>
    <x v="8"/>
    <x v="8"/>
    <x v="4"/>
    <x v="8"/>
    <x v="0"/>
  </r>
  <r>
    <n v="10"/>
    <n v="14"/>
    <x v="1"/>
    <x v="0"/>
    <s v="Ön Lisans"/>
    <n v="2"/>
    <x v="9"/>
    <x v="0"/>
    <x v="1"/>
    <x v="1"/>
    <x v="4"/>
    <x v="9"/>
    <x v="9"/>
    <x v="7"/>
    <x v="9"/>
    <x v="2"/>
  </r>
  <r>
    <n v="11"/>
    <n v="17"/>
    <x v="1"/>
    <x v="1"/>
    <s v="Lisans"/>
    <n v="5"/>
    <x v="10"/>
    <x v="0"/>
    <x v="2"/>
    <x v="1"/>
    <x v="0"/>
    <x v="10"/>
    <x v="1"/>
    <x v="8"/>
    <x v="10"/>
    <x v="1"/>
  </r>
  <r>
    <n v="12"/>
    <n v="19"/>
    <x v="2"/>
    <x v="0"/>
    <s v="Yüksek Lisans"/>
    <n v="3"/>
    <x v="11"/>
    <x v="0"/>
    <x v="0"/>
    <x v="0"/>
    <x v="0"/>
    <x v="11"/>
    <x v="10"/>
    <x v="9"/>
    <x v="11"/>
    <x v="0"/>
  </r>
  <r>
    <n v="13"/>
    <n v="18"/>
    <x v="1"/>
    <x v="1"/>
    <s v="Lise"/>
    <n v="2"/>
    <x v="3"/>
    <x v="0"/>
    <x v="1"/>
    <x v="1"/>
    <x v="4"/>
    <x v="2"/>
    <x v="11"/>
    <x v="10"/>
    <x v="12"/>
    <x v="2"/>
  </r>
  <r>
    <n v="14"/>
    <n v="18"/>
    <x v="2"/>
    <x v="0"/>
    <s v="Ön Lisans"/>
    <n v="2"/>
    <x v="11"/>
    <x v="0"/>
    <x v="3"/>
    <x v="0"/>
    <x v="1"/>
    <x v="12"/>
    <x v="12"/>
    <x v="11"/>
    <x v="13"/>
    <x v="1"/>
  </r>
  <r>
    <n v="15"/>
    <n v="18"/>
    <x v="2"/>
    <x v="0"/>
    <s v="Lise"/>
    <n v="7"/>
    <x v="12"/>
    <x v="0"/>
    <x v="0"/>
    <x v="1"/>
    <x v="3"/>
    <x v="10"/>
    <x v="13"/>
    <x v="12"/>
    <x v="14"/>
    <x v="1"/>
  </r>
  <r>
    <n v="16"/>
    <n v="18"/>
    <x v="2"/>
    <x v="1"/>
    <s v="Yüksek Lisans"/>
    <n v="3"/>
    <x v="13"/>
    <x v="0"/>
    <x v="2"/>
    <x v="0"/>
    <x v="3"/>
    <x v="12"/>
    <x v="14"/>
    <x v="13"/>
    <x v="15"/>
    <x v="1"/>
  </r>
  <r>
    <n v="17"/>
    <n v="17"/>
    <x v="2"/>
    <x v="1"/>
    <s v="Doktora"/>
    <n v="2"/>
    <x v="14"/>
    <x v="0"/>
    <x v="0"/>
    <x v="0"/>
    <x v="4"/>
    <x v="13"/>
    <x v="15"/>
    <x v="14"/>
    <x v="4"/>
    <x v="1"/>
  </r>
  <r>
    <n v="18"/>
    <n v="14"/>
    <x v="1"/>
    <x v="0"/>
    <s v="Yüksek Lisans"/>
    <n v="6"/>
    <x v="15"/>
    <x v="0"/>
    <x v="2"/>
    <x v="0"/>
    <x v="5"/>
    <x v="14"/>
    <x v="2"/>
    <x v="15"/>
    <x v="16"/>
    <x v="1"/>
  </r>
  <r>
    <n v="19"/>
    <n v="19"/>
    <x v="0"/>
    <x v="0"/>
    <s v="Yüksek Lisans"/>
    <n v="6"/>
    <x v="16"/>
    <x v="0"/>
    <x v="3"/>
    <x v="0"/>
    <x v="5"/>
    <x v="15"/>
    <x v="16"/>
    <x v="16"/>
    <x v="17"/>
    <x v="0"/>
  </r>
  <r>
    <n v="20"/>
    <n v="16"/>
    <x v="1"/>
    <x v="0"/>
    <s v="Yüksek Lisans"/>
    <n v="6"/>
    <x v="17"/>
    <x v="0"/>
    <x v="0"/>
    <x v="1"/>
    <x v="4"/>
    <x v="7"/>
    <x v="17"/>
    <x v="17"/>
    <x v="18"/>
    <x v="2"/>
  </r>
  <r>
    <n v="21"/>
    <n v="17"/>
    <x v="0"/>
    <x v="1"/>
    <s v="Doktora"/>
    <n v="3"/>
    <x v="18"/>
    <x v="0"/>
    <x v="1"/>
    <x v="1"/>
    <x v="1"/>
    <x v="0"/>
    <x v="18"/>
    <x v="18"/>
    <x v="19"/>
    <x v="1"/>
  </r>
  <r>
    <n v="22"/>
    <n v="16"/>
    <x v="1"/>
    <x v="0"/>
    <s v="Ön Lisans"/>
    <n v="2"/>
    <x v="19"/>
    <x v="0"/>
    <x v="1"/>
    <x v="0"/>
    <x v="2"/>
    <x v="16"/>
    <x v="19"/>
    <x v="14"/>
    <x v="20"/>
    <x v="0"/>
  </r>
  <r>
    <n v="23"/>
    <n v="15"/>
    <x v="2"/>
    <x v="0"/>
    <s v="Lise"/>
    <n v="7"/>
    <x v="20"/>
    <x v="1"/>
    <x v="3"/>
    <x v="0"/>
    <x v="5"/>
    <x v="17"/>
    <x v="20"/>
    <x v="19"/>
    <x v="4"/>
    <x v="1"/>
  </r>
  <r>
    <n v="24"/>
    <n v="19"/>
    <x v="1"/>
    <x v="0"/>
    <s v="Doktora"/>
    <n v="6"/>
    <x v="21"/>
    <x v="0"/>
    <x v="2"/>
    <x v="0"/>
    <x v="0"/>
    <x v="18"/>
    <x v="21"/>
    <x v="20"/>
    <x v="21"/>
    <x v="1"/>
  </r>
  <r>
    <n v="25"/>
    <n v="18"/>
    <x v="0"/>
    <x v="0"/>
    <s v="Okur yazar değil"/>
    <n v="2"/>
    <x v="22"/>
    <x v="0"/>
    <x v="0"/>
    <x v="1"/>
    <x v="4"/>
    <x v="7"/>
    <x v="10"/>
    <x v="21"/>
    <x v="22"/>
    <x v="2"/>
  </r>
  <r>
    <n v="26"/>
    <n v="17"/>
    <x v="0"/>
    <x v="1"/>
    <s v="Ön Lisans"/>
    <n v="5"/>
    <x v="23"/>
    <x v="0"/>
    <x v="1"/>
    <x v="1"/>
    <x v="3"/>
    <x v="19"/>
    <x v="7"/>
    <x v="11"/>
    <x v="23"/>
    <x v="1"/>
  </r>
  <r>
    <n v="27"/>
    <n v="16"/>
    <x v="2"/>
    <x v="0"/>
    <s v="Yüksek Lisans"/>
    <n v="6"/>
    <x v="24"/>
    <x v="0"/>
    <x v="2"/>
    <x v="1"/>
    <x v="1"/>
    <x v="20"/>
    <x v="22"/>
    <x v="22"/>
    <x v="24"/>
    <x v="1"/>
  </r>
  <r>
    <n v="28"/>
    <n v="18"/>
    <x v="2"/>
    <x v="1"/>
    <s v="Yüksek Lisans"/>
    <n v="4"/>
    <x v="17"/>
    <x v="0"/>
    <x v="0"/>
    <x v="0"/>
    <x v="1"/>
    <x v="17"/>
    <x v="23"/>
    <x v="23"/>
    <x v="25"/>
    <x v="1"/>
  </r>
  <r>
    <n v="29"/>
    <n v="17"/>
    <x v="1"/>
    <x v="1"/>
    <s v="Yüksek Lisans"/>
    <n v="3"/>
    <x v="25"/>
    <x v="0"/>
    <x v="2"/>
    <x v="1"/>
    <x v="4"/>
    <x v="21"/>
    <x v="24"/>
    <x v="24"/>
    <x v="26"/>
    <x v="1"/>
  </r>
  <r>
    <n v="30"/>
    <n v="16"/>
    <x v="2"/>
    <x v="0"/>
    <s v="Ön Lisans"/>
    <n v="1"/>
    <x v="24"/>
    <x v="0"/>
    <x v="1"/>
    <x v="0"/>
    <x v="1"/>
    <x v="22"/>
    <x v="25"/>
    <x v="25"/>
    <x v="27"/>
    <x v="3"/>
  </r>
  <r>
    <n v="31"/>
    <n v="16"/>
    <x v="2"/>
    <x v="1"/>
    <s v="Doktora"/>
    <n v="1"/>
    <x v="26"/>
    <x v="0"/>
    <x v="3"/>
    <x v="0"/>
    <x v="2"/>
    <x v="20"/>
    <x v="26"/>
    <x v="26"/>
    <x v="10"/>
    <x v="1"/>
  </r>
  <r>
    <n v="32"/>
    <n v="15"/>
    <x v="1"/>
    <x v="1"/>
    <s v="Lise"/>
    <n v="7"/>
    <x v="21"/>
    <x v="0"/>
    <x v="1"/>
    <x v="0"/>
    <x v="1"/>
    <x v="23"/>
    <x v="27"/>
    <x v="21"/>
    <x v="9"/>
    <x v="2"/>
  </r>
  <r>
    <n v="33"/>
    <n v="14"/>
    <x v="0"/>
    <x v="1"/>
    <s v="Okur yazar değil"/>
    <n v="2"/>
    <x v="6"/>
    <x v="0"/>
    <x v="3"/>
    <x v="0"/>
    <x v="0"/>
    <x v="24"/>
    <x v="28"/>
    <x v="25"/>
    <x v="28"/>
    <x v="3"/>
  </r>
  <r>
    <n v="34"/>
    <n v="17"/>
    <x v="2"/>
    <x v="0"/>
    <s v="Lisans"/>
    <n v="5"/>
    <x v="27"/>
    <x v="1"/>
    <x v="2"/>
    <x v="1"/>
    <x v="3"/>
    <x v="25"/>
    <x v="29"/>
    <x v="5"/>
    <x v="29"/>
    <x v="2"/>
  </r>
  <r>
    <n v="35"/>
    <n v="19"/>
    <x v="1"/>
    <x v="0"/>
    <s v="Lise"/>
    <n v="6"/>
    <x v="1"/>
    <x v="0"/>
    <x v="3"/>
    <x v="1"/>
    <x v="3"/>
    <x v="16"/>
    <x v="30"/>
    <x v="27"/>
    <x v="30"/>
    <x v="1"/>
  </r>
  <r>
    <n v="36"/>
    <n v="14"/>
    <x v="2"/>
    <x v="1"/>
    <s v="Ön Lisans"/>
    <n v="1"/>
    <x v="28"/>
    <x v="0"/>
    <x v="3"/>
    <x v="1"/>
    <x v="5"/>
    <x v="18"/>
    <x v="22"/>
    <x v="28"/>
    <x v="31"/>
    <x v="0"/>
  </r>
  <r>
    <n v="37"/>
    <n v="19"/>
    <x v="2"/>
    <x v="0"/>
    <s v="Ön Lisans"/>
    <n v="4"/>
    <x v="6"/>
    <x v="0"/>
    <x v="1"/>
    <x v="1"/>
    <x v="3"/>
    <x v="26"/>
    <x v="31"/>
    <x v="29"/>
    <x v="32"/>
    <x v="4"/>
  </r>
  <r>
    <n v="38"/>
    <n v="18"/>
    <x v="1"/>
    <x v="0"/>
    <s v="Lise"/>
    <n v="7"/>
    <x v="10"/>
    <x v="0"/>
    <x v="2"/>
    <x v="1"/>
    <x v="0"/>
    <x v="27"/>
    <x v="32"/>
    <x v="30"/>
    <x v="33"/>
    <x v="1"/>
  </r>
  <r>
    <n v="39"/>
    <n v="15"/>
    <x v="1"/>
    <x v="1"/>
    <s v="Doktora"/>
    <n v="4"/>
    <x v="1"/>
    <x v="0"/>
    <x v="2"/>
    <x v="0"/>
    <x v="0"/>
    <x v="28"/>
    <x v="33"/>
    <x v="31"/>
    <x v="34"/>
    <x v="1"/>
  </r>
  <r>
    <n v="40"/>
    <n v="17"/>
    <x v="0"/>
    <x v="0"/>
    <s v="Ön Lisans"/>
    <n v="3"/>
    <x v="29"/>
    <x v="0"/>
    <x v="0"/>
    <x v="0"/>
    <x v="0"/>
    <x v="8"/>
    <x v="24"/>
    <x v="10"/>
    <x v="21"/>
    <x v="1"/>
  </r>
  <r>
    <n v="41"/>
    <n v="14"/>
    <x v="2"/>
    <x v="1"/>
    <s v="Yüksek Lisans"/>
    <n v="4"/>
    <x v="30"/>
    <x v="0"/>
    <x v="2"/>
    <x v="0"/>
    <x v="1"/>
    <x v="3"/>
    <x v="29"/>
    <x v="2"/>
    <x v="35"/>
    <x v="1"/>
  </r>
  <r>
    <n v="42"/>
    <n v="18"/>
    <x v="0"/>
    <x v="1"/>
    <s v="Okur yazar değil"/>
    <n v="7"/>
    <x v="31"/>
    <x v="0"/>
    <x v="3"/>
    <x v="0"/>
    <x v="0"/>
    <x v="20"/>
    <x v="34"/>
    <x v="17"/>
    <x v="36"/>
    <x v="1"/>
  </r>
  <r>
    <n v="43"/>
    <n v="18"/>
    <x v="1"/>
    <x v="0"/>
    <s v="Doktora"/>
    <n v="5"/>
    <x v="32"/>
    <x v="0"/>
    <x v="2"/>
    <x v="1"/>
    <x v="2"/>
    <x v="29"/>
    <x v="35"/>
    <x v="32"/>
    <x v="37"/>
    <x v="1"/>
  </r>
  <r>
    <n v="44"/>
    <n v="16"/>
    <x v="1"/>
    <x v="1"/>
    <s v="Doktora"/>
    <n v="1"/>
    <x v="10"/>
    <x v="0"/>
    <x v="3"/>
    <x v="1"/>
    <x v="4"/>
    <x v="15"/>
    <x v="36"/>
    <x v="33"/>
    <x v="38"/>
    <x v="1"/>
  </r>
  <r>
    <n v="45"/>
    <n v="14"/>
    <x v="0"/>
    <x v="1"/>
    <s v="Okur yazar değil"/>
    <n v="5"/>
    <x v="7"/>
    <x v="0"/>
    <x v="0"/>
    <x v="1"/>
    <x v="2"/>
    <x v="30"/>
    <x v="37"/>
    <x v="34"/>
    <x v="39"/>
    <x v="0"/>
  </r>
  <r>
    <n v="46"/>
    <n v="19"/>
    <x v="1"/>
    <x v="1"/>
    <s v="Lisans"/>
    <n v="1"/>
    <x v="33"/>
    <x v="0"/>
    <x v="3"/>
    <x v="1"/>
    <x v="4"/>
    <x v="23"/>
    <x v="31"/>
    <x v="19"/>
    <x v="40"/>
    <x v="2"/>
  </r>
  <r>
    <n v="47"/>
    <n v="16"/>
    <x v="2"/>
    <x v="0"/>
    <s v="Lisans"/>
    <n v="6"/>
    <x v="19"/>
    <x v="0"/>
    <x v="1"/>
    <x v="1"/>
    <x v="3"/>
    <x v="6"/>
    <x v="38"/>
    <x v="32"/>
    <x v="41"/>
    <x v="1"/>
  </r>
  <r>
    <n v="48"/>
    <n v="19"/>
    <x v="0"/>
    <x v="1"/>
    <s v="Lise"/>
    <n v="3"/>
    <x v="17"/>
    <x v="0"/>
    <x v="1"/>
    <x v="0"/>
    <x v="5"/>
    <x v="31"/>
    <x v="39"/>
    <x v="35"/>
    <x v="35"/>
    <x v="1"/>
  </r>
  <r>
    <n v="49"/>
    <n v="18"/>
    <x v="0"/>
    <x v="1"/>
    <s v="Yüksek Lisans"/>
    <n v="5"/>
    <x v="34"/>
    <x v="0"/>
    <x v="2"/>
    <x v="0"/>
    <x v="3"/>
    <x v="31"/>
    <x v="22"/>
    <x v="36"/>
    <x v="7"/>
    <x v="1"/>
  </r>
  <r>
    <n v="50"/>
    <n v="18"/>
    <x v="0"/>
    <x v="1"/>
    <s v="Yüksek Lisans"/>
    <n v="7"/>
    <x v="35"/>
    <x v="1"/>
    <x v="3"/>
    <x v="1"/>
    <x v="3"/>
    <x v="3"/>
    <x v="32"/>
    <x v="37"/>
    <x v="42"/>
    <x v="1"/>
  </r>
  <r>
    <n v="51"/>
    <n v="18"/>
    <x v="0"/>
    <x v="0"/>
    <s v="Doktora"/>
    <n v="4"/>
    <x v="5"/>
    <x v="0"/>
    <x v="1"/>
    <x v="0"/>
    <x v="1"/>
    <x v="32"/>
    <x v="1"/>
    <x v="38"/>
    <x v="43"/>
    <x v="0"/>
  </r>
  <r>
    <n v="52"/>
    <n v="15"/>
    <x v="0"/>
    <x v="1"/>
    <s v="Lisans"/>
    <n v="1"/>
    <x v="21"/>
    <x v="0"/>
    <x v="2"/>
    <x v="1"/>
    <x v="0"/>
    <x v="33"/>
    <x v="40"/>
    <x v="11"/>
    <x v="44"/>
    <x v="4"/>
  </r>
  <r>
    <n v="53"/>
    <n v="16"/>
    <x v="1"/>
    <x v="0"/>
    <s v="Yüksek Lisans"/>
    <n v="5"/>
    <x v="25"/>
    <x v="0"/>
    <x v="2"/>
    <x v="0"/>
    <x v="0"/>
    <x v="23"/>
    <x v="37"/>
    <x v="34"/>
    <x v="15"/>
    <x v="1"/>
  </r>
  <r>
    <n v="54"/>
    <n v="16"/>
    <x v="2"/>
    <x v="0"/>
    <s v="Yüksek Lisans"/>
    <n v="3"/>
    <x v="10"/>
    <x v="1"/>
    <x v="1"/>
    <x v="0"/>
    <x v="3"/>
    <x v="34"/>
    <x v="41"/>
    <x v="18"/>
    <x v="45"/>
    <x v="1"/>
  </r>
  <r>
    <n v="55"/>
    <n v="16"/>
    <x v="2"/>
    <x v="1"/>
    <s v="Yüksek Lisans"/>
    <n v="3"/>
    <x v="10"/>
    <x v="0"/>
    <x v="1"/>
    <x v="0"/>
    <x v="5"/>
    <x v="35"/>
    <x v="42"/>
    <x v="39"/>
    <x v="8"/>
    <x v="0"/>
  </r>
  <r>
    <n v="56"/>
    <n v="14"/>
    <x v="2"/>
    <x v="0"/>
    <s v="Lisans"/>
    <n v="7"/>
    <x v="36"/>
    <x v="0"/>
    <x v="1"/>
    <x v="1"/>
    <x v="5"/>
    <x v="36"/>
    <x v="43"/>
    <x v="40"/>
    <x v="33"/>
    <x v="1"/>
  </r>
  <r>
    <n v="57"/>
    <n v="17"/>
    <x v="2"/>
    <x v="0"/>
    <s v="Yüksek Lisans"/>
    <n v="6"/>
    <x v="12"/>
    <x v="1"/>
    <x v="1"/>
    <x v="0"/>
    <x v="1"/>
    <x v="37"/>
    <x v="44"/>
    <x v="26"/>
    <x v="46"/>
    <x v="2"/>
  </r>
  <r>
    <n v="58"/>
    <n v="14"/>
    <x v="1"/>
    <x v="1"/>
    <s v="Okur yazar değil"/>
    <n v="5"/>
    <x v="23"/>
    <x v="0"/>
    <x v="2"/>
    <x v="1"/>
    <x v="5"/>
    <x v="38"/>
    <x v="38"/>
    <x v="5"/>
    <x v="47"/>
    <x v="1"/>
  </r>
  <r>
    <n v="59"/>
    <n v="18"/>
    <x v="2"/>
    <x v="0"/>
    <s v="Lisans"/>
    <n v="7"/>
    <x v="37"/>
    <x v="0"/>
    <x v="2"/>
    <x v="1"/>
    <x v="5"/>
    <x v="39"/>
    <x v="23"/>
    <x v="29"/>
    <x v="48"/>
    <x v="1"/>
  </r>
  <r>
    <n v="60"/>
    <n v="18"/>
    <x v="0"/>
    <x v="1"/>
    <s v="Lise"/>
    <n v="2"/>
    <x v="32"/>
    <x v="0"/>
    <x v="1"/>
    <x v="0"/>
    <x v="0"/>
    <x v="37"/>
    <x v="45"/>
    <x v="23"/>
    <x v="49"/>
    <x v="1"/>
  </r>
  <r>
    <n v="61"/>
    <n v="19"/>
    <x v="2"/>
    <x v="0"/>
    <s v="Ön Lisans"/>
    <n v="2"/>
    <x v="14"/>
    <x v="0"/>
    <x v="2"/>
    <x v="1"/>
    <x v="4"/>
    <x v="12"/>
    <x v="23"/>
    <x v="13"/>
    <x v="50"/>
    <x v="1"/>
  </r>
  <r>
    <n v="62"/>
    <n v="18"/>
    <x v="0"/>
    <x v="1"/>
    <s v="Yüksek Lisans"/>
    <n v="2"/>
    <x v="14"/>
    <x v="0"/>
    <x v="1"/>
    <x v="1"/>
    <x v="5"/>
    <x v="40"/>
    <x v="46"/>
    <x v="21"/>
    <x v="51"/>
    <x v="1"/>
  </r>
  <r>
    <n v="63"/>
    <n v="16"/>
    <x v="2"/>
    <x v="1"/>
    <s v="Okur yazar değil"/>
    <n v="3"/>
    <x v="38"/>
    <x v="0"/>
    <x v="3"/>
    <x v="0"/>
    <x v="3"/>
    <x v="41"/>
    <x v="32"/>
    <x v="11"/>
    <x v="47"/>
    <x v="1"/>
  </r>
  <r>
    <n v="64"/>
    <n v="19"/>
    <x v="0"/>
    <x v="0"/>
    <s v="Yüksek Lisans"/>
    <n v="1"/>
    <x v="17"/>
    <x v="0"/>
    <x v="3"/>
    <x v="0"/>
    <x v="2"/>
    <x v="42"/>
    <x v="47"/>
    <x v="37"/>
    <x v="52"/>
    <x v="1"/>
  </r>
  <r>
    <n v="65"/>
    <n v="16"/>
    <x v="0"/>
    <x v="1"/>
    <s v="Lise"/>
    <n v="1"/>
    <x v="23"/>
    <x v="0"/>
    <x v="3"/>
    <x v="1"/>
    <x v="2"/>
    <x v="39"/>
    <x v="23"/>
    <x v="28"/>
    <x v="53"/>
    <x v="1"/>
  </r>
  <r>
    <n v="66"/>
    <n v="15"/>
    <x v="1"/>
    <x v="0"/>
    <s v="Yüksek Lisans"/>
    <n v="1"/>
    <x v="22"/>
    <x v="0"/>
    <x v="1"/>
    <x v="1"/>
    <x v="0"/>
    <x v="40"/>
    <x v="48"/>
    <x v="41"/>
    <x v="54"/>
    <x v="1"/>
  </r>
  <r>
    <n v="67"/>
    <n v="19"/>
    <x v="2"/>
    <x v="1"/>
    <s v="Yüksek Lisans"/>
    <n v="6"/>
    <x v="39"/>
    <x v="0"/>
    <x v="0"/>
    <x v="0"/>
    <x v="0"/>
    <x v="35"/>
    <x v="29"/>
    <x v="21"/>
    <x v="55"/>
    <x v="1"/>
  </r>
  <r>
    <n v="68"/>
    <n v="16"/>
    <x v="0"/>
    <x v="0"/>
    <s v="Okur yazar değil"/>
    <n v="2"/>
    <x v="24"/>
    <x v="1"/>
    <x v="0"/>
    <x v="0"/>
    <x v="5"/>
    <x v="25"/>
    <x v="49"/>
    <x v="6"/>
    <x v="25"/>
    <x v="1"/>
  </r>
  <r>
    <n v="69"/>
    <n v="14"/>
    <x v="0"/>
    <x v="1"/>
    <s v="Lise"/>
    <n v="4"/>
    <x v="29"/>
    <x v="0"/>
    <x v="2"/>
    <x v="0"/>
    <x v="2"/>
    <x v="31"/>
    <x v="50"/>
    <x v="38"/>
    <x v="22"/>
    <x v="2"/>
  </r>
  <r>
    <n v="70"/>
    <n v="16"/>
    <x v="1"/>
    <x v="1"/>
    <s v="Yüksek Lisans"/>
    <n v="7"/>
    <x v="35"/>
    <x v="0"/>
    <x v="2"/>
    <x v="1"/>
    <x v="0"/>
    <x v="43"/>
    <x v="51"/>
    <x v="4"/>
    <x v="34"/>
    <x v="1"/>
  </r>
  <r>
    <n v="71"/>
    <n v="18"/>
    <x v="2"/>
    <x v="0"/>
    <s v="Ön Lisans"/>
    <n v="6"/>
    <x v="9"/>
    <x v="1"/>
    <x v="2"/>
    <x v="1"/>
    <x v="2"/>
    <x v="44"/>
    <x v="50"/>
    <x v="21"/>
    <x v="12"/>
    <x v="2"/>
  </r>
  <r>
    <n v="72"/>
    <n v="15"/>
    <x v="2"/>
    <x v="0"/>
    <s v="Ön Lisans"/>
    <n v="4"/>
    <x v="40"/>
    <x v="0"/>
    <x v="0"/>
    <x v="0"/>
    <x v="2"/>
    <x v="37"/>
    <x v="37"/>
    <x v="13"/>
    <x v="43"/>
    <x v="0"/>
  </r>
  <r>
    <n v="73"/>
    <n v="16"/>
    <x v="1"/>
    <x v="1"/>
    <s v="Okur yazar değil"/>
    <n v="3"/>
    <x v="2"/>
    <x v="0"/>
    <x v="3"/>
    <x v="0"/>
    <x v="3"/>
    <x v="4"/>
    <x v="21"/>
    <x v="0"/>
    <x v="56"/>
    <x v="2"/>
  </r>
  <r>
    <n v="74"/>
    <n v="14"/>
    <x v="1"/>
    <x v="1"/>
    <s v="Yüksek Lisans"/>
    <n v="3"/>
    <x v="41"/>
    <x v="0"/>
    <x v="0"/>
    <x v="0"/>
    <x v="2"/>
    <x v="14"/>
    <x v="52"/>
    <x v="5"/>
    <x v="57"/>
    <x v="1"/>
  </r>
  <r>
    <n v="75"/>
    <n v="18"/>
    <x v="1"/>
    <x v="1"/>
    <s v="Okur yazar değil"/>
    <n v="2"/>
    <x v="28"/>
    <x v="1"/>
    <x v="3"/>
    <x v="0"/>
    <x v="2"/>
    <x v="9"/>
    <x v="53"/>
    <x v="42"/>
    <x v="58"/>
    <x v="1"/>
  </r>
  <r>
    <n v="76"/>
    <n v="16"/>
    <x v="2"/>
    <x v="0"/>
    <s v="Lise"/>
    <n v="6"/>
    <x v="30"/>
    <x v="0"/>
    <x v="1"/>
    <x v="0"/>
    <x v="5"/>
    <x v="45"/>
    <x v="54"/>
    <x v="8"/>
    <x v="51"/>
    <x v="1"/>
  </r>
  <r>
    <n v="77"/>
    <n v="15"/>
    <x v="0"/>
    <x v="1"/>
    <s v="Ön Lisans"/>
    <n v="4"/>
    <x v="42"/>
    <x v="1"/>
    <x v="1"/>
    <x v="0"/>
    <x v="2"/>
    <x v="34"/>
    <x v="50"/>
    <x v="43"/>
    <x v="59"/>
    <x v="1"/>
  </r>
  <r>
    <n v="78"/>
    <n v="15"/>
    <x v="0"/>
    <x v="0"/>
    <s v="Yüksek Lisans"/>
    <n v="7"/>
    <x v="17"/>
    <x v="0"/>
    <x v="0"/>
    <x v="0"/>
    <x v="2"/>
    <x v="39"/>
    <x v="55"/>
    <x v="9"/>
    <x v="60"/>
    <x v="3"/>
  </r>
  <r>
    <n v="79"/>
    <n v="17"/>
    <x v="0"/>
    <x v="1"/>
    <s v="Ön Lisans"/>
    <n v="4"/>
    <x v="13"/>
    <x v="0"/>
    <x v="0"/>
    <x v="0"/>
    <x v="2"/>
    <x v="30"/>
    <x v="41"/>
    <x v="40"/>
    <x v="61"/>
    <x v="0"/>
  </r>
  <r>
    <n v="80"/>
    <n v="18"/>
    <x v="0"/>
    <x v="1"/>
    <s v="Doktora"/>
    <n v="3"/>
    <x v="43"/>
    <x v="1"/>
    <x v="2"/>
    <x v="1"/>
    <x v="4"/>
    <x v="13"/>
    <x v="56"/>
    <x v="37"/>
    <x v="38"/>
    <x v="1"/>
  </r>
  <r>
    <n v="81"/>
    <n v="19"/>
    <x v="1"/>
    <x v="1"/>
    <s v="Lisans"/>
    <n v="4"/>
    <x v="35"/>
    <x v="0"/>
    <x v="3"/>
    <x v="0"/>
    <x v="1"/>
    <x v="9"/>
    <x v="55"/>
    <x v="44"/>
    <x v="42"/>
    <x v="1"/>
  </r>
  <r>
    <n v="82"/>
    <n v="16"/>
    <x v="2"/>
    <x v="0"/>
    <s v="Lise"/>
    <n v="1"/>
    <x v="37"/>
    <x v="0"/>
    <x v="2"/>
    <x v="1"/>
    <x v="4"/>
    <x v="16"/>
    <x v="35"/>
    <x v="16"/>
    <x v="62"/>
    <x v="1"/>
  </r>
  <r>
    <n v="83"/>
    <n v="14"/>
    <x v="1"/>
    <x v="0"/>
    <s v="Lise"/>
    <n v="6"/>
    <x v="25"/>
    <x v="0"/>
    <x v="0"/>
    <x v="1"/>
    <x v="4"/>
    <x v="31"/>
    <x v="41"/>
    <x v="16"/>
    <x v="57"/>
    <x v="1"/>
  </r>
  <r>
    <n v="84"/>
    <n v="18"/>
    <x v="1"/>
    <x v="1"/>
    <s v="Yüksek Lisans"/>
    <n v="6"/>
    <x v="27"/>
    <x v="1"/>
    <x v="0"/>
    <x v="1"/>
    <x v="2"/>
    <x v="21"/>
    <x v="57"/>
    <x v="44"/>
    <x v="63"/>
    <x v="2"/>
  </r>
  <r>
    <n v="85"/>
    <n v="17"/>
    <x v="0"/>
    <x v="0"/>
    <s v="Ön Lisans"/>
    <n v="7"/>
    <x v="11"/>
    <x v="0"/>
    <x v="0"/>
    <x v="0"/>
    <x v="0"/>
    <x v="3"/>
    <x v="3"/>
    <x v="42"/>
    <x v="38"/>
    <x v="1"/>
  </r>
  <r>
    <n v="86"/>
    <n v="18"/>
    <x v="1"/>
    <x v="0"/>
    <s v="Lisans"/>
    <n v="6"/>
    <x v="6"/>
    <x v="0"/>
    <x v="1"/>
    <x v="1"/>
    <x v="5"/>
    <x v="23"/>
    <x v="30"/>
    <x v="28"/>
    <x v="64"/>
    <x v="1"/>
  </r>
  <r>
    <n v="87"/>
    <n v="14"/>
    <x v="0"/>
    <x v="0"/>
    <s v="Ön Lisans"/>
    <n v="5"/>
    <x v="40"/>
    <x v="0"/>
    <x v="1"/>
    <x v="0"/>
    <x v="5"/>
    <x v="46"/>
    <x v="29"/>
    <x v="45"/>
    <x v="42"/>
    <x v="1"/>
  </r>
  <r>
    <n v="88"/>
    <n v="15"/>
    <x v="2"/>
    <x v="1"/>
    <s v="Lise"/>
    <n v="6"/>
    <x v="1"/>
    <x v="1"/>
    <x v="1"/>
    <x v="0"/>
    <x v="1"/>
    <x v="47"/>
    <x v="24"/>
    <x v="39"/>
    <x v="65"/>
    <x v="1"/>
  </r>
  <r>
    <n v="89"/>
    <n v="18"/>
    <x v="1"/>
    <x v="0"/>
    <s v="Lisans"/>
    <n v="4"/>
    <x v="34"/>
    <x v="1"/>
    <x v="3"/>
    <x v="0"/>
    <x v="0"/>
    <x v="48"/>
    <x v="58"/>
    <x v="26"/>
    <x v="30"/>
    <x v="1"/>
  </r>
  <r>
    <n v="90"/>
    <n v="18"/>
    <x v="1"/>
    <x v="1"/>
    <s v="Lise"/>
    <n v="4"/>
    <x v="38"/>
    <x v="0"/>
    <x v="0"/>
    <x v="1"/>
    <x v="2"/>
    <x v="49"/>
    <x v="17"/>
    <x v="17"/>
    <x v="9"/>
    <x v="2"/>
  </r>
  <r>
    <n v="91"/>
    <n v="16"/>
    <x v="2"/>
    <x v="0"/>
    <s v="Doktora"/>
    <n v="6"/>
    <x v="28"/>
    <x v="0"/>
    <x v="3"/>
    <x v="1"/>
    <x v="2"/>
    <x v="17"/>
    <x v="59"/>
    <x v="29"/>
    <x v="49"/>
    <x v="1"/>
  </r>
  <r>
    <n v="92"/>
    <n v="18"/>
    <x v="0"/>
    <x v="1"/>
    <s v="Yüksek Lisans"/>
    <n v="3"/>
    <x v="13"/>
    <x v="0"/>
    <x v="3"/>
    <x v="0"/>
    <x v="1"/>
    <x v="50"/>
    <x v="35"/>
    <x v="26"/>
    <x v="16"/>
    <x v="1"/>
  </r>
  <r>
    <n v="93"/>
    <n v="19"/>
    <x v="1"/>
    <x v="0"/>
    <s v="Yüksek Lisans"/>
    <n v="3"/>
    <x v="30"/>
    <x v="0"/>
    <x v="3"/>
    <x v="0"/>
    <x v="2"/>
    <x v="51"/>
    <x v="25"/>
    <x v="16"/>
    <x v="15"/>
    <x v="1"/>
  </r>
  <r>
    <n v="94"/>
    <n v="16"/>
    <x v="1"/>
    <x v="0"/>
    <s v="Lise"/>
    <n v="7"/>
    <x v="26"/>
    <x v="1"/>
    <x v="3"/>
    <x v="1"/>
    <x v="5"/>
    <x v="52"/>
    <x v="27"/>
    <x v="39"/>
    <x v="56"/>
    <x v="2"/>
  </r>
  <r>
    <n v="95"/>
    <n v="19"/>
    <x v="0"/>
    <x v="1"/>
    <s v="Okur yazar değil"/>
    <n v="6"/>
    <x v="13"/>
    <x v="0"/>
    <x v="0"/>
    <x v="1"/>
    <x v="2"/>
    <x v="29"/>
    <x v="11"/>
    <x v="46"/>
    <x v="47"/>
    <x v="1"/>
  </r>
  <r>
    <n v="96"/>
    <n v="15"/>
    <x v="0"/>
    <x v="0"/>
    <s v="Okur yazar değil"/>
    <n v="4"/>
    <x v="7"/>
    <x v="0"/>
    <x v="3"/>
    <x v="1"/>
    <x v="0"/>
    <x v="53"/>
    <x v="21"/>
    <x v="28"/>
    <x v="66"/>
    <x v="2"/>
  </r>
  <r>
    <n v="97"/>
    <n v="15"/>
    <x v="0"/>
    <x v="0"/>
    <s v="Doktora"/>
    <n v="1"/>
    <x v="44"/>
    <x v="0"/>
    <x v="1"/>
    <x v="0"/>
    <x v="2"/>
    <x v="54"/>
    <x v="10"/>
    <x v="12"/>
    <x v="52"/>
    <x v="1"/>
  </r>
  <r>
    <n v="98"/>
    <n v="18"/>
    <x v="0"/>
    <x v="1"/>
    <s v="Doktora"/>
    <n v="2"/>
    <x v="3"/>
    <x v="0"/>
    <x v="2"/>
    <x v="1"/>
    <x v="2"/>
    <x v="38"/>
    <x v="21"/>
    <x v="22"/>
    <x v="54"/>
    <x v="1"/>
  </r>
  <r>
    <n v="99"/>
    <n v="17"/>
    <x v="2"/>
    <x v="1"/>
    <s v="Yüksek Lisans"/>
    <n v="5"/>
    <x v="6"/>
    <x v="0"/>
    <x v="2"/>
    <x v="1"/>
    <x v="3"/>
    <x v="3"/>
    <x v="60"/>
    <x v="43"/>
    <x v="25"/>
    <x v="1"/>
  </r>
  <r>
    <n v="100"/>
    <n v="14"/>
    <x v="0"/>
    <x v="1"/>
    <s v="Lisans"/>
    <n v="2"/>
    <x v="33"/>
    <x v="1"/>
    <x v="0"/>
    <x v="1"/>
    <x v="2"/>
    <x v="26"/>
    <x v="26"/>
    <x v="17"/>
    <x v="58"/>
    <x v="1"/>
  </r>
  <r>
    <n v="101"/>
    <n v="18"/>
    <x v="0"/>
    <x v="0"/>
    <s v="Lise"/>
    <n v="5"/>
    <x v="27"/>
    <x v="0"/>
    <x v="3"/>
    <x v="0"/>
    <x v="1"/>
    <x v="10"/>
    <x v="50"/>
    <x v="38"/>
    <x v="55"/>
    <x v="1"/>
  </r>
  <r>
    <n v="102"/>
    <n v="15"/>
    <x v="2"/>
    <x v="1"/>
    <s v="Yüksek Lisans"/>
    <n v="1"/>
    <x v="35"/>
    <x v="0"/>
    <x v="0"/>
    <x v="0"/>
    <x v="3"/>
    <x v="55"/>
    <x v="25"/>
    <x v="47"/>
    <x v="53"/>
    <x v="1"/>
  </r>
  <r>
    <n v="103"/>
    <n v="18"/>
    <x v="1"/>
    <x v="0"/>
    <s v="Lisans"/>
    <n v="7"/>
    <x v="14"/>
    <x v="0"/>
    <x v="3"/>
    <x v="0"/>
    <x v="4"/>
    <x v="49"/>
    <x v="61"/>
    <x v="33"/>
    <x v="67"/>
    <x v="0"/>
  </r>
  <r>
    <n v="104"/>
    <n v="14"/>
    <x v="2"/>
    <x v="1"/>
    <s v="Lisans"/>
    <n v="6"/>
    <x v="24"/>
    <x v="0"/>
    <x v="3"/>
    <x v="1"/>
    <x v="5"/>
    <x v="54"/>
    <x v="18"/>
    <x v="48"/>
    <x v="42"/>
    <x v="1"/>
  </r>
  <r>
    <n v="105"/>
    <n v="18"/>
    <x v="2"/>
    <x v="1"/>
    <s v="Okur yazar değil"/>
    <n v="4"/>
    <x v="42"/>
    <x v="0"/>
    <x v="2"/>
    <x v="0"/>
    <x v="0"/>
    <x v="26"/>
    <x v="62"/>
    <x v="35"/>
    <x v="22"/>
    <x v="2"/>
  </r>
  <r>
    <n v="106"/>
    <n v="18"/>
    <x v="0"/>
    <x v="1"/>
    <s v="Lisans"/>
    <n v="7"/>
    <x v="3"/>
    <x v="0"/>
    <x v="2"/>
    <x v="1"/>
    <x v="2"/>
    <x v="56"/>
    <x v="63"/>
    <x v="5"/>
    <x v="68"/>
    <x v="0"/>
  </r>
  <r>
    <n v="107"/>
    <n v="18"/>
    <x v="1"/>
    <x v="1"/>
    <s v="Yüksek Lisans"/>
    <n v="5"/>
    <x v="21"/>
    <x v="0"/>
    <x v="0"/>
    <x v="0"/>
    <x v="1"/>
    <x v="14"/>
    <x v="64"/>
    <x v="38"/>
    <x v="38"/>
    <x v="1"/>
  </r>
  <r>
    <n v="108"/>
    <n v="17"/>
    <x v="0"/>
    <x v="1"/>
    <s v="Yüksek Lisans"/>
    <n v="5"/>
    <x v="4"/>
    <x v="1"/>
    <x v="3"/>
    <x v="0"/>
    <x v="1"/>
    <x v="29"/>
    <x v="65"/>
    <x v="4"/>
    <x v="60"/>
    <x v="3"/>
  </r>
  <r>
    <n v="109"/>
    <n v="16"/>
    <x v="1"/>
    <x v="0"/>
    <s v="Okur yazar değil"/>
    <n v="4"/>
    <x v="5"/>
    <x v="0"/>
    <x v="0"/>
    <x v="1"/>
    <x v="4"/>
    <x v="56"/>
    <x v="13"/>
    <x v="30"/>
    <x v="69"/>
    <x v="0"/>
  </r>
  <r>
    <n v="110"/>
    <n v="18"/>
    <x v="2"/>
    <x v="1"/>
    <s v="Okur yazar değil"/>
    <n v="1"/>
    <x v="36"/>
    <x v="1"/>
    <x v="3"/>
    <x v="1"/>
    <x v="5"/>
    <x v="21"/>
    <x v="45"/>
    <x v="15"/>
    <x v="70"/>
    <x v="1"/>
  </r>
  <r>
    <n v="111"/>
    <n v="15"/>
    <x v="2"/>
    <x v="1"/>
    <s v="Doktora"/>
    <n v="1"/>
    <x v="19"/>
    <x v="0"/>
    <x v="3"/>
    <x v="0"/>
    <x v="5"/>
    <x v="3"/>
    <x v="51"/>
    <x v="22"/>
    <x v="71"/>
    <x v="2"/>
  </r>
  <r>
    <n v="112"/>
    <n v="18"/>
    <x v="2"/>
    <x v="1"/>
    <s v="Lise"/>
    <n v="3"/>
    <x v="7"/>
    <x v="0"/>
    <x v="3"/>
    <x v="0"/>
    <x v="5"/>
    <x v="17"/>
    <x v="43"/>
    <x v="49"/>
    <x v="72"/>
    <x v="0"/>
  </r>
  <r>
    <n v="113"/>
    <n v="17"/>
    <x v="0"/>
    <x v="0"/>
    <s v="Ön Lisans"/>
    <n v="4"/>
    <x v="44"/>
    <x v="0"/>
    <x v="1"/>
    <x v="1"/>
    <x v="2"/>
    <x v="29"/>
    <x v="34"/>
    <x v="50"/>
    <x v="43"/>
    <x v="0"/>
  </r>
  <r>
    <n v="114"/>
    <n v="16"/>
    <x v="0"/>
    <x v="1"/>
    <s v="Lisans"/>
    <n v="7"/>
    <x v="8"/>
    <x v="0"/>
    <x v="3"/>
    <x v="0"/>
    <x v="2"/>
    <x v="57"/>
    <x v="66"/>
    <x v="19"/>
    <x v="73"/>
    <x v="4"/>
  </r>
  <r>
    <n v="115"/>
    <n v="17"/>
    <x v="1"/>
    <x v="0"/>
    <s v="Ön Lisans"/>
    <n v="5"/>
    <x v="43"/>
    <x v="0"/>
    <x v="2"/>
    <x v="0"/>
    <x v="4"/>
    <x v="58"/>
    <x v="62"/>
    <x v="19"/>
    <x v="74"/>
    <x v="4"/>
  </r>
  <r>
    <n v="116"/>
    <n v="17"/>
    <x v="0"/>
    <x v="1"/>
    <s v="Doktora"/>
    <n v="1"/>
    <x v="16"/>
    <x v="0"/>
    <x v="0"/>
    <x v="1"/>
    <x v="1"/>
    <x v="37"/>
    <x v="40"/>
    <x v="44"/>
    <x v="75"/>
    <x v="2"/>
  </r>
  <r>
    <n v="117"/>
    <n v="14"/>
    <x v="1"/>
    <x v="1"/>
    <s v="Doktora"/>
    <n v="4"/>
    <x v="1"/>
    <x v="0"/>
    <x v="2"/>
    <x v="1"/>
    <x v="4"/>
    <x v="58"/>
    <x v="47"/>
    <x v="16"/>
    <x v="23"/>
    <x v="1"/>
  </r>
  <r>
    <n v="118"/>
    <n v="14"/>
    <x v="2"/>
    <x v="1"/>
    <s v="Ön Lisans"/>
    <n v="7"/>
    <x v="28"/>
    <x v="1"/>
    <x v="3"/>
    <x v="0"/>
    <x v="3"/>
    <x v="32"/>
    <x v="8"/>
    <x v="35"/>
    <x v="76"/>
    <x v="0"/>
  </r>
  <r>
    <n v="119"/>
    <n v="15"/>
    <x v="0"/>
    <x v="1"/>
    <s v="Lise"/>
    <n v="4"/>
    <x v="41"/>
    <x v="0"/>
    <x v="2"/>
    <x v="0"/>
    <x v="4"/>
    <x v="32"/>
    <x v="1"/>
    <x v="40"/>
    <x v="77"/>
    <x v="0"/>
  </r>
  <r>
    <n v="120"/>
    <n v="14"/>
    <x v="2"/>
    <x v="0"/>
    <s v="Doktora"/>
    <n v="5"/>
    <x v="21"/>
    <x v="0"/>
    <x v="2"/>
    <x v="1"/>
    <x v="5"/>
    <x v="44"/>
    <x v="67"/>
    <x v="11"/>
    <x v="78"/>
    <x v="1"/>
  </r>
  <r>
    <n v="121"/>
    <n v="16"/>
    <x v="2"/>
    <x v="0"/>
    <s v="Yüksek Lisans"/>
    <n v="4"/>
    <x v="1"/>
    <x v="0"/>
    <x v="3"/>
    <x v="1"/>
    <x v="2"/>
    <x v="15"/>
    <x v="8"/>
    <x v="48"/>
    <x v="79"/>
    <x v="0"/>
  </r>
  <r>
    <n v="122"/>
    <n v="18"/>
    <x v="2"/>
    <x v="0"/>
    <s v="Yüksek Lisans"/>
    <n v="6"/>
    <x v="11"/>
    <x v="0"/>
    <x v="0"/>
    <x v="1"/>
    <x v="0"/>
    <x v="41"/>
    <x v="23"/>
    <x v="13"/>
    <x v="11"/>
    <x v="0"/>
  </r>
  <r>
    <n v="123"/>
    <n v="17"/>
    <x v="0"/>
    <x v="1"/>
    <s v="Ön Lisans"/>
    <n v="4"/>
    <x v="13"/>
    <x v="0"/>
    <x v="1"/>
    <x v="0"/>
    <x v="3"/>
    <x v="27"/>
    <x v="6"/>
    <x v="51"/>
    <x v="80"/>
    <x v="1"/>
  </r>
  <r>
    <n v="124"/>
    <n v="16"/>
    <x v="0"/>
    <x v="1"/>
    <s v="Ön Lisans"/>
    <n v="6"/>
    <x v="4"/>
    <x v="0"/>
    <x v="1"/>
    <x v="1"/>
    <x v="2"/>
    <x v="6"/>
    <x v="41"/>
    <x v="28"/>
    <x v="39"/>
    <x v="0"/>
  </r>
  <r>
    <n v="125"/>
    <n v="19"/>
    <x v="0"/>
    <x v="1"/>
    <s v="Lise"/>
    <n v="5"/>
    <x v="45"/>
    <x v="1"/>
    <x v="0"/>
    <x v="1"/>
    <x v="4"/>
    <x v="43"/>
    <x v="33"/>
    <x v="19"/>
    <x v="71"/>
    <x v="2"/>
  </r>
  <r>
    <n v="126"/>
    <n v="17"/>
    <x v="0"/>
    <x v="1"/>
    <s v="Ön Lisans"/>
    <n v="2"/>
    <x v="25"/>
    <x v="1"/>
    <x v="1"/>
    <x v="1"/>
    <x v="2"/>
    <x v="41"/>
    <x v="4"/>
    <x v="51"/>
    <x v="81"/>
    <x v="0"/>
  </r>
  <r>
    <n v="127"/>
    <n v="14"/>
    <x v="0"/>
    <x v="1"/>
    <s v="Lisans"/>
    <n v="2"/>
    <x v="23"/>
    <x v="1"/>
    <x v="3"/>
    <x v="1"/>
    <x v="0"/>
    <x v="54"/>
    <x v="55"/>
    <x v="39"/>
    <x v="0"/>
    <x v="0"/>
  </r>
  <r>
    <n v="128"/>
    <n v="18"/>
    <x v="1"/>
    <x v="0"/>
    <s v="Okur yazar değil"/>
    <n v="4"/>
    <x v="34"/>
    <x v="0"/>
    <x v="1"/>
    <x v="1"/>
    <x v="4"/>
    <x v="58"/>
    <x v="40"/>
    <x v="0"/>
    <x v="82"/>
    <x v="2"/>
  </r>
  <r>
    <n v="129"/>
    <n v="17"/>
    <x v="0"/>
    <x v="1"/>
    <s v="Lisans"/>
    <n v="3"/>
    <x v="46"/>
    <x v="0"/>
    <x v="1"/>
    <x v="1"/>
    <x v="5"/>
    <x v="16"/>
    <x v="68"/>
    <x v="8"/>
    <x v="14"/>
    <x v="1"/>
  </r>
  <r>
    <n v="130"/>
    <n v="17"/>
    <x v="0"/>
    <x v="1"/>
    <s v="Lisans"/>
    <n v="2"/>
    <x v="16"/>
    <x v="0"/>
    <x v="2"/>
    <x v="0"/>
    <x v="1"/>
    <x v="59"/>
    <x v="8"/>
    <x v="25"/>
    <x v="83"/>
    <x v="3"/>
  </r>
  <r>
    <n v="131"/>
    <n v="17"/>
    <x v="2"/>
    <x v="0"/>
    <s v="Doktora"/>
    <n v="7"/>
    <x v="38"/>
    <x v="0"/>
    <x v="1"/>
    <x v="0"/>
    <x v="5"/>
    <x v="60"/>
    <x v="63"/>
    <x v="34"/>
    <x v="84"/>
    <x v="0"/>
  </r>
  <r>
    <n v="132"/>
    <n v="17"/>
    <x v="2"/>
    <x v="1"/>
    <s v="Okur yazar değil"/>
    <n v="6"/>
    <x v="44"/>
    <x v="0"/>
    <x v="1"/>
    <x v="1"/>
    <x v="4"/>
    <x v="30"/>
    <x v="43"/>
    <x v="37"/>
    <x v="85"/>
    <x v="0"/>
  </r>
  <r>
    <n v="133"/>
    <n v="14"/>
    <x v="2"/>
    <x v="1"/>
    <s v="Lise"/>
    <n v="4"/>
    <x v="38"/>
    <x v="0"/>
    <x v="3"/>
    <x v="0"/>
    <x v="2"/>
    <x v="27"/>
    <x v="25"/>
    <x v="17"/>
    <x v="3"/>
    <x v="1"/>
  </r>
  <r>
    <n v="134"/>
    <n v="17"/>
    <x v="0"/>
    <x v="1"/>
    <s v="Ön Lisans"/>
    <n v="6"/>
    <x v="29"/>
    <x v="0"/>
    <x v="2"/>
    <x v="1"/>
    <x v="2"/>
    <x v="21"/>
    <x v="31"/>
    <x v="33"/>
    <x v="86"/>
    <x v="2"/>
  </r>
  <r>
    <n v="135"/>
    <n v="18"/>
    <x v="1"/>
    <x v="1"/>
    <s v="Doktora"/>
    <n v="5"/>
    <x v="47"/>
    <x v="0"/>
    <x v="0"/>
    <x v="1"/>
    <x v="3"/>
    <x v="61"/>
    <x v="36"/>
    <x v="22"/>
    <x v="87"/>
    <x v="0"/>
  </r>
  <r>
    <n v="136"/>
    <n v="15"/>
    <x v="1"/>
    <x v="1"/>
    <s v="Lise"/>
    <n v="2"/>
    <x v="29"/>
    <x v="0"/>
    <x v="2"/>
    <x v="0"/>
    <x v="4"/>
    <x v="25"/>
    <x v="55"/>
    <x v="17"/>
    <x v="88"/>
    <x v="1"/>
  </r>
  <r>
    <n v="137"/>
    <n v="17"/>
    <x v="0"/>
    <x v="0"/>
    <s v="Doktora"/>
    <n v="2"/>
    <x v="34"/>
    <x v="1"/>
    <x v="2"/>
    <x v="0"/>
    <x v="1"/>
    <x v="24"/>
    <x v="3"/>
    <x v="38"/>
    <x v="61"/>
    <x v="0"/>
  </r>
  <r>
    <n v="138"/>
    <n v="14"/>
    <x v="2"/>
    <x v="0"/>
    <s v="Doktora"/>
    <n v="1"/>
    <x v="17"/>
    <x v="1"/>
    <x v="2"/>
    <x v="1"/>
    <x v="3"/>
    <x v="35"/>
    <x v="22"/>
    <x v="36"/>
    <x v="45"/>
    <x v="1"/>
  </r>
  <r>
    <n v="139"/>
    <n v="16"/>
    <x v="1"/>
    <x v="1"/>
    <s v="Okur yazar değil"/>
    <n v="7"/>
    <x v="6"/>
    <x v="0"/>
    <x v="1"/>
    <x v="1"/>
    <x v="1"/>
    <x v="62"/>
    <x v="68"/>
    <x v="4"/>
    <x v="89"/>
    <x v="0"/>
  </r>
  <r>
    <n v="140"/>
    <n v="16"/>
    <x v="2"/>
    <x v="0"/>
    <s v="Ön Lisans"/>
    <n v="3"/>
    <x v="35"/>
    <x v="0"/>
    <x v="3"/>
    <x v="0"/>
    <x v="4"/>
    <x v="4"/>
    <x v="61"/>
    <x v="1"/>
    <x v="43"/>
    <x v="0"/>
  </r>
  <r>
    <n v="141"/>
    <n v="19"/>
    <x v="0"/>
    <x v="1"/>
    <s v="Lise"/>
    <n v="7"/>
    <x v="25"/>
    <x v="0"/>
    <x v="2"/>
    <x v="1"/>
    <x v="4"/>
    <x v="25"/>
    <x v="3"/>
    <x v="9"/>
    <x v="84"/>
    <x v="0"/>
  </r>
  <r>
    <n v="142"/>
    <n v="15"/>
    <x v="1"/>
    <x v="0"/>
    <s v="Ön Lisans"/>
    <n v="6"/>
    <x v="6"/>
    <x v="0"/>
    <x v="0"/>
    <x v="0"/>
    <x v="2"/>
    <x v="59"/>
    <x v="31"/>
    <x v="34"/>
    <x v="6"/>
    <x v="1"/>
  </r>
  <r>
    <n v="143"/>
    <n v="15"/>
    <x v="0"/>
    <x v="1"/>
    <s v="Doktora"/>
    <n v="3"/>
    <x v="30"/>
    <x v="0"/>
    <x v="3"/>
    <x v="0"/>
    <x v="5"/>
    <x v="58"/>
    <x v="59"/>
    <x v="52"/>
    <x v="90"/>
    <x v="0"/>
  </r>
  <r>
    <n v="144"/>
    <n v="16"/>
    <x v="2"/>
    <x v="1"/>
    <s v="Ön Lisans"/>
    <n v="7"/>
    <x v="20"/>
    <x v="0"/>
    <x v="0"/>
    <x v="1"/>
    <x v="4"/>
    <x v="37"/>
    <x v="48"/>
    <x v="1"/>
    <x v="72"/>
    <x v="0"/>
  </r>
  <r>
    <n v="145"/>
    <n v="19"/>
    <x v="1"/>
    <x v="1"/>
    <s v="Lisans"/>
    <n v="7"/>
    <x v="0"/>
    <x v="1"/>
    <x v="3"/>
    <x v="1"/>
    <x v="2"/>
    <x v="53"/>
    <x v="69"/>
    <x v="1"/>
    <x v="4"/>
    <x v="1"/>
  </r>
  <r>
    <n v="146"/>
    <n v="19"/>
    <x v="0"/>
    <x v="0"/>
    <s v="Okur yazar değil"/>
    <n v="1"/>
    <x v="25"/>
    <x v="0"/>
    <x v="2"/>
    <x v="0"/>
    <x v="1"/>
    <x v="16"/>
    <x v="12"/>
    <x v="10"/>
    <x v="91"/>
    <x v="1"/>
  </r>
  <r>
    <n v="147"/>
    <n v="14"/>
    <x v="0"/>
    <x v="1"/>
    <s v="Lisans"/>
    <n v="2"/>
    <x v="0"/>
    <x v="1"/>
    <x v="3"/>
    <x v="0"/>
    <x v="4"/>
    <x v="57"/>
    <x v="32"/>
    <x v="16"/>
    <x v="35"/>
    <x v="1"/>
  </r>
  <r>
    <n v="148"/>
    <n v="15"/>
    <x v="1"/>
    <x v="1"/>
    <s v="Ön Lisans"/>
    <n v="2"/>
    <x v="13"/>
    <x v="0"/>
    <x v="2"/>
    <x v="0"/>
    <x v="3"/>
    <x v="42"/>
    <x v="70"/>
    <x v="39"/>
    <x v="4"/>
    <x v="1"/>
  </r>
  <r>
    <n v="149"/>
    <n v="18"/>
    <x v="0"/>
    <x v="0"/>
    <s v="Doktora"/>
    <n v="4"/>
    <x v="48"/>
    <x v="0"/>
    <x v="0"/>
    <x v="0"/>
    <x v="1"/>
    <x v="12"/>
    <x v="9"/>
    <x v="53"/>
    <x v="26"/>
    <x v="1"/>
  </r>
  <r>
    <n v="150"/>
    <n v="14"/>
    <x v="0"/>
    <x v="1"/>
    <s v="Yüksek Lisans"/>
    <n v="1"/>
    <x v="3"/>
    <x v="0"/>
    <x v="2"/>
    <x v="1"/>
    <x v="2"/>
    <x v="47"/>
    <x v="54"/>
    <x v="27"/>
    <x v="92"/>
    <x v="0"/>
  </r>
  <r>
    <n v="151"/>
    <n v="19"/>
    <x v="2"/>
    <x v="0"/>
    <s v="Lise"/>
    <n v="7"/>
    <x v="25"/>
    <x v="0"/>
    <x v="3"/>
    <x v="1"/>
    <x v="2"/>
    <x v="39"/>
    <x v="0"/>
    <x v="16"/>
    <x v="93"/>
    <x v="0"/>
  </r>
  <r>
    <n v="152"/>
    <n v="15"/>
    <x v="2"/>
    <x v="1"/>
    <s v="Lisans"/>
    <n v="3"/>
    <x v="45"/>
    <x v="0"/>
    <x v="3"/>
    <x v="1"/>
    <x v="2"/>
    <x v="50"/>
    <x v="71"/>
    <x v="1"/>
    <x v="76"/>
    <x v="0"/>
  </r>
  <r>
    <n v="153"/>
    <n v="19"/>
    <x v="1"/>
    <x v="0"/>
    <s v="Ön Lisans"/>
    <n v="3"/>
    <x v="20"/>
    <x v="0"/>
    <x v="1"/>
    <x v="1"/>
    <x v="0"/>
    <x v="26"/>
    <x v="50"/>
    <x v="34"/>
    <x v="94"/>
    <x v="4"/>
  </r>
  <r>
    <n v="154"/>
    <n v="15"/>
    <x v="2"/>
    <x v="1"/>
    <s v="Ön Lisans"/>
    <n v="7"/>
    <x v="6"/>
    <x v="0"/>
    <x v="0"/>
    <x v="0"/>
    <x v="4"/>
    <x v="19"/>
    <x v="42"/>
    <x v="54"/>
    <x v="72"/>
    <x v="0"/>
  </r>
  <r>
    <n v="155"/>
    <n v="16"/>
    <x v="1"/>
    <x v="1"/>
    <s v="Ön Lisans"/>
    <n v="7"/>
    <x v="26"/>
    <x v="0"/>
    <x v="3"/>
    <x v="0"/>
    <x v="4"/>
    <x v="22"/>
    <x v="41"/>
    <x v="39"/>
    <x v="79"/>
    <x v="0"/>
  </r>
  <r>
    <n v="156"/>
    <n v="17"/>
    <x v="0"/>
    <x v="1"/>
    <s v="Yüksek Lisans"/>
    <n v="2"/>
    <x v="1"/>
    <x v="0"/>
    <x v="3"/>
    <x v="1"/>
    <x v="3"/>
    <x v="7"/>
    <x v="62"/>
    <x v="31"/>
    <x v="95"/>
    <x v="2"/>
  </r>
  <r>
    <n v="157"/>
    <n v="14"/>
    <x v="2"/>
    <x v="1"/>
    <s v="Lise"/>
    <n v="3"/>
    <x v="20"/>
    <x v="0"/>
    <x v="0"/>
    <x v="1"/>
    <x v="3"/>
    <x v="46"/>
    <x v="63"/>
    <x v="39"/>
    <x v="96"/>
    <x v="0"/>
  </r>
  <r>
    <n v="158"/>
    <n v="17"/>
    <x v="0"/>
    <x v="1"/>
    <s v="Okur yazar değil"/>
    <n v="2"/>
    <x v="12"/>
    <x v="1"/>
    <x v="2"/>
    <x v="1"/>
    <x v="4"/>
    <x v="63"/>
    <x v="12"/>
    <x v="1"/>
    <x v="97"/>
    <x v="0"/>
  </r>
  <r>
    <n v="159"/>
    <n v="17"/>
    <x v="2"/>
    <x v="1"/>
    <s v="Lise"/>
    <n v="7"/>
    <x v="46"/>
    <x v="0"/>
    <x v="0"/>
    <x v="1"/>
    <x v="3"/>
    <x v="48"/>
    <x v="42"/>
    <x v="21"/>
    <x v="98"/>
    <x v="1"/>
  </r>
  <r>
    <n v="160"/>
    <n v="18"/>
    <x v="1"/>
    <x v="0"/>
    <s v="Yüksek Lisans"/>
    <n v="1"/>
    <x v="4"/>
    <x v="0"/>
    <x v="0"/>
    <x v="0"/>
    <x v="2"/>
    <x v="13"/>
    <x v="36"/>
    <x v="5"/>
    <x v="53"/>
    <x v="1"/>
  </r>
  <r>
    <n v="161"/>
    <n v="19"/>
    <x v="0"/>
    <x v="1"/>
    <s v="Lise"/>
    <n v="4"/>
    <x v="49"/>
    <x v="1"/>
    <x v="2"/>
    <x v="1"/>
    <x v="2"/>
    <x v="57"/>
    <x v="8"/>
    <x v="10"/>
    <x v="88"/>
    <x v="1"/>
  </r>
  <r>
    <n v="162"/>
    <n v="17"/>
    <x v="0"/>
    <x v="0"/>
    <s v="Okur yazar değil"/>
    <n v="3"/>
    <x v="35"/>
    <x v="0"/>
    <x v="0"/>
    <x v="1"/>
    <x v="5"/>
    <x v="56"/>
    <x v="62"/>
    <x v="33"/>
    <x v="99"/>
    <x v="1"/>
  </r>
  <r>
    <n v="163"/>
    <n v="16"/>
    <x v="2"/>
    <x v="1"/>
    <s v="Ön Lisans"/>
    <n v="6"/>
    <x v="21"/>
    <x v="0"/>
    <x v="3"/>
    <x v="0"/>
    <x v="2"/>
    <x v="24"/>
    <x v="16"/>
    <x v="13"/>
    <x v="100"/>
    <x v="0"/>
  </r>
  <r>
    <n v="164"/>
    <n v="16"/>
    <x v="2"/>
    <x v="1"/>
    <s v="Doktora"/>
    <n v="7"/>
    <x v="30"/>
    <x v="0"/>
    <x v="0"/>
    <x v="0"/>
    <x v="1"/>
    <x v="42"/>
    <x v="66"/>
    <x v="18"/>
    <x v="55"/>
    <x v="1"/>
  </r>
  <r>
    <n v="165"/>
    <n v="16"/>
    <x v="1"/>
    <x v="1"/>
    <s v="Doktora"/>
    <n v="4"/>
    <x v="3"/>
    <x v="1"/>
    <x v="0"/>
    <x v="0"/>
    <x v="3"/>
    <x v="62"/>
    <x v="65"/>
    <x v="22"/>
    <x v="79"/>
    <x v="0"/>
  </r>
  <r>
    <n v="166"/>
    <n v="18"/>
    <x v="0"/>
    <x v="0"/>
    <s v="Doktora"/>
    <n v="2"/>
    <x v="5"/>
    <x v="0"/>
    <x v="1"/>
    <x v="1"/>
    <x v="2"/>
    <x v="17"/>
    <x v="39"/>
    <x v="6"/>
    <x v="19"/>
    <x v="1"/>
  </r>
  <r>
    <n v="167"/>
    <n v="15"/>
    <x v="2"/>
    <x v="0"/>
    <s v="Yüksek Lisans"/>
    <n v="1"/>
    <x v="42"/>
    <x v="0"/>
    <x v="3"/>
    <x v="1"/>
    <x v="2"/>
    <x v="64"/>
    <x v="57"/>
    <x v="23"/>
    <x v="37"/>
    <x v="1"/>
  </r>
  <r>
    <n v="168"/>
    <n v="15"/>
    <x v="2"/>
    <x v="1"/>
    <s v="Yüksek Lisans"/>
    <n v="2"/>
    <x v="39"/>
    <x v="0"/>
    <x v="2"/>
    <x v="1"/>
    <x v="0"/>
    <x v="65"/>
    <x v="8"/>
    <x v="36"/>
    <x v="97"/>
    <x v="0"/>
  </r>
  <r>
    <n v="169"/>
    <n v="16"/>
    <x v="1"/>
    <x v="1"/>
    <s v="Yüksek Lisans"/>
    <n v="6"/>
    <x v="14"/>
    <x v="0"/>
    <x v="1"/>
    <x v="0"/>
    <x v="1"/>
    <x v="55"/>
    <x v="72"/>
    <x v="48"/>
    <x v="76"/>
    <x v="0"/>
  </r>
  <r>
    <n v="170"/>
    <n v="14"/>
    <x v="1"/>
    <x v="0"/>
    <s v="Okur yazar değil"/>
    <n v="5"/>
    <x v="26"/>
    <x v="0"/>
    <x v="1"/>
    <x v="1"/>
    <x v="2"/>
    <x v="55"/>
    <x v="0"/>
    <x v="15"/>
    <x v="47"/>
    <x v="1"/>
  </r>
  <r>
    <n v="171"/>
    <n v="14"/>
    <x v="2"/>
    <x v="0"/>
    <s v="Ön Lisans"/>
    <n v="7"/>
    <x v="49"/>
    <x v="1"/>
    <x v="0"/>
    <x v="1"/>
    <x v="4"/>
    <x v="42"/>
    <x v="4"/>
    <x v="1"/>
    <x v="101"/>
    <x v="1"/>
  </r>
  <r>
    <n v="172"/>
    <n v="14"/>
    <x v="1"/>
    <x v="1"/>
    <s v="Lisans"/>
    <n v="1"/>
    <x v="25"/>
    <x v="0"/>
    <x v="2"/>
    <x v="0"/>
    <x v="2"/>
    <x v="34"/>
    <x v="66"/>
    <x v="16"/>
    <x v="13"/>
    <x v="1"/>
  </r>
  <r>
    <n v="173"/>
    <n v="18"/>
    <x v="0"/>
    <x v="1"/>
    <s v="Ön Lisans"/>
    <n v="3"/>
    <x v="16"/>
    <x v="0"/>
    <x v="3"/>
    <x v="1"/>
    <x v="3"/>
    <x v="4"/>
    <x v="35"/>
    <x v="20"/>
    <x v="55"/>
    <x v="1"/>
  </r>
  <r>
    <n v="174"/>
    <n v="18"/>
    <x v="0"/>
    <x v="0"/>
    <s v="Yüksek Lisans"/>
    <n v="2"/>
    <x v="2"/>
    <x v="0"/>
    <x v="0"/>
    <x v="0"/>
    <x v="5"/>
    <x v="48"/>
    <x v="43"/>
    <x v="19"/>
    <x v="22"/>
    <x v="2"/>
  </r>
  <r>
    <n v="175"/>
    <n v="18"/>
    <x v="1"/>
    <x v="0"/>
    <s v="Doktora"/>
    <n v="1"/>
    <x v="20"/>
    <x v="0"/>
    <x v="3"/>
    <x v="1"/>
    <x v="4"/>
    <x v="66"/>
    <x v="28"/>
    <x v="29"/>
    <x v="102"/>
    <x v="1"/>
  </r>
  <r>
    <n v="176"/>
    <n v="16"/>
    <x v="2"/>
    <x v="1"/>
    <s v="Lisans"/>
    <n v="4"/>
    <x v="38"/>
    <x v="0"/>
    <x v="0"/>
    <x v="1"/>
    <x v="0"/>
    <x v="5"/>
    <x v="19"/>
    <x v="37"/>
    <x v="15"/>
    <x v="1"/>
  </r>
  <r>
    <n v="177"/>
    <n v="18"/>
    <x v="2"/>
    <x v="0"/>
    <s v="Okur yazar değil"/>
    <n v="6"/>
    <x v="10"/>
    <x v="0"/>
    <x v="1"/>
    <x v="1"/>
    <x v="2"/>
    <x v="51"/>
    <x v="63"/>
    <x v="1"/>
    <x v="101"/>
    <x v="1"/>
  </r>
  <r>
    <n v="178"/>
    <n v="14"/>
    <x v="1"/>
    <x v="0"/>
    <s v="Ön Lisans"/>
    <n v="3"/>
    <x v="8"/>
    <x v="0"/>
    <x v="2"/>
    <x v="0"/>
    <x v="5"/>
    <x v="58"/>
    <x v="73"/>
    <x v="55"/>
    <x v="103"/>
    <x v="1"/>
  </r>
  <r>
    <n v="179"/>
    <n v="19"/>
    <x v="0"/>
    <x v="0"/>
    <s v="Lise"/>
    <n v="1"/>
    <x v="9"/>
    <x v="0"/>
    <x v="3"/>
    <x v="1"/>
    <x v="1"/>
    <x v="25"/>
    <x v="66"/>
    <x v="17"/>
    <x v="104"/>
    <x v="4"/>
  </r>
  <r>
    <n v="180"/>
    <n v="17"/>
    <x v="1"/>
    <x v="1"/>
    <s v="Ön Lisans"/>
    <n v="1"/>
    <x v="33"/>
    <x v="0"/>
    <x v="1"/>
    <x v="0"/>
    <x v="1"/>
    <x v="55"/>
    <x v="73"/>
    <x v="5"/>
    <x v="103"/>
    <x v="1"/>
  </r>
  <r>
    <n v="181"/>
    <n v="19"/>
    <x v="0"/>
    <x v="0"/>
    <s v="Lise"/>
    <n v="6"/>
    <x v="45"/>
    <x v="0"/>
    <x v="3"/>
    <x v="0"/>
    <x v="3"/>
    <x v="11"/>
    <x v="69"/>
    <x v="44"/>
    <x v="81"/>
    <x v="0"/>
  </r>
  <r>
    <n v="182"/>
    <n v="14"/>
    <x v="1"/>
    <x v="0"/>
    <s v="Okur yazar değil"/>
    <n v="3"/>
    <x v="8"/>
    <x v="0"/>
    <x v="3"/>
    <x v="0"/>
    <x v="5"/>
    <x v="25"/>
    <x v="64"/>
    <x v="49"/>
    <x v="6"/>
    <x v="1"/>
  </r>
  <r>
    <n v="183"/>
    <n v="16"/>
    <x v="1"/>
    <x v="0"/>
    <s v="Lise"/>
    <n v="7"/>
    <x v="17"/>
    <x v="0"/>
    <x v="1"/>
    <x v="1"/>
    <x v="3"/>
    <x v="28"/>
    <x v="21"/>
    <x v="55"/>
    <x v="58"/>
    <x v="1"/>
  </r>
  <r>
    <n v="184"/>
    <n v="18"/>
    <x v="2"/>
    <x v="1"/>
    <s v="Ön Lisans"/>
    <n v="4"/>
    <x v="29"/>
    <x v="0"/>
    <x v="3"/>
    <x v="1"/>
    <x v="1"/>
    <x v="34"/>
    <x v="5"/>
    <x v="53"/>
    <x v="34"/>
    <x v="1"/>
  </r>
  <r>
    <n v="185"/>
    <n v="16"/>
    <x v="2"/>
    <x v="1"/>
    <s v="Okur yazar değil"/>
    <n v="1"/>
    <x v="19"/>
    <x v="0"/>
    <x v="2"/>
    <x v="1"/>
    <x v="4"/>
    <x v="67"/>
    <x v="8"/>
    <x v="10"/>
    <x v="48"/>
    <x v="1"/>
  </r>
  <r>
    <n v="186"/>
    <n v="16"/>
    <x v="2"/>
    <x v="0"/>
    <s v="Okur yazar değil"/>
    <n v="3"/>
    <x v="29"/>
    <x v="1"/>
    <x v="2"/>
    <x v="0"/>
    <x v="0"/>
    <x v="0"/>
    <x v="12"/>
    <x v="40"/>
    <x v="67"/>
    <x v="0"/>
  </r>
  <r>
    <n v="187"/>
    <n v="14"/>
    <x v="0"/>
    <x v="1"/>
    <s v="Lise"/>
    <n v="7"/>
    <x v="18"/>
    <x v="0"/>
    <x v="3"/>
    <x v="1"/>
    <x v="3"/>
    <x v="49"/>
    <x v="24"/>
    <x v="48"/>
    <x v="30"/>
    <x v="1"/>
  </r>
  <r>
    <n v="188"/>
    <n v="16"/>
    <x v="2"/>
    <x v="1"/>
    <s v="Lisans"/>
    <n v="3"/>
    <x v="38"/>
    <x v="0"/>
    <x v="2"/>
    <x v="0"/>
    <x v="4"/>
    <x v="53"/>
    <x v="25"/>
    <x v="40"/>
    <x v="101"/>
    <x v="1"/>
  </r>
  <r>
    <n v="189"/>
    <n v="15"/>
    <x v="0"/>
    <x v="1"/>
    <s v="Lisans"/>
    <n v="4"/>
    <x v="24"/>
    <x v="0"/>
    <x v="0"/>
    <x v="1"/>
    <x v="0"/>
    <x v="45"/>
    <x v="55"/>
    <x v="4"/>
    <x v="31"/>
    <x v="0"/>
  </r>
  <r>
    <n v="190"/>
    <n v="15"/>
    <x v="1"/>
    <x v="1"/>
    <s v="Ön Lisans"/>
    <n v="6"/>
    <x v="7"/>
    <x v="0"/>
    <x v="3"/>
    <x v="1"/>
    <x v="2"/>
    <x v="66"/>
    <x v="35"/>
    <x v="6"/>
    <x v="75"/>
    <x v="2"/>
  </r>
  <r>
    <n v="191"/>
    <n v="18"/>
    <x v="2"/>
    <x v="0"/>
    <s v="Lisans"/>
    <n v="2"/>
    <x v="15"/>
    <x v="0"/>
    <x v="3"/>
    <x v="1"/>
    <x v="2"/>
    <x v="6"/>
    <x v="44"/>
    <x v="15"/>
    <x v="41"/>
    <x v="1"/>
  </r>
  <r>
    <n v="192"/>
    <n v="17"/>
    <x v="2"/>
    <x v="1"/>
    <s v="Lise"/>
    <n v="3"/>
    <x v="7"/>
    <x v="0"/>
    <x v="3"/>
    <x v="1"/>
    <x v="5"/>
    <x v="7"/>
    <x v="74"/>
    <x v="46"/>
    <x v="13"/>
    <x v="1"/>
  </r>
  <r>
    <n v="193"/>
    <n v="17"/>
    <x v="1"/>
    <x v="1"/>
    <s v="Yüksek Lisans"/>
    <n v="3"/>
    <x v="5"/>
    <x v="0"/>
    <x v="2"/>
    <x v="0"/>
    <x v="1"/>
    <x v="6"/>
    <x v="9"/>
    <x v="4"/>
    <x v="17"/>
    <x v="0"/>
  </r>
  <r>
    <n v="194"/>
    <n v="16"/>
    <x v="0"/>
    <x v="1"/>
    <s v="Okur yazar değil"/>
    <n v="2"/>
    <x v="39"/>
    <x v="0"/>
    <x v="0"/>
    <x v="1"/>
    <x v="4"/>
    <x v="63"/>
    <x v="75"/>
    <x v="33"/>
    <x v="53"/>
    <x v="1"/>
  </r>
  <r>
    <n v="195"/>
    <n v="19"/>
    <x v="1"/>
    <x v="1"/>
    <s v="Okur yazar değil"/>
    <n v="4"/>
    <x v="50"/>
    <x v="0"/>
    <x v="0"/>
    <x v="0"/>
    <x v="5"/>
    <x v="45"/>
    <x v="47"/>
    <x v="26"/>
    <x v="105"/>
    <x v="2"/>
  </r>
  <r>
    <n v="196"/>
    <n v="14"/>
    <x v="2"/>
    <x v="1"/>
    <s v="Doktora"/>
    <n v="3"/>
    <x v="37"/>
    <x v="0"/>
    <x v="3"/>
    <x v="1"/>
    <x v="3"/>
    <x v="7"/>
    <x v="45"/>
    <x v="10"/>
    <x v="98"/>
    <x v="1"/>
  </r>
  <r>
    <n v="197"/>
    <n v="16"/>
    <x v="1"/>
    <x v="1"/>
    <s v="Ön Lisans"/>
    <n v="5"/>
    <x v="17"/>
    <x v="0"/>
    <x v="0"/>
    <x v="0"/>
    <x v="4"/>
    <x v="18"/>
    <x v="65"/>
    <x v="45"/>
    <x v="106"/>
    <x v="0"/>
  </r>
  <r>
    <n v="198"/>
    <n v="14"/>
    <x v="1"/>
    <x v="1"/>
    <s v="Lisans"/>
    <n v="4"/>
    <x v="38"/>
    <x v="0"/>
    <x v="3"/>
    <x v="0"/>
    <x v="3"/>
    <x v="48"/>
    <x v="68"/>
    <x v="22"/>
    <x v="7"/>
    <x v="1"/>
  </r>
  <r>
    <n v="199"/>
    <n v="16"/>
    <x v="1"/>
    <x v="0"/>
    <s v="Ön Lisans"/>
    <n v="2"/>
    <x v="26"/>
    <x v="0"/>
    <x v="0"/>
    <x v="0"/>
    <x v="4"/>
    <x v="24"/>
    <x v="16"/>
    <x v="38"/>
    <x v="89"/>
    <x v="0"/>
  </r>
  <r>
    <n v="200"/>
    <n v="19"/>
    <x v="1"/>
    <x v="0"/>
    <s v="Lisans"/>
    <n v="3"/>
    <x v="24"/>
    <x v="0"/>
    <x v="2"/>
    <x v="1"/>
    <x v="3"/>
    <x v="7"/>
    <x v="13"/>
    <x v="42"/>
    <x v="98"/>
    <x v="1"/>
  </r>
  <r>
    <n v="201"/>
    <n v="16"/>
    <x v="0"/>
    <x v="0"/>
    <s v="Yüksek Lisans"/>
    <n v="7"/>
    <x v="48"/>
    <x v="0"/>
    <x v="1"/>
    <x v="0"/>
    <x v="5"/>
    <x v="32"/>
    <x v="0"/>
    <x v="14"/>
    <x v="8"/>
    <x v="0"/>
  </r>
  <r>
    <n v="202"/>
    <n v="19"/>
    <x v="2"/>
    <x v="1"/>
    <s v="Yüksek Lisans"/>
    <n v="3"/>
    <x v="9"/>
    <x v="0"/>
    <x v="2"/>
    <x v="1"/>
    <x v="4"/>
    <x v="33"/>
    <x v="60"/>
    <x v="11"/>
    <x v="107"/>
    <x v="4"/>
  </r>
  <r>
    <n v="203"/>
    <n v="16"/>
    <x v="0"/>
    <x v="0"/>
    <s v="Lise"/>
    <n v="2"/>
    <x v="10"/>
    <x v="0"/>
    <x v="2"/>
    <x v="1"/>
    <x v="4"/>
    <x v="16"/>
    <x v="49"/>
    <x v="16"/>
    <x v="108"/>
    <x v="0"/>
  </r>
  <r>
    <n v="204"/>
    <n v="18"/>
    <x v="2"/>
    <x v="0"/>
    <s v="Lisans"/>
    <n v="2"/>
    <x v="17"/>
    <x v="0"/>
    <x v="1"/>
    <x v="0"/>
    <x v="0"/>
    <x v="19"/>
    <x v="3"/>
    <x v="28"/>
    <x v="109"/>
    <x v="0"/>
  </r>
  <r>
    <n v="205"/>
    <n v="16"/>
    <x v="0"/>
    <x v="0"/>
    <s v="Yüksek Lisans"/>
    <n v="7"/>
    <x v="38"/>
    <x v="0"/>
    <x v="0"/>
    <x v="0"/>
    <x v="4"/>
    <x v="44"/>
    <x v="29"/>
    <x v="52"/>
    <x v="110"/>
    <x v="1"/>
  </r>
  <r>
    <n v="206"/>
    <n v="15"/>
    <x v="1"/>
    <x v="1"/>
    <s v="Ön Lisans"/>
    <n v="3"/>
    <x v="30"/>
    <x v="0"/>
    <x v="2"/>
    <x v="1"/>
    <x v="4"/>
    <x v="38"/>
    <x v="5"/>
    <x v="5"/>
    <x v="80"/>
    <x v="1"/>
  </r>
  <r>
    <n v="207"/>
    <n v="18"/>
    <x v="1"/>
    <x v="1"/>
    <s v="Ön Lisans"/>
    <n v="6"/>
    <x v="8"/>
    <x v="0"/>
    <x v="2"/>
    <x v="1"/>
    <x v="4"/>
    <x v="67"/>
    <x v="39"/>
    <x v="54"/>
    <x v="71"/>
    <x v="2"/>
  </r>
  <r>
    <n v="208"/>
    <n v="19"/>
    <x v="1"/>
    <x v="0"/>
    <s v="Lisans"/>
    <n v="2"/>
    <x v="32"/>
    <x v="0"/>
    <x v="2"/>
    <x v="0"/>
    <x v="4"/>
    <x v="58"/>
    <x v="75"/>
    <x v="29"/>
    <x v="29"/>
    <x v="2"/>
  </r>
  <r>
    <n v="209"/>
    <n v="15"/>
    <x v="1"/>
    <x v="1"/>
    <s v="Lisans"/>
    <n v="1"/>
    <x v="46"/>
    <x v="0"/>
    <x v="1"/>
    <x v="0"/>
    <x v="3"/>
    <x v="22"/>
    <x v="1"/>
    <x v="35"/>
    <x v="93"/>
    <x v="0"/>
  </r>
  <r>
    <n v="210"/>
    <n v="18"/>
    <x v="2"/>
    <x v="0"/>
    <s v="Lise"/>
    <n v="7"/>
    <x v="15"/>
    <x v="0"/>
    <x v="1"/>
    <x v="0"/>
    <x v="0"/>
    <x v="2"/>
    <x v="71"/>
    <x v="9"/>
    <x v="88"/>
    <x v="1"/>
  </r>
  <r>
    <n v="211"/>
    <n v="15"/>
    <x v="0"/>
    <x v="0"/>
    <s v="Doktora"/>
    <n v="6"/>
    <x v="15"/>
    <x v="0"/>
    <x v="0"/>
    <x v="0"/>
    <x v="0"/>
    <x v="68"/>
    <x v="40"/>
    <x v="49"/>
    <x v="15"/>
    <x v="1"/>
  </r>
  <r>
    <n v="212"/>
    <n v="18"/>
    <x v="2"/>
    <x v="1"/>
    <s v="Lisans"/>
    <n v="4"/>
    <x v="6"/>
    <x v="0"/>
    <x v="1"/>
    <x v="0"/>
    <x v="2"/>
    <x v="14"/>
    <x v="65"/>
    <x v="3"/>
    <x v="81"/>
    <x v="0"/>
  </r>
  <r>
    <n v="213"/>
    <n v="18"/>
    <x v="2"/>
    <x v="0"/>
    <s v="Lisans"/>
    <n v="2"/>
    <x v="27"/>
    <x v="1"/>
    <x v="0"/>
    <x v="1"/>
    <x v="0"/>
    <x v="7"/>
    <x v="30"/>
    <x v="51"/>
    <x v="10"/>
    <x v="1"/>
  </r>
  <r>
    <n v="214"/>
    <n v="16"/>
    <x v="2"/>
    <x v="0"/>
    <s v="Lise"/>
    <n v="3"/>
    <x v="5"/>
    <x v="0"/>
    <x v="0"/>
    <x v="1"/>
    <x v="1"/>
    <x v="58"/>
    <x v="11"/>
    <x v="51"/>
    <x v="71"/>
    <x v="2"/>
  </r>
  <r>
    <n v="215"/>
    <n v="18"/>
    <x v="0"/>
    <x v="1"/>
    <s v="Yüksek Lisans"/>
    <n v="4"/>
    <x v="41"/>
    <x v="0"/>
    <x v="3"/>
    <x v="0"/>
    <x v="4"/>
    <x v="50"/>
    <x v="45"/>
    <x v="7"/>
    <x v="38"/>
    <x v="1"/>
  </r>
  <r>
    <n v="216"/>
    <n v="15"/>
    <x v="0"/>
    <x v="0"/>
    <s v="Doktora"/>
    <n v="5"/>
    <x v="27"/>
    <x v="0"/>
    <x v="2"/>
    <x v="0"/>
    <x v="4"/>
    <x v="12"/>
    <x v="34"/>
    <x v="0"/>
    <x v="25"/>
    <x v="1"/>
  </r>
  <r>
    <n v="217"/>
    <n v="14"/>
    <x v="1"/>
    <x v="1"/>
    <s v="Yüksek Lisans"/>
    <n v="4"/>
    <x v="8"/>
    <x v="0"/>
    <x v="0"/>
    <x v="1"/>
    <x v="0"/>
    <x v="37"/>
    <x v="7"/>
    <x v="4"/>
    <x v="16"/>
    <x v="1"/>
  </r>
  <r>
    <n v="218"/>
    <n v="14"/>
    <x v="0"/>
    <x v="0"/>
    <s v="Lisans"/>
    <n v="1"/>
    <x v="25"/>
    <x v="0"/>
    <x v="0"/>
    <x v="1"/>
    <x v="1"/>
    <x v="61"/>
    <x v="67"/>
    <x v="20"/>
    <x v="53"/>
    <x v="1"/>
  </r>
  <r>
    <n v="219"/>
    <n v="16"/>
    <x v="2"/>
    <x v="1"/>
    <s v="Lisans"/>
    <n v="6"/>
    <x v="37"/>
    <x v="1"/>
    <x v="3"/>
    <x v="1"/>
    <x v="1"/>
    <x v="18"/>
    <x v="26"/>
    <x v="35"/>
    <x v="43"/>
    <x v="0"/>
  </r>
  <r>
    <n v="220"/>
    <n v="19"/>
    <x v="2"/>
    <x v="1"/>
    <s v="Lise"/>
    <n v="4"/>
    <x v="32"/>
    <x v="0"/>
    <x v="2"/>
    <x v="1"/>
    <x v="1"/>
    <x v="14"/>
    <x v="20"/>
    <x v="21"/>
    <x v="97"/>
    <x v="0"/>
  </r>
  <r>
    <n v="221"/>
    <n v="14"/>
    <x v="1"/>
    <x v="1"/>
    <s v="Okur yazar değil"/>
    <n v="6"/>
    <x v="50"/>
    <x v="0"/>
    <x v="2"/>
    <x v="1"/>
    <x v="4"/>
    <x v="48"/>
    <x v="76"/>
    <x v="54"/>
    <x v="34"/>
    <x v="1"/>
  </r>
  <r>
    <n v="222"/>
    <n v="16"/>
    <x v="2"/>
    <x v="0"/>
    <s v="Lisans"/>
    <n v="7"/>
    <x v="43"/>
    <x v="0"/>
    <x v="2"/>
    <x v="0"/>
    <x v="0"/>
    <x v="22"/>
    <x v="43"/>
    <x v="52"/>
    <x v="111"/>
    <x v="0"/>
  </r>
  <r>
    <n v="223"/>
    <n v="18"/>
    <x v="0"/>
    <x v="1"/>
    <s v="Lise"/>
    <n v="3"/>
    <x v="13"/>
    <x v="0"/>
    <x v="0"/>
    <x v="1"/>
    <x v="0"/>
    <x v="63"/>
    <x v="9"/>
    <x v="1"/>
    <x v="33"/>
    <x v="1"/>
  </r>
  <r>
    <n v="224"/>
    <n v="15"/>
    <x v="2"/>
    <x v="0"/>
    <s v="Okur yazar değil"/>
    <n v="5"/>
    <x v="0"/>
    <x v="0"/>
    <x v="1"/>
    <x v="1"/>
    <x v="3"/>
    <x v="20"/>
    <x v="3"/>
    <x v="41"/>
    <x v="21"/>
    <x v="1"/>
  </r>
  <r>
    <n v="225"/>
    <n v="18"/>
    <x v="0"/>
    <x v="1"/>
    <s v="Yüksek Lisans"/>
    <n v="4"/>
    <x v="47"/>
    <x v="0"/>
    <x v="2"/>
    <x v="0"/>
    <x v="1"/>
    <x v="35"/>
    <x v="36"/>
    <x v="52"/>
    <x v="112"/>
    <x v="0"/>
  </r>
  <r>
    <n v="226"/>
    <n v="15"/>
    <x v="2"/>
    <x v="1"/>
    <s v="Ön Lisans"/>
    <n v="2"/>
    <x v="18"/>
    <x v="0"/>
    <x v="1"/>
    <x v="0"/>
    <x v="5"/>
    <x v="63"/>
    <x v="25"/>
    <x v="12"/>
    <x v="96"/>
    <x v="0"/>
  </r>
  <r>
    <n v="227"/>
    <n v="18"/>
    <x v="1"/>
    <x v="1"/>
    <s v="Doktora"/>
    <n v="3"/>
    <x v="14"/>
    <x v="0"/>
    <x v="3"/>
    <x v="1"/>
    <x v="2"/>
    <x v="43"/>
    <x v="58"/>
    <x v="19"/>
    <x v="65"/>
    <x v="1"/>
  </r>
  <r>
    <n v="228"/>
    <n v="17"/>
    <x v="1"/>
    <x v="1"/>
    <s v="Doktora"/>
    <n v="6"/>
    <x v="15"/>
    <x v="1"/>
    <x v="0"/>
    <x v="1"/>
    <x v="0"/>
    <x v="51"/>
    <x v="42"/>
    <x v="12"/>
    <x v="53"/>
    <x v="1"/>
  </r>
  <r>
    <n v="229"/>
    <n v="17"/>
    <x v="0"/>
    <x v="1"/>
    <s v="Okur yazar değil"/>
    <n v="7"/>
    <x v="20"/>
    <x v="1"/>
    <x v="2"/>
    <x v="1"/>
    <x v="1"/>
    <x v="31"/>
    <x v="52"/>
    <x v="56"/>
    <x v="16"/>
    <x v="1"/>
  </r>
  <r>
    <n v="230"/>
    <n v="15"/>
    <x v="1"/>
    <x v="0"/>
    <s v="Yüksek Lisans"/>
    <n v="7"/>
    <x v="7"/>
    <x v="0"/>
    <x v="1"/>
    <x v="0"/>
    <x v="4"/>
    <x v="51"/>
    <x v="26"/>
    <x v="57"/>
    <x v="41"/>
    <x v="1"/>
  </r>
  <r>
    <n v="231"/>
    <n v="16"/>
    <x v="2"/>
    <x v="1"/>
    <s v="Ön Lisans"/>
    <n v="7"/>
    <x v="16"/>
    <x v="0"/>
    <x v="0"/>
    <x v="1"/>
    <x v="4"/>
    <x v="35"/>
    <x v="38"/>
    <x v="44"/>
    <x v="35"/>
    <x v="1"/>
  </r>
  <r>
    <n v="232"/>
    <n v="19"/>
    <x v="2"/>
    <x v="1"/>
    <s v="Yüksek Lisans"/>
    <n v="2"/>
    <x v="41"/>
    <x v="0"/>
    <x v="0"/>
    <x v="1"/>
    <x v="2"/>
    <x v="5"/>
    <x v="25"/>
    <x v="8"/>
    <x v="2"/>
    <x v="1"/>
  </r>
  <r>
    <n v="233"/>
    <n v="14"/>
    <x v="1"/>
    <x v="0"/>
    <s v="Okur yazar değil"/>
    <n v="1"/>
    <x v="12"/>
    <x v="0"/>
    <x v="3"/>
    <x v="0"/>
    <x v="1"/>
    <x v="38"/>
    <x v="63"/>
    <x v="9"/>
    <x v="69"/>
    <x v="0"/>
  </r>
  <r>
    <n v="234"/>
    <n v="18"/>
    <x v="0"/>
    <x v="0"/>
    <s v="Ön Lisans"/>
    <n v="1"/>
    <x v="20"/>
    <x v="0"/>
    <x v="2"/>
    <x v="1"/>
    <x v="1"/>
    <x v="12"/>
    <x v="77"/>
    <x v="24"/>
    <x v="97"/>
    <x v="0"/>
  </r>
  <r>
    <n v="235"/>
    <n v="16"/>
    <x v="1"/>
    <x v="1"/>
    <s v="Lisans"/>
    <n v="6"/>
    <x v="41"/>
    <x v="0"/>
    <x v="3"/>
    <x v="0"/>
    <x v="4"/>
    <x v="56"/>
    <x v="78"/>
    <x v="58"/>
    <x v="113"/>
    <x v="3"/>
  </r>
  <r>
    <n v="236"/>
    <n v="18"/>
    <x v="2"/>
    <x v="1"/>
    <s v="Ön Lisans"/>
    <n v="3"/>
    <x v="1"/>
    <x v="0"/>
    <x v="1"/>
    <x v="1"/>
    <x v="4"/>
    <x v="6"/>
    <x v="16"/>
    <x v="18"/>
    <x v="17"/>
    <x v="0"/>
  </r>
  <r>
    <n v="237"/>
    <n v="17"/>
    <x v="0"/>
    <x v="1"/>
    <s v="Lisans"/>
    <n v="3"/>
    <x v="37"/>
    <x v="1"/>
    <x v="3"/>
    <x v="1"/>
    <x v="0"/>
    <x v="17"/>
    <x v="45"/>
    <x v="55"/>
    <x v="97"/>
    <x v="0"/>
  </r>
  <r>
    <n v="238"/>
    <n v="16"/>
    <x v="2"/>
    <x v="0"/>
    <s v="Okur yazar değil"/>
    <n v="2"/>
    <x v="45"/>
    <x v="0"/>
    <x v="2"/>
    <x v="1"/>
    <x v="3"/>
    <x v="4"/>
    <x v="23"/>
    <x v="30"/>
    <x v="52"/>
    <x v="1"/>
  </r>
  <r>
    <n v="239"/>
    <n v="15"/>
    <x v="2"/>
    <x v="0"/>
    <s v="Okur yazar değil"/>
    <n v="6"/>
    <x v="5"/>
    <x v="0"/>
    <x v="1"/>
    <x v="1"/>
    <x v="3"/>
    <x v="69"/>
    <x v="57"/>
    <x v="45"/>
    <x v="10"/>
    <x v="1"/>
  </r>
  <r>
    <n v="240"/>
    <n v="17"/>
    <x v="2"/>
    <x v="0"/>
    <s v="Lisans"/>
    <n v="4"/>
    <x v="20"/>
    <x v="0"/>
    <x v="0"/>
    <x v="0"/>
    <x v="2"/>
    <x v="19"/>
    <x v="10"/>
    <x v="9"/>
    <x v="57"/>
    <x v="1"/>
  </r>
  <r>
    <n v="241"/>
    <n v="14"/>
    <x v="1"/>
    <x v="0"/>
    <s v="Ön Lisans"/>
    <n v="6"/>
    <x v="47"/>
    <x v="0"/>
    <x v="1"/>
    <x v="1"/>
    <x v="5"/>
    <x v="1"/>
    <x v="28"/>
    <x v="34"/>
    <x v="79"/>
    <x v="0"/>
  </r>
  <r>
    <n v="242"/>
    <n v="17"/>
    <x v="0"/>
    <x v="0"/>
    <s v="Lisans"/>
    <n v="1"/>
    <x v="20"/>
    <x v="0"/>
    <x v="0"/>
    <x v="0"/>
    <x v="4"/>
    <x v="34"/>
    <x v="16"/>
    <x v="18"/>
    <x v="47"/>
    <x v="1"/>
  </r>
  <r>
    <n v="243"/>
    <n v="14"/>
    <x v="0"/>
    <x v="0"/>
    <s v="Ön Lisans"/>
    <n v="3"/>
    <x v="38"/>
    <x v="1"/>
    <x v="0"/>
    <x v="1"/>
    <x v="5"/>
    <x v="17"/>
    <x v="77"/>
    <x v="32"/>
    <x v="19"/>
    <x v="1"/>
  </r>
  <r>
    <n v="244"/>
    <n v="17"/>
    <x v="2"/>
    <x v="1"/>
    <s v="Okur yazar değil"/>
    <n v="2"/>
    <x v="23"/>
    <x v="0"/>
    <x v="2"/>
    <x v="1"/>
    <x v="0"/>
    <x v="40"/>
    <x v="49"/>
    <x v="17"/>
    <x v="51"/>
    <x v="1"/>
  </r>
  <r>
    <n v="245"/>
    <n v="17"/>
    <x v="1"/>
    <x v="0"/>
    <s v="Yüksek Lisans"/>
    <n v="4"/>
    <x v="38"/>
    <x v="1"/>
    <x v="0"/>
    <x v="0"/>
    <x v="4"/>
    <x v="10"/>
    <x v="71"/>
    <x v="48"/>
    <x v="15"/>
    <x v="1"/>
  </r>
  <r>
    <n v="246"/>
    <n v="14"/>
    <x v="0"/>
    <x v="0"/>
    <s v="Okur yazar değil"/>
    <n v="5"/>
    <x v="10"/>
    <x v="0"/>
    <x v="1"/>
    <x v="0"/>
    <x v="3"/>
    <x v="47"/>
    <x v="19"/>
    <x v="1"/>
    <x v="109"/>
    <x v="0"/>
  </r>
  <r>
    <n v="247"/>
    <n v="18"/>
    <x v="2"/>
    <x v="0"/>
    <s v="Yüksek Lisans"/>
    <n v="1"/>
    <x v="25"/>
    <x v="0"/>
    <x v="3"/>
    <x v="1"/>
    <x v="0"/>
    <x v="32"/>
    <x v="69"/>
    <x v="47"/>
    <x v="31"/>
    <x v="0"/>
  </r>
  <r>
    <n v="248"/>
    <n v="16"/>
    <x v="0"/>
    <x v="1"/>
    <s v="Okur yazar değil"/>
    <n v="4"/>
    <x v="33"/>
    <x v="0"/>
    <x v="0"/>
    <x v="1"/>
    <x v="5"/>
    <x v="5"/>
    <x v="58"/>
    <x v="26"/>
    <x v="101"/>
    <x v="1"/>
  </r>
  <r>
    <n v="249"/>
    <n v="18"/>
    <x v="2"/>
    <x v="1"/>
    <s v="Doktora"/>
    <n v="4"/>
    <x v="32"/>
    <x v="0"/>
    <x v="3"/>
    <x v="1"/>
    <x v="3"/>
    <x v="16"/>
    <x v="79"/>
    <x v="22"/>
    <x v="114"/>
    <x v="1"/>
  </r>
  <r>
    <n v="250"/>
    <n v="14"/>
    <x v="1"/>
    <x v="0"/>
    <s v="Lise"/>
    <n v="3"/>
    <x v="44"/>
    <x v="0"/>
    <x v="0"/>
    <x v="1"/>
    <x v="0"/>
    <x v="70"/>
    <x v="66"/>
    <x v="55"/>
    <x v="53"/>
    <x v="1"/>
  </r>
  <r>
    <n v="251"/>
    <n v="15"/>
    <x v="1"/>
    <x v="1"/>
    <s v="Doktora"/>
    <n v="7"/>
    <x v="31"/>
    <x v="0"/>
    <x v="3"/>
    <x v="1"/>
    <x v="5"/>
    <x v="23"/>
    <x v="57"/>
    <x v="22"/>
    <x v="78"/>
    <x v="1"/>
  </r>
  <r>
    <n v="252"/>
    <n v="16"/>
    <x v="0"/>
    <x v="1"/>
    <s v="Okur yazar değil"/>
    <n v="5"/>
    <x v="29"/>
    <x v="0"/>
    <x v="1"/>
    <x v="0"/>
    <x v="2"/>
    <x v="4"/>
    <x v="44"/>
    <x v="45"/>
    <x v="115"/>
    <x v="1"/>
  </r>
  <r>
    <n v="253"/>
    <n v="15"/>
    <x v="0"/>
    <x v="0"/>
    <s v="Ön Lisans"/>
    <n v="3"/>
    <x v="25"/>
    <x v="0"/>
    <x v="0"/>
    <x v="0"/>
    <x v="0"/>
    <x v="70"/>
    <x v="33"/>
    <x v="40"/>
    <x v="89"/>
    <x v="0"/>
  </r>
  <r>
    <n v="254"/>
    <n v="15"/>
    <x v="2"/>
    <x v="1"/>
    <s v="Ön Lisans"/>
    <n v="1"/>
    <x v="5"/>
    <x v="1"/>
    <x v="2"/>
    <x v="0"/>
    <x v="0"/>
    <x v="38"/>
    <x v="2"/>
    <x v="10"/>
    <x v="21"/>
    <x v="1"/>
  </r>
  <r>
    <n v="255"/>
    <n v="17"/>
    <x v="1"/>
    <x v="1"/>
    <s v="Okur yazar değil"/>
    <n v="7"/>
    <x v="19"/>
    <x v="0"/>
    <x v="3"/>
    <x v="1"/>
    <x v="1"/>
    <x v="5"/>
    <x v="34"/>
    <x v="13"/>
    <x v="64"/>
    <x v="1"/>
  </r>
  <r>
    <n v="256"/>
    <n v="14"/>
    <x v="2"/>
    <x v="0"/>
    <s v="Ön Lisans"/>
    <n v="1"/>
    <x v="20"/>
    <x v="0"/>
    <x v="1"/>
    <x v="1"/>
    <x v="2"/>
    <x v="26"/>
    <x v="61"/>
    <x v="24"/>
    <x v="90"/>
    <x v="0"/>
  </r>
  <r>
    <n v="257"/>
    <n v="18"/>
    <x v="2"/>
    <x v="1"/>
    <s v="Lise"/>
    <n v="4"/>
    <x v="3"/>
    <x v="1"/>
    <x v="3"/>
    <x v="1"/>
    <x v="3"/>
    <x v="19"/>
    <x v="65"/>
    <x v="38"/>
    <x v="106"/>
    <x v="0"/>
  </r>
  <r>
    <n v="258"/>
    <n v="14"/>
    <x v="0"/>
    <x v="0"/>
    <s v="Ön Lisans"/>
    <n v="1"/>
    <x v="1"/>
    <x v="0"/>
    <x v="2"/>
    <x v="0"/>
    <x v="4"/>
    <x v="65"/>
    <x v="69"/>
    <x v="27"/>
    <x v="8"/>
    <x v="0"/>
  </r>
  <r>
    <n v="259"/>
    <n v="15"/>
    <x v="1"/>
    <x v="0"/>
    <s v="Ön Lisans"/>
    <n v="5"/>
    <x v="50"/>
    <x v="0"/>
    <x v="0"/>
    <x v="0"/>
    <x v="1"/>
    <x v="43"/>
    <x v="29"/>
    <x v="19"/>
    <x v="116"/>
    <x v="4"/>
  </r>
  <r>
    <n v="260"/>
    <n v="17"/>
    <x v="2"/>
    <x v="0"/>
    <s v="Lise"/>
    <n v="7"/>
    <x v="48"/>
    <x v="0"/>
    <x v="3"/>
    <x v="1"/>
    <x v="2"/>
    <x v="22"/>
    <x v="38"/>
    <x v="58"/>
    <x v="39"/>
    <x v="0"/>
  </r>
  <r>
    <n v="261"/>
    <n v="18"/>
    <x v="1"/>
    <x v="0"/>
    <s v="Yüksek Lisans"/>
    <n v="7"/>
    <x v="37"/>
    <x v="0"/>
    <x v="2"/>
    <x v="0"/>
    <x v="2"/>
    <x v="27"/>
    <x v="5"/>
    <x v="55"/>
    <x v="26"/>
    <x v="1"/>
  </r>
  <r>
    <n v="262"/>
    <n v="15"/>
    <x v="1"/>
    <x v="1"/>
    <s v="Lisans"/>
    <n v="2"/>
    <x v="47"/>
    <x v="0"/>
    <x v="1"/>
    <x v="1"/>
    <x v="1"/>
    <x v="0"/>
    <x v="64"/>
    <x v="3"/>
    <x v="98"/>
    <x v="1"/>
  </r>
  <r>
    <n v="263"/>
    <n v="15"/>
    <x v="1"/>
    <x v="1"/>
    <s v="Doktora"/>
    <n v="3"/>
    <x v="44"/>
    <x v="1"/>
    <x v="3"/>
    <x v="1"/>
    <x v="3"/>
    <x v="38"/>
    <x v="21"/>
    <x v="6"/>
    <x v="24"/>
    <x v="1"/>
  </r>
  <r>
    <n v="264"/>
    <n v="19"/>
    <x v="2"/>
    <x v="0"/>
    <s v="Yüksek Lisans"/>
    <n v="2"/>
    <x v="27"/>
    <x v="0"/>
    <x v="1"/>
    <x v="1"/>
    <x v="2"/>
    <x v="20"/>
    <x v="41"/>
    <x v="36"/>
    <x v="117"/>
    <x v="1"/>
  </r>
  <r>
    <n v="265"/>
    <n v="19"/>
    <x v="2"/>
    <x v="0"/>
    <s v="Lise"/>
    <n v="1"/>
    <x v="18"/>
    <x v="0"/>
    <x v="3"/>
    <x v="1"/>
    <x v="5"/>
    <x v="17"/>
    <x v="50"/>
    <x v="26"/>
    <x v="46"/>
    <x v="2"/>
  </r>
  <r>
    <n v="266"/>
    <n v="17"/>
    <x v="2"/>
    <x v="1"/>
    <s v="Lise"/>
    <n v="3"/>
    <x v="15"/>
    <x v="0"/>
    <x v="0"/>
    <x v="1"/>
    <x v="2"/>
    <x v="61"/>
    <x v="59"/>
    <x v="4"/>
    <x v="118"/>
    <x v="0"/>
  </r>
  <r>
    <n v="267"/>
    <n v="16"/>
    <x v="1"/>
    <x v="1"/>
    <s v="Doktora"/>
    <n v="3"/>
    <x v="37"/>
    <x v="0"/>
    <x v="0"/>
    <x v="1"/>
    <x v="3"/>
    <x v="4"/>
    <x v="6"/>
    <x v="32"/>
    <x v="119"/>
    <x v="2"/>
  </r>
  <r>
    <n v="268"/>
    <n v="16"/>
    <x v="1"/>
    <x v="1"/>
    <s v="Lise"/>
    <n v="3"/>
    <x v="7"/>
    <x v="0"/>
    <x v="3"/>
    <x v="0"/>
    <x v="5"/>
    <x v="0"/>
    <x v="58"/>
    <x v="54"/>
    <x v="120"/>
    <x v="0"/>
  </r>
  <r>
    <n v="269"/>
    <n v="17"/>
    <x v="1"/>
    <x v="1"/>
    <s v="Okur yazar değil"/>
    <n v="2"/>
    <x v="33"/>
    <x v="1"/>
    <x v="0"/>
    <x v="1"/>
    <x v="1"/>
    <x v="7"/>
    <x v="22"/>
    <x v="25"/>
    <x v="43"/>
    <x v="0"/>
  </r>
  <r>
    <n v="270"/>
    <n v="17"/>
    <x v="0"/>
    <x v="1"/>
    <s v="Lisans"/>
    <n v="3"/>
    <x v="26"/>
    <x v="0"/>
    <x v="2"/>
    <x v="0"/>
    <x v="4"/>
    <x v="68"/>
    <x v="76"/>
    <x v="36"/>
    <x v="19"/>
    <x v="1"/>
  </r>
  <r>
    <n v="271"/>
    <n v="15"/>
    <x v="2"/>
    <x v="0"/>
    <s v="Doktora"/>
    <n v="5"/>
    <x v="27"/>
    <x v="0"/>
    <x v="3"/>
    <x v="1"/>
    <x v="2"/>
    <x v="26"/>
    <x v="75"/>
    <x v="43"/>
    <x v="16"/>
    <x v="1"/>
  </r>
  <r>
    <n v="272"/>
    <n v="14"/>
    <x v="0"/>
    <x v="1"/>
    <s v="Lise"/>
    <n v="4"/>
    <x v="41"/>
    <x v="0"/>
    <x v="0"/>
    <x v="1"/>
    <x v="2"/>
    <x v="70"/>
    <x v="41"/>
    <x v="39"/>
    <x v="120"/>
    <x v="0"/>
  </r>
  <r>
    <n v="273"/>
    <n v="14"/>
    <x v="2"/>
    <x v="1"/>
    <s v="Lisans"/>
    <n v="3"/>
    <x v="41"/>
    <x v="0"/>
    <x v="0"/>
    <x v="1"/>
    <x v="5"/>
    <x v="15"/>
    <x v="45"/>
    <x v="55"/>
    <x v="17"/>
    <x v="0"/>
  </r>
  <r>
    <n v="274"/>
    <n v="19"/>
    <x v="1"/>
    <x v="0"/>
    <s v="Ön Lisans"/>
    <n v="7"/>
    <x v="3"/>
    <x v="0"/>
    <x v="0"/>
    <x v="0"/>
    <x v="1"/>
    <x v="35"/>
    <x v="14"/>
    <x v="44"/>
    <x v="101"/>
    <x v="1"/>
  </r>
  <r>
    <n v="275"/>
    <n v="16"/>
    <x v="2"/>
    <x v="1"/>
    <s v="Ön Lisans"/>
    <n v="4"/>
    <x v="17"/>
    <x v="0"/>
    <x v="2"/>
    <x v="1"/>
    <x v="5"/>
    <x v="16"/>
    <x v="9"/>
    <x v="9"/>
    <x v="81"/>
    <x v="0"/>
  </r>
  <r>
    <n v="276"/>
    <n v="16"/>
    <x v="2"/>
    <x v="0"/>
    <s v="Ön Lisans"/>
    <n v="4"/>
    <x v="46"/>
    <x v="0"/>
    <x v="3"/>
    <x v="1"/>
    <x v="5"/>
    <x v="53"/>
    <x v="73"/>
    <x v="30"/>
    <x v="14"/>
    <x v="1"/>
  </r>
  <r>
    <n v="277"/>
    <n v="16"/>
    <x v="1"/>
    <x v="0"/>
    <s v="Okur yazar değil"/>
    <n v="6"/>
    <x v="21"/>
    <x v="0"/>
    <x v="2"/>
    <x v="1"/>
    <x v="4"/>
    <x v="0"/>
    <x v="47"/>
    <x v="49"/>
    <x v="31"/>
    <x v="0"/>
  </r>
  <r>
    <n v="278"/>
    <n v="18"/>
    <x v="1"/>
    <x v="1"/>
    <s v="Ön Lisans"/>
    <n v="5"/>
    <x v="33"/>
    <x v="0"/>
    <x v="0"/>
    <x v="0"/>
    <x v="0"/>
    <x v="40"/>
    <x v="21"/>
    <x v="33"/>
    <x v="29"/>
    <x v="2"/>
  </r>
  <r>
    <n v="279"/>
    <n v="14"/>
    <x v="1"/>
    <x v="0"/>
    <s v="Lise"/>
    <n v="5"/>
    <x v="0"/>
    <x v="0"/>
    <x v="3"/>
    <x v="1"/>
    <x v="1"/>
    <x v="28"/>
    <x v="7"/>
    <x v="4"/>
    <x v="10"/>
    <x v="1"/>
  </r>
  <r>
    <n v="280"/>
    <n v="14"/>
    <x v="1"/>
    <x v="0"/>
    <s v="Yüksek Lisans"/>
    <n v="3"/>
    <x v="16"/>
    <x v="0"/>
    <x v="1"/>
    <x v="0"/>
    <x v="1"/>
    <x v="4"/>
    <x v="49"/>
    <x v="15"/>
    <x v="30"/>
    <x v="1"/>
  </r>
  <r>
    <n v="281"/>
    <n v="15"/>
    <x v="0"/>
    <x v="1"/>
    <s v="Lise"/>
    <n v="6"/>
    <x v="7"/>
    <x v="0"/>
    <x v="0"/>
    <x v="1"/>
    <x v="5"/>
    <x v="44"/>
    <x v="15"/>
    <x v="3"/>
    <x v="121"/>
    <x v="1"/>
  </r>
  <r>
    <n v="282"/>
    <n v="16"/>
    <x v="0"/>
    <x v="1"/>
    <s v="Doktora"/>
    <n v="3"/>
    <x v="42"/>
    <x v="0"/>
    <x v="0"/>
    <x v="1"/>
    <x v="5"/>
    <x v="65"/>
    <x v="7"/>
    <x v="15"/>
    <x v="110"/>
    <x v="1"/>
  </r>
  <r>
    <n v="283"/>
    <n v="18"/>
    <x v="2"/>
    <x v="1"/>
    <s v="Okur yazar değil"/>
    <n v="4"/>
    <x v="25"/>
    <x v="0"/>
    <x v="0"/>
    <x v="1"/>
    <x v="1"/>
    <x v="43"/>
    <x v="40"/>
    <x v="24"/>
    <x v="24"/>
    <x v="1"/>
  </r>
  <r>
    <n v="284"/>
    <n v="16"/>
    <x v="2"/>
    <x v="1"/>
    <s v="Ön Lisans"/>
    <n v="3"/>
    <x v="49"/>
    <x v="0"/>
    <x v="2"/>
    <x v="0"/>
    <x v="4"/>
    <x v="1"/>
    <x v="33"/>
    <x v="34"/>
    <x v="4"/>
    <x v="1"/>
  </r>
  <r>
    <n v="285"/>
    <n v="16"/>
    <x v="0"/>
    <x v="1"/>
    <s v="Lise"/>
    <n v="6"/>
    <x v="11"/>
    <x v="0"/>
    <x v="0"/>
    <x v="0"/>
    <x v="0"/>
    <x v="24"/>
    <x v="16"/>
    <x v="48"/>
    <x v="122"/>
    <x v="0"/>
  </r>
  <r>
    <n v="286"/>
    <n v="19"/>
    <x v="0"/>
    <x v="0"/>
    <s v="Ön Lisans"/>
    <n v="1"/>
    <x v="27"/>
    <x v="0"/>
    <x v="3"/>
    <x v="1"/>
    <x v="4"/>
    <x v="54"/>
    <x v="41"/>
    <x v="51"/>
    <x v="123"/>
    <x v="0"/>
  </r>
  <r>
    <n v="287"/>
    <n v="14"/>
    <x v="1"/>
    <x v="0"/>
    <s v="Yüksek Lisans"/>
    <n v="6"/>
    <x v="8"/>
    <x v="0"/>
    <x v="3"/>
    <x v="1"/>
    <x v="0"/>
    <x v="1"/>
    <x v="45"/>
    <x v="39"/>
    <x v="124"/>
    <x v="0"/>
  </r>
  <r>
    <n v="288"/>
    <n v="17"/>
    <x v="2"/>
    <x v="0"/>
    <s v="Doktora"/>
    <n v="2"/>
    <x v="2"/>
    <x v="0"/>
    <x v="3"/>
    <x v="0"/>
    <x v="1"/>
    <x v="59"/>
    <x v="47"/>
    <x v="26"/>
    <x v="110"/>
    <x v="1"/>
  </r>
  <r>
    <n v="289"/>
    <n v="17"/>
    <x v="2"/>
    <x v="0"/>
    <s v="Yüksek Lisans"/>
    <n v="3"/>
    <x v="26"/>
    <x v="1"/>
    <x v="0"/>
    <x v="0"/>
    <x v="5"/>
    <x v="5"/>
    <x v="21"/>
    <x v="43"/>
    <x v="46"/>
    <x v="2"/>
  </r>
  <r>
    <n v="290"/>
    <n v="16"/>
    <x v="2"/>
    <x v="0"/>
    <s v="Lisans"/>
    <n v="3"/>
    <x v="42"/>
    <x v="0"/>
    <x v="2"/>
    <x v="0"/>
    <x v="2"/>
    <x v="39"/>
    <x v="43"/>
    <x v="17"/>
    <x v="33"/>
    <x v="1"/>
  </r>
  <r>
    <n v="291"/>
    <n v="18"/>
    <x v="0"/>
    <x v="0"/>
    <s v="Lisans"/>
    <n v="6"/>
    <x v="36"/>
    <x v="0"/>
    <x v="3"/>
    <x v="1"/>
    <x v="3"/>
    <x v="1"/>
    <x v="29"/>
    <x v="11"/>
    <x v="121"/>
    <x v="1"/>
  </r>
  <r>
    <n v="292"/>
    <n v="15"/>
    <x v="0"/>
    <x v="0"/>
    <s v="Doktora"/>
    <n v="6"/>
    <x v="33"/>
    <x v="1"/>
    <x v="3"/>
    <x v="0"/>
    <x v="1"/>
    <x v="56"/>
    <x v="63"/>
    <x v="10"/>
    <x v="109"/>
    <x v="0"/>
  </r>
  <r>
    <n v="293"/>
    <n v="19"/>
    <x v="1"/>
    <x v="0"/>
    <s v="Doktora"/>
    <n v="3"/>
    <x v="1"/>
    <x v="1"/>
    <x v="1"/>
    <x v="0"/>
    <x v="2"/>
    <x v="28"/>
    <x v="16"/>
    <x v="17"/>
    <x v="48"/>
    <x v="1"/>
  </r>
  <r>
    <n v="294"/>
    <n v="15"/>
    <x v="0"/>
    <x v="1"/>
    <s v="Yüksek Lisans"/>
    <n v="4"/>
    <x v="3"/>
    <x v="0"/>
    <x v="0"/>
    <x v="1"/>
    <x v="4"/>
    <x v="10"/>
    <x v="67"/>
    <x v="32"/>
    <x v="59"/>
    <x v="1"/>
  </r>
  <r>
    <n v="295"/>
    <n v="17"/>
    <x v="1"/>
    <x v="0"/>
    <s v="Okur yazar değil"/>
    <n v="4"/>
    <x v="14"/>
    <x v="0"/>
    <x v="1"/>
    <x v="1"/>
    <x v="5"/>
    <x v="0"/>
    <x v="71"/>
    <x v="31"/>
    <x v="26"/>
    <x v="1"/>
  </r>
  <r>
    <n v="296"/>
    <n v="17"/>
    <x v="1"/>
    <x v="1"/>
    <s v="Lise"/>
    <n v="4"/>
    <x v="49"/>
    <x v="0"/>
    <x v="2"/>
    <x v="1"/>
    <x v="3"/>
    <x v="7"/>
    <x v="5"/>
    <x v="50"/>
    <x v="95"/>
    <x v="2"/>
  </r>
  <r>
    <n v="297"/>
    <n v="19"/>
    <x v="2"/>
    <x v="0"/>
    <s v="Lise"/>
    <n v="3"/>
    <x v="48"/>
    <x v="0"/>
    <x v="2"/>
    <x v="0"/>
    <x v="0"/>
    <x v="30"/>
    <x v="56"/>
    <x v="57"/>
    <x v="97"/>
    <x v="0"/>
  </r>
  <r>
    <n v="298"/>
    <n v="16"/>
    <x v="0"/>
    <x v="0"/>
    <s v="Lise"/>
    <n v="7"/>
    <x v="31"/>
    <x v="0"/>
    <x v="1"/>
    <x v="0"/>
    <x v="0"/>
    <x v="8"/>
    <x v="16"/>
    <x v="40"/>
    <x v="38"/>
    <x v="1"/>
  </r>
  <r>
    <n v="299"/>
    <n v="15"/>
    <x v="2"/>
    <x v="0"/>
    <s v="Doktora"/>
    <n v="2"/>
    <x v="27"/>
    <x v="0"/>
    <x v="2"/>
    <x v="1"/>
    <x v="1"/>
    <x v="12"/>
    <x v="74"/>
    <x v="40"/>
    <x v="103"/>
    <x v="1"/>
  </r>
  <r>
    <n v="300"/>
    <n v="14"/>
    <x v="2"/>
    <x v="1"/>
    <s v="Okur yazar değil"/>
    <n v="6"/>
    <x v="26"/>
    <x v="0"/>
    <x v="1"/>
    <x v="1"/>
    <x v="0"/>
    <x v="13"/>
    <x v="70"/>
    <x v="7"/>
    <x v="37"/>
    <x v="1"/>
  </r>
  <r>
    <n v="301"/>
    <n v="16"/>
    <x v="2"/>
    <x v="1"/>
    <s v="Doktora"/>
    <n v="4"/>
    <x v="46"/>
    <x v="0"/>
    <x v="3"/>
    <x v="0"/>
    <x v="4"/>
    <x v="35"/>
    <x v="29"/>
    <x v="12"/>
    <x v="48"/>
    <x v="1"/>
  </r>
  <r>
    <n v="302"/>
    <n v="18"/>
    <x v="2"/>
    <x v="0"/>
    <s v="Yüksek Lisans"/>
    <n v="2"/>
    <x v="3"/>
    <x v="0"/>
    <x v="2"/>
    <x v="1"/>
    <x v="0"/>
    <x v="11"/>
    <x v="56"/>
    <x v="6"/>
    <x v="125"/>
    <x v="0"/>
  </r>
  <r>
    <n v="303"/>
    <n v="14"/>
    <x v="2"/>
    <x v="0"/>
    <s v="Lisans"/>
    <n v="3"/>
    <x v="42"/>
    <x v="0"/>
    <x v="2"/>
    <x v="1"/>
    <x v="1"/>
    <x v="25"/>
    <x v="21"/>
    <x v="27"/>
    <x v="82"/>
    <x v="2"/>
  </r>
  <r>
    <n v="304"/>
    <n v="19"/>
    <x v="0"/>
    <x v="1"/>
    <s v="Lise"/>
    <n v="3"/>
    <x v="38"/>
    <x v="1"/>
    <x v="1"/>
    <x v="0"/>
    <x v="1"/>
    <x v="15"/>
    <x v="29"/>
    <x v="23"/>
    <x v="58"/>
    <x v="1"/>
  </r>
  <r>
    <n v="305"/>
    <n v="17"/>
    <x v="1"/>
    <x v="0"/>
    <s v="Lise"/>
    <n v="1"/>
    <x v="41"/>
    <x v="0"/>
    <x v="1"/>
    <x v="1"/>
    <x v="4"/>
    <x v="35"/>
    <x v="53"/>
    <x v="43"/>
    <x v="109"/>
    <x v="0"/>
  </r>
  <r>
    <n v="306"/>
    <n v="14"/>
    <x v="1"/>
    <x v="1"/>
    <s v="Yüksek Lisans"/>
    <n v="2"/>
    <x v="37"/>
    <x v="0"/>
    <x v="1"/>
    <x v="0"/>
    <x v="2"/>
    <x v="33"/>
    <x v="2"/>
    <x v="55"/>
    <x v="58"/>
    <x v="1"/>
  </r>
  <r>
    <n v="307"/>
    <n v="15"/>
    <x v="2"/>
    <x v="1"/>
    <s v="Yüksek Lisans"/>
    <n v="5"/>
    <x v="8"/>
    <x v="0"/>
    <x v="1"/>
    <x v="1"/>
    <x v="4"/>
    <x v="51"/>
    <x v="17"/>
    <x v="13"/>
    <x v="23"/>
    <x v="1"/>
  </r>
  <r>
    <n v="308"/>
    <n v="17"/>
    <x v="0"/>
    <x v="0"/>
    <s v="Lisans"/>
    <n v="5"/>
    <x v="38"/>
    <x v="0"/>
    <x v="2"/>
    <x v="1"/>
    <x v="2"/>
    <x v="70"/>
    <x v="58"/>
    <x v="57"/>
    <x v="126"/>
    <x v="0"/>
  </r>
  <r>
    <n v="309"/>
    <n v="15"/>
    <x v="1"/>
    <x v="1"/>
    <s v="Lisans"/>
    <n v="6"/>
    <x v="36"/>
    <x v="0"/>
    <x v="1"/>
    <x v="0"/>
    <x v="4"/>
    <x v="58"/>
    <x v="38"/>
    <x v="51"/>
    <x v="46"/>
    <x v="2"/>
  </r>
  <r>
    <n v="310"/>
    <n v="14"/>
    <x v="0"/>
    <x v="1"/>
    <s v="Yüksek Lisans"/>
    <n v="5"/>
    <x v="41"/>
    <x v="0"/>
    <x v="1"/>
    <x v="1"/>
    <x v="1"/>
    <x v="47"/>
    <x v="17"/>
    <x v="56"/>
    <x v="48"/>
    <x v="1"/>
  </r>
  <r>
    <n v="311"/>
    <n v="17"/>
    <x v="0"/>
    <x v="1"/>
    <s v="Yüksek Lisans"/>
    <n v="3"/>
    <x v="31"/>
    <x v="1"/>
    <x v="1"/>
    <x v="0"/>
    <x v="2"/>
    <x v="56"/>
    <x v="58"/>
    <x v="37"/>
    <x v="127"/>
    <x v="3"/>
  </r>
  <r>
    <n v="312"/>
    <n v="18"/>
    <x v="2"/>
    <x v="1"/>
    <s v="Yüksek Lisans"/>
    <n v="2"/>
    <x v="8"/>
    <x v="1"/>
    <x v="2"/>
    <x v="1"/>
    <x v="1"/>
    <x v="70"/>
    <x v="17"/>
    <x v="54"/>
    <x v="98"/>
    <x v="1"/>
  </r>
  <r>
    <n v="313"/>
    <n v="14"/>
    <x v="0"/>
    <x v="0"/>
    <s v="Lise"/>
    <n v="1"/>
    <x v="42"/>
    <x v="0"/>
    <x v="3"/>
    <x v="0"/>
    <x v="3"/>
    <x v="70"/>
    <x v="56"/>
    <x v="53"/>
    <x v="128"/>
    <x v="0"/>
  </r>
  <r>
    <n v="314"/>
    <n v="15"/>
    <x v="2"/>
    <x v="0"/>
    <s v="Okur yazar değil"/>
    <n v="2"/>
    <x v="38"/>
    <x v="0"/>
    <x v="1"/>
    <x v="1"/>
    <x v="3"/>
    <x v="38"/>
    <x v="64"/>
    <x v="5"/>
    <x v="110"/>
    <x v="1"/>
  </r>
  <r>
    <n v="315"/>
    <n v="15"/>
    <x v="2"/>
    <x v="1"/>
    <s v="Ön Lisans"/>
    <n v="2"/>
    <x v="22"/>
    <x v="0"/>
    <x v="2"/>
    <x v="0"/>
    <x v="2"/>
    <x v="48"/>
    <x v="70"/>
    <x v="2"/>
    <x v="64"/>
    <x v="1"/>
  </r>
  <r>
    <n v="316"/>
    <n v="17"/>
    <x v="2"/>
    <x v="0"/>
    <s v="Ön Lisans"/>
    <n v="6"/>
    <x v="30"/>
    <x v="0"/>
    <x v="3"/>
    <x v="0"/>
    <x v="5"/>
    <x v="36"/>
    <x v="75"/>
    <x v="19"/>
    <x v="24"/>
    <x v="1"/>
  </r>
  <r>
    <n v="317"/>
    <n v="18"/>
    <x v="0"/>
    <x v="0"/>
    <s v="Ön Lisans"/>
    <n v="1"/>
    <x v="15"/>
    <x v="0"/>
    <x v="1"/>
    <x v="0"/>
    <x v="1"/>
    <x v="37"/>
    <x v="76"/>
    <x v="20"/>
    <x v="47"/>
    <x v="1"/>
  </r>
  <r>
    <n v="318"/>
    <n v="18"/>
    <x v="0"/>
    <x v="1"/>
    <s v="Lisans"/>
    <n v="6"/>
    <x v="10"/>
    <x v="0"/>
    <x v="0"/>
    <x v="1"/>
    <x v="3"/>
    <x v="37"/>
    <x v="78"/>
    <x v="22"/>
    <x v="30"/>
    <x v="1"/>
  </r>
  <r>
    <n v="319"/>
    <n v="19"/>
    <x v="1"/>
    <x v="0"/>
    <s v="Doktora"/>
    <n v="1"/>
    <x v="21"/>
    <x v="0"/>
    <x v="3"/>
    <x v="1"/>
    <x v="3"/>
    <x v="30"/>
    <x v="38"/>
    <x v="0"/>
    <x v="4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n v="1"/>
    <n v="14"/>
    <s v="Erkek"/>
    <s v="Devlet okulu"/>
    <x v="0"/>
    <x v="0"/>
    <x v="0"/>
    <s v="Var"/>
    <x v="0"/>
    <s v="Var"/>
    <x v="0"/>
    <n v="44"/>
    <n v="40"/>
    <n v="75"/>
    <x v="0"/>
    <s v="D"/>
    <x v="0"/>
  </r>
  <r>
    <n v="2"/>
    <n v="18"/>
    <s v="Kadın"/>
    <s v="Devlet okulu"/>
    <x v="1"/>
    <x v="1"/>
    <x v="1"/>
    <s v="Var"/>
    <x v="1"/>
    <s v="Yok"/>
    <x v="1"/>
    <n v="38"/>
    <n v="39"/>
    <n v="64"/>
    <x v="1"/>
    <s v="D"/>
    <x v="0"/>
  </r>
  <r>
    <n v="3"/>
    <n v="17"/>
    <s v="Kadın"/>
    <s v="Özel okul"/>
    <x v="0"/>
    <x v="0"/>
    <x v="2"/>
    <s v="Yok"/>
    <x v="0"/>
    <s v="Yok"/>
    <x v="0"/>
    <n v="91"/>
    <n v="84"/>
    <n v="57"/>
    <x v="2"/>
    <s v="C"/>
    <x v="1"/>
  </r>
  <r>
    <n v="4"/>
    <n v="16"/>
    <s v="Diğer"/>
    <s v="Devlet okulu"/>
    <x v="2"/>
    <x v="2"/>
    <x v="3"/>
    <s v="Yok"/>
    <x v="2"/>
    <s v="Yok"/>
    <x v="0"/>
    <n v="66"/>
    <n v="30"/>
    <n v="88"/>
    <x v="3"/>
    <s v="C"/>
    <x v="1"/>
  </r>
  <r>
    <n v="5"/>
    <n v="16"/>
    <s v="Kadın"/>
    <s v="Devlet okulu"/>
    <x v="2"/>
    <x v="3"/>
    <x v="4"/>
    <s v="Var"/>
    <x v="3"/>
    <s v="Var"/>
    <x v="2"/>
    <n v="74"/>
    <n v="68"/>
    <n v="53"/>
    <x v="4"/>
    <s v="C"/>
    <x v="1"/>
  </r>
  <r>
    <n v="6"/>
    <n v="19"/>
    <s v="Erkek"/>
    <s v="Devlet okulu"/>
    <x v="3"/>
    <x v="3"/>
    <x v="5"/>
    <s v="Var"/>
    <x v="1"/>
    <s v="Var"/>
    <x v="3"/>
    <n v="98"/>
    <n v="95"/>
    <n v="64"/>
    <x v="5"/>
    <s v="B"/>
    <x v="1"/>
  </r>
  <r>
    <n v="7"/>
    <n v="14"/>
    <s v="Kadın"/>
    <s v="Özel okul"/>
    <x v="0"/>
    <x v="4"/>
    <x v="6"/>
    <s v="Var"/>
    <x v="3"/>
    <s v="Yok"/>
    <x v="1"/>
    <n v="50"/>
    <n v="99"/>
    <n v="72"/>
    <x v="6"/>
    <s v="C"/>
    <x v="0"/>
  </r>
  <r>
    <n v="8"/>
    <n v="18"/>
    <s v="Kadın"/>
    <s v="Özel okul"/>
    <x v="0"/>
    <x v="0"/>
    <x v="7"/>
    <s v="Var"/>
    <x v="1"/>
    <s v="Var"/>
    <x v="2"/>
    <n v="75"/>
    <n v="81"/>
    <n v="74"/>
    <x v="7"/>
    <s v="C"/>
    <x v="0"/>
  </r>
  <r>
    <n v="9"/>
    <n v="15"/>
    <s v="Diğer"/>
    <s v="Özel okul"/>
    <x v="2"/>
    <x v="3"/>
    <x v="8"/>
    <s v="Var"/>
    <x v="2"/>
    <s v="Var"/>
    <x v="4"/>
    <n v="65"/>
    <n v="37"/>
    <n v="53"/>
    <x v="8"/>
    <s v="D"/>
    <x v="1"/>
  </r>
  <r>
    <n v="10"/>
    <n v="14"/>
    <s v="Kadın"/>
    <s v="Devlet okulu"/>
    <x v="4"/>
    <x v="4"/>
    <x v="9"/>
    <s v="Var"/>
    <x v="1"/>
    <s v="Yok"/>
    <x v="4"/>
    <n v="89"/>
    <n v="71"/>
    <n v="89"/>
    <x v="9"/>
    <s v="B"/>
    <x v="1"/>
  </r>
  <r>
    <n v="11"/>
    <n v="17"/>
    <s v="Kadın"/>
    <s v="Özel okul"/>
    <x v="1"/>
    <x v="3"/>
    <x v="10"/>
    <s v="Var"/>
    <x v="2"/>
    <s v="Yok"/>
    <x v="0"/>
    <n v="79"/>
    <n v="39"/>
    <n v="93"/>
    <x v="10"/>
    <s v="C"/>
    <x v="1"/>
  </r>
  <r>
    <n v="12"/>
    <n v="19"/>
    <s v="Diğer"/>
    <s v="Devlet okulu"/>
    <x v="0"/>
    <x v="5"/>
    <x v="11"/>
    <s v="Var"/>
    <x v="0"/>
    <s v="Var"/>
    <x v="0"/>
    <n v="35"/>
    <n v="73"/>
    <n v="49"/>
    <x v="11"/>
    <s v="D"/>
    <x v="0"/>
  </r>
  <r>
    <n v="13"/>
    <n v="18"/>
    <s v="Kadın"/>
    <s v="Özel okul"/>
    <x v="2"/>
    <x v="4"/>
    <x v="3"/>
    <s v="Var"/>
    <x v="1"/>
    <s v="Yok"/>
    <x v="4"/>
    <n v="91"/>
    <n v="80"/>
    <n v="85"/>
    <x v="12"/>
    <s v="B"/>
    <x v="1"/>
  </r>
  <r>
    <n v="14"/>
    <n v="18"/>
    <s v="Diğer"/>
    <s v="Devlet okulu"/>
    <x v="4"/>
    <x v="4"/>
    <x v="11"/>
    <s v="Var"/>
    <x v="3"/>
    <s v="Var"/>
    <x v="1"/>
    <n v="76"/>
    <n v="60"/>
    <n v="99"/>
    <x v="13"/>
    <s v="C"/>
    <x v="0"/>
  </r>
  <r>
    <n v="15"/>
    <n v="18"/>
    <s v="Diğer"/>
    <s v="Devlet okulu"/>
    <x v="2"/>
    <x v="0"/>
    <x v="12"/>
    <s v="Var"/>
    <x v="0"/>
    <s v="Yok"/>
    <x v="3"/>
    <n v="79"/>
    <n v="49"/>
    <n v="65"/>
    <x v="14"/>
    <s v="C"/>
    <x v="1"/>
  </r>
  <r>
    <n v="16"/>
    <n v="18"/>
    <s v="Diğer"/>
    <s v="Özel okul"/>
    <x v="0"/>
    <x v="5"/>
    <x v="13"/>
    <s v="Var"/>
    <x v="2"/>
    <s v="Var"/>
    <x v="3"/>
    <n v="76"/>
    <n v="61"/>
    <n v="54"/>
    <x v="15"/>
    <s v="C"/>
    <x v="1"/>
  </r>
  <r>
    <n v="17"/>
    <n v="17"/>
    <s v="Diğer"/>
    <s v="Özel okul"/>
    <x v="5"/>
    <x v="4"/>
    <x v="14"/>
    <s v="Var"/>
    <x v="0"/>
    <s v="Var"/>
    <x v="4"/>
    <n v="73"/>
    <n v="77"/>
    <n v="45"/>
    <x v="4"/>
    <s v="C"/>
    <x v="1"/>
  </r>
  <r>
    <n v="18"/>
    <n v="14"/>
    <s v="Kadın"/>
    <s v="Devlet okulu"/>
    <x v="0"/>
    <x v="6"/>
    <x v="15"/>
    <s v="Var"/>
    <x v="2"/>
    <s v="Var"/>
    <x v="5"/>
    <n v="46"/>
    <n v="84"/>
    <n v="82"/>
    <x v="16"/>
    <s v="C"/>
    <x v="0"/>
  </r>
  <r>
    <n v="19"/>
    <n v="19"/>
    <s v="Erkek"/>
    <s v="Devlet okulu"/>
    <x v="0"/>
    <x v="6"/>
    <x v="16"/>
    <s v="Var"/>
    <x v="3"/>
    <s v="Var"/>
    <x v="5"/>
    <n v="71"/>
    <n v="47"/>
    <n v="56"/>
    <x v="17"/>
    <s v="D"/>
    <x v="1"/>
  </r>
  <r>
    <n v="20"/>
    <n v="16"/>
    <s v="Kadın"/>
    <s v="Devlet okulu"/>
    <x v="0"/>
    <x v="6"/>
    <x v="17"/>
    <s v="Var"/>
    <x v="0"/>
    <s v="Yok"/>
    <x v="4"/>
    <n v="75"/>
    <n v="91"/>
    <n v="86"/>
    <x v="18"/>
    <s v="B"/>
    <x v="0"/>
  </r>
  <r>
    <n v="21"/>
    <n v="17"/>
    <s v="Erkek"/>
    <s v="Özel okul"/>
    <x v="5"/>
    <x v="5"/>
    <x v="18"/>
    <s v="Var"/>
    <x v="1"/>
    <s v="Yok"/>
    <x v="1"/>
    <n v="44"/>
    <n v="88"/>
    <n v="77"/>
    <x v="19"/>
    <s v="C"/>
    <x v="0"/>
  </r>
  <r>
    <n v="22"/>
    <n v="16"/>
    <s v="Kadın"/>
    <s v="Devlet okulu"/>
    <x v="4"/>
    <x v="4"/>
    <x v="19"/>
    <s v="Var"/>
    <x v="1"/>
    <s v="Var"/>
    <x v="2"/>
    <n v="41"/>
    <n v="42"/>
    <n v="45"/>
    <x v="20"/>
    <s v="D"/>
    <x v="0"/>
  </r>
  <r>
    <n v="23"/>
    <n v="15"/>
    <s v="Diğer"/>
    <s v="Devlet okulu"/>
    <x v="2"/>
    <x v="0"/>
    <x v="20"/>
    <s v="Yok"/>
    <x v="3"/>
    <s v="Var"/>
    <x v="5"/>
    <n v="68"/>
    <n v="33"/>
    <n v="94"/>
    <x v="4"/>
    <s v="C"/>
    <x v="1"/>
  </r>
  <r>
    <n v="24"/>
    <n v="19"/>
    <s v="Kadın"/>
    <s v="Devlet okulu"/>
    <x v="5"/>
    <x v="6"/>
    <x v="21"/>
    <s v="Var"/>
    <x v="2"/>
    <s v="Var"/>
    <x v="0"/>
    <n v="56"/>
    <n v="94"/>
    <n v="70"/>
    <x v="21"/>
    <s v="C"/>
    <x v="0"/>
  </r>
  <r>
    <n v="25"/>
    <n v="18"/>
    <s v="Erkek"/>
    <s v="Devlet okulu"/>
    <x v="3"/>
    <x v="4"/>
    <x v="22"/>
    <s v="Var"/>
    <x v="0"/>
    <s v="Yok"/>
    <x v="4"/>
    <n v="75"/>
    <n v="73"/>
    <n v="92"/>
    <x v="22"/>
    <s v="B"/>
    <x v="0"/>
  </r>
  <r>
    <n v="26"/>
    <n v="17"/>
    <s v="Erkek"/>
    <s v="Özel okul"/>
    <x v="4"/>
    <x v="3"/>
    <x v="23"/>
    <s v="Var"/>
    <x v="1"/>
    <s v="Yok"/>
    <x v="3"/>
    <n v="59"/>
    <n v="81"/>
    <n v="99"/>
    <x v="23"/>
    <s v="C"/>
    <x v="0"/>
  </r>
  <r>
    <n v="27"/>
    <n v="16"/>
    <s v="Diğer"/>
    <s v="Devlet okulu"/>
    <x v="0"/>
    <x v="6"/>
    <x v="24"/>
    <s v="Var"/>
    <x v="2"/>
    <s v="Yok"/>
    <x v="1"/>
    <n v="90"/>
    <n v="50"/>
    <n v="79"/>
    <x v="24"/>
    <s v="C"/>
    <x v="1"/>
  </r>
  <r>
    <n v="28"/>
    <n v="18"/>
    <s v="Diğer"/>
    <s v="Özel okul"/>
    <x v="0"/>
    <x v="1"/>
    <x v="17"/>
    <s v="Var"/>
    <x v="0"/>
    <s v="Var"/>
    <x v="1"/>
    <n v="68"/>
    <n v="72"/>
    <n v="63"/>
    <x v="25"/>
    <s v="C"/>
    <x v="1"/>
  </r>
  <r>
    <n v="29"/>
    <n v="17"/>
    <s v="Kadın"/>
    <s v="Özel okul"/>
    <x v="0"/>
    <x v="5"/>
    <x v="25"/>
    <s v="Var"/>
    <x v="2"/>
    <s v="Yok"/>
    <x v="4"/>
    <n v="93"/>
    <n v="70"/>
    <n v="44"/>
    <x v="26"/>
    <s v="C"/>
    <x v="1"/>
  </r>
  <r>
    <n v="30"/>
    <n v="16"/>
    <s v="Diğer"/>
    <s v="Devlet okulu"/>
    <x v="4"/>
    <x v="2"/>
    <x v="24"/>
    <s v="Var"/>
    <x v="1"/>
    <s v="Var"/>
    <x v="1"/>
    <n v="33"/>
    <n v="41"/>
    <n v="42"/>
    <x v="27"/>
    <s v="F"/>
    <x v="0"/>
  </r>
  <r>
    <n v="31"/>
    <n v="16"/>
    <s v="Diğer"/>
    <s v="Özel okul"/>
    <x v="5"/>
    <x v="2"/>
    <x v="26"/>
    <s v="Var"/>
    <x v="3"/>
    <s v="Var"/>
    <x v="2"/>
    <n v="90"/>
    <n v="45"/>
    <n v="76"/>
    <x v="10"/>
    <s v="C"/>
    <x v="1"/>
  </r>
  <r>
    <n v="32"/>
    <n v="15"/>
    <s v="Kadın"/>
    <s v="Özel okul"/>
    <x v="2"/>
    <x v="0"/>
    <x v="21"/>
    <s v="Var"/>
    <x v="1"/>
    <s v="Var"/>
    <x v="1"/>
    <n v="61"/>
    <n v="96"/>
    <n v="92"/>
    <x v="9"/>
    <s v="B"/>
    <x v="0"/>
  </r>
  <r>
    <n v="33"/>
    <n v="14"/>
    <s v="Erkek"/>
    <s v="Özel okul"/>
    <x v="3"/>
    <x v="4"/>
    <x v="6"/>
    <s v="Var"/>
    <x v="3"/>
    <s v="Var"/>
    <x v="0"/>
    <n v="55"/>
    <n v="21"/>
    <n v="42"/>
    <x v="28"/>
    <s v="F"/>
    <x v="1"/>
  </r>
  <r>
    <n v="34"/>
    <n v="17"/>
    <s v="Diğer"/>
    <s v="Devlet okulu"/>
    <x v="1"/>
    <x v="3"/>
    <x v="27"/>
    <s v="Yok"/>
    <x v="2"/>
    <s v="Yok"/>
    <x v="3"/>
    <n v="97"/>
    <n v="92"/>
    <n v="72"/>
    <x v="29"/>
    <s v="B"/>
    <x v="1"/>
  </r>
  <r>
    <n v="35"/>
    <n v="19"/>
    <s v="Kadın"/>
    <s v="Devlet okulu"/>
    <x v="2"/>
    <x v="6"/>
    <x v="1"/>
    <s v="Var"/>
    <x v="3"/>
    <s v="Yok"/>
    <x v="3"/>
    <n v="41"/>
    <n v="74"/>
    <n v="73"/>
    <x v="30"/>
    <s v="C"/>
    <x v="0"/>
  </r>
  <r>
    <n v="36"/>
    <n v="14"/>
    <s v="Diğer"/>
    <s v="Özel okul"/>
    <x v="4"/>
    <x v="2"/>
    <x v="28"/>
    <s v="Var"/>
    <x v="3"/>
    <s v="Yok"/>
    <x v="5"/>
    <n v="56"/>
    <n v="50"/>
    <n v="69"/>
    <x v="31"/>
    <s v="D"/>
    <x v="0"/>
  </r>
  <r>
    <n v="37"/>
    <n v="19"/>
    <s v="Diğer"/>
    <s v="Devlet okulu"/>
    <x v="4"/>
    <x v="1"/>
    <x v="6"/>
    <s v="Var"/>
    <x v="1"/>
    <s v="Yok"/>
    <x v="3"/>
    <n v="95"/>
    <n v="86"/>
    <n v="96"/>
    <x v="32"/>
    <s v="A"/>
    <x v="1"/>
  </r>
  <r>
    <n v="38"/>
    <n v="18"/>
    <s v="Kadın"/>
    <s v="Devlet okulu"/>
    <x v="2"/>
    <x v="0"/>
    <x v="10"/>
    <s v="Var"/>
    <x v="2"/>
    <s v="Yok"/>
    <x v="0"/>
    <n v="57"/>
    <n v="75"/>
    <n v="50"/>
    <x v="33"/>
    <s v="C"/>
    <x v="0"/>
  </r>
  <r>
    <n v="39"/>
    <n v="15"/>
    <s v="Kadın"/>
    <s v="Özel okul"/>
    <x v="5"/>
    <x v="1"/>
    <x v="1"/>
    <s v="Var"/>
    <x v="2"/>
    <s v="Var"/>
    <x v="0"/>
    <n v="77"/>
    <n v="62"/>
    <n v="97"/>
    <x v="34"/>
    <s v="C"/>
    <x v="0"/>
  </r>
  <r>
    <n v="40"/>
    <n v="17"/>
    <s v="Erkek"/>
    <s v="Devlet okulu"/>
    <x v="4"/>
    <x v="5"/>
    <x v="29"/>
    <s v="Var"/>
    <x v="0"/>
    <s v="Var"/>
    <x v="0"/>
    <n v="65"/>
    <n v="70"/>
    <n v="85"/>
    <x v="21"/>
    <s v="C"/>
    <x v="0"/>
  </r>
  <r>
    <n v="41"/>
    <n v="14"/>
    <s v="Diğer"/>
    <s v="Özel okul"/>
    <x v="0"/>
    <x v="1"/>
    <x v="30"/>
    <s v="Var"/>
    <x v="2"/>
    <s v="Var"/>
    <x v="1"/>
    <n v="66"/>
    <n v="92"/>
    <n v="57"/>
    <x v="35"/>
    <s v="C"/>
    <x v="0"/>
  </r>
  <r>
    <n v="42"/>
    <n v="18"/>
    <s v="Erkek"/>
    <s v="Özel okul"/>
    <x v="3"/>
    <x v="0"/>
    <x v="31"/>
    <s v="Var"/>
    <x v="3"/>
    <s v="Var"/>
    <x v="0"/>
    <n v="90"/>
    <n v="52"/>
    <n v="86"/>
    <x v="36"/>
    <s v="C"/>
    <x v="1"/>
  </r>
  <r>
    <n v="43"/>
    <n v="18"/>
    <s v="Kadın"/>
    <s v="Devlet okulu"/>
    <x v="5"/>
    <x v="3"/>
    <x v="32"/>
    <s v="Var"/>
    <x v="2"/>
    <s v="Yok"/>
    <x v="2"/>
    <n v="34"/>
    <n v="93"/>
    <n v="90"/>
    <x v="37"/>
    <s v="C"/>
    <x v="0"/>
  </r>
  <r>
    <n v="44"/>
    <n v="16"/>
    <s v="Kadın"/>
    <s v="Özel okul"/>
    <x v="5"/>
    <x v="2"/>
    <x v="10"/>
    <s v="Var"/>
    <x v="3"/>
    <s v="Yok"/>
    <x v="4"/>
    <n v="71"/>
    <n v="38"/>
    <n v="71"/>
    <x v="38"/>
    <s v="C"/>
    <x v="1"/>
  </r>
  <r>
    <n v="45"/>
    <n v="14"/>
    <s v="Erkek"/>
    <s v="Özel okul"/>
    <x v="3"/>
    <x v="3"/>
    <x v="7"/>
    <s v="Var"/>
    <x v="0"/>
    <s v="Yok"/>
    <x v="2"/>
    <n v="32"/>
    <n v="35"/>
    <n v="95"/>
    <x v="39"/>
    <s v="D"/>
    <x v="0"/>
  </r>
  <r>
    <n v="46"/>
    <n v="19"/>
    <s v="Kadın"/>
    <s v="Özel okul"/>
    <x v="1"/>
    <x v="2"/>
    <x v="33"/>
    <s v="Var"/>
    <x v="3"/>
    <s v="Yok"/>
    <x v="4"/>
    <n v="61"/>
    <n v="86"/>
    <n v="94"/>
    <x v="40"/>
    <s v="B"/>
    <x v="0"/>
  </r>
  <r>
    <n v="47"/>
    <n v="16"/>
    <s v="Diğer"/>
    <s v="Devlet okulu"/>
    <x v="1"/>
    <x v="6"/>
    <x v="19"/>
    <s v="Var"/>
    <x v="1"/>
    <s v="Yok"/>
    <x v="3"/>
    <n v="50"/>
    <n v="82"/>
    <n v="90"/>
    <x v="41"/>
    <s v="C"/>
    <x v="0"/>
  </r>
  <r>
    <n v="48"/>
    <n v="19"/>
    <s v="Erkek"/>
    <s v="Özel okul"/>
    <x v="2"/>
    <x v="5"/>
    <x v="17"/>
    <s v="Var"/>
    <x v="1"/>
    <s v="Var"/>
    <x v="5"/>
    <n v="82"/>
    <n v="67"/>
    <n v="66"/>
    <x v="35"/>
    <s v="C"/>
    <x v="1"/>
  </r>
  <r>
    <n v="49"/>
    <n v="18"/>
    <s v="Erkek"/>
    <s v="Özel okul"/>
    <x v="0"/>
    <x v="3"/>
    <x v="34"/>
    <s v="Var"/>
    <x v="2"/>
    <s v="Var"/>
    <x v="3"/>
    <n v="82"/>
    <n v="50"/>
    <n v="98"/>
    <x v="7"/>
    <s v="C"/>
    <x v="1"/>
  </r>
  <r>
    <n v="50"/>
    <n v="18"/>
    <s v="Erkek"/>
    <s v="Özel okul"/>
    <x v="0"/>
    <x v="0"/>
    <x v="35"/>
    <s v="Yok"/>
    <x v="3"/>
    <s v="Yok"/>
    <x v="3"/>
    <n v="66"/>
    <n v="75"/>
    <n v="51"/>
    <x v="42"/>
    <s v="C"/>
    <x v="1"/>
  </r>
  <r>
    <n v="51"/>
    <n v="18"/>
    <s v="Erkek"/>
    <s v="Devlet okulu"/>
    <x v="5"/>
    <x v="1"/>
    <x v="5"/>
    <s v="Var"/>
    <x v="1"/>
    <s v="Var"/>
    <x v="1"/>
    <n v="70"/>
    <n v="39"/>
    <n v="58"/>
    <x v="43"/>
    <s v="D"/>
    <x v="1"/>
  </r>
  <r>
    <n v="52"/>
    <n v="15"/>
    <s v="Erkek"/>
    <s v="Özel okul"/>
    <x v="1"/>
    <x v="2"/>
    <x v="21"/>
    <s v="Var"/>
    <x v="2"/>
    <s v="Yok"/>
    <x v="0"/>
    <n v="87"/>
    <n v="89"/>
    <n v="99"/>
    <x v="44"/>
    <s v="A"/>
    <x v="0"/>
  </r>
  <r>
    <n v="53"/>
    <n v="16"/>
    <s v="Kadın"/>
    <s v="Devlet okulu"/>
    <x v="0"/>
    <x v="3"/>
    <x v="25"/>
    <s v="Var"/>
    <x v="2"/>
    <s v="Var"/>
    <x v="0"/>
    <n v="61"/>
    <n v="35"/>
    <n v="95"/>
    <x v="15"/>
    <s v="C"/>
    <x v="0"/>
  </r>
  <r>
    <n v="54"/>
    <n v="16"/>
    <s v="Diğer"/>
    <s v="Devlet okulu"/>
    <x v="0"/>
    <x v="5"/>
    <x v="10"/>
    <s v="Yok"/>
    <x v="1"/>
    <s v="Var"/>
    <x v="3"/>
    <n v="81"/>
    <n v="43"/>
    <n v="77"/>
    <x v="45"/>
    <s v="C"/>
    <x v="1"/>
  </r>
  <r>
    <n v="55"/>
    <n v="16"/>
    <s v="Diğer"/>
    <s v="Özel okul"/>
    <x v="0"/>
    <x v="5"/>
    <x v="10"/>
    <s v="Var"/>
    <x v="1"/>
    <s v="Var"/>
    <x v="5"/>
    <n v="53"/>
    <n v="24"/>
    <n v="78"/>
    <x v="8"/>
    <s v="D"/>
    <x v="1"/>
  </r>
  <r>
    <n v="56"/>
    <n v="14"/>
    <s v="Diğer"/>
    <s v="Devlet okulu"/>
    <x v="1"/>
    <x v="0"/>
    <x v="36"/>
    <s v="Var"/>
    <x v="1"/>
    <s v="Yok"/>
    <x v="5"/>
    <n v="60"/>
    <n v="54"/>
    <n v="68"/>
    <x v="33"/>
    <s v="C"/>
    <x v="0"/>
  </r>
  <r>
    <n v="57"/>
    <n v="17"/>
    <s v="Diğer"/>
    <s v="Devlet okulu"/>
    <x v="0"/>
    <x v="6"/>
    <x v="12"/>
    <s v="Yok"/>
    <x v="1"/>
    <s v="Var"/>
    <x v="1"/>
    <n v="78"/>
    <n v="90"/>
    <n v="76"/>
    <x v="46"/>
    <s v="B"/>
    <x v="0"/>
  </r>
  <r>
    <n v="58"/>
    <n v="14"/>
    <s v="Kadın"/>
    <s v="Özel okul"/>
    <x v="3"/>
    <x v="3"/>
    <x v="23"/>
    <s v="Var"/>
    <x v="2"/>
    <s v="Yok"/>
    <x v="5"/>
    <n v="51"/>
    <n v="82"/>
    <n v="72"/>
    <x v="47"/>
    <s v="C"/>
    <x v="0"/>
  </r>
  <r>
    <n v="59"/>
    <n v="18"/>
    <s v="Diğer"/>
    <s v="Devlet okulu"/>
    <x v="1"/>
    <x v="0"/>
    <x v="37"/>
    <s v="Var"/>
    <x v="2"/>
    <s v="Yok"/>
    <x v="5"/>
    <n v="42"/>
    <n v="72"/>
    <n v="96"/>
    <x v="48"/>
    <s v="C"/>
    <x v="0"/>
  </r>
  <r>
    <n v="60"/>
    <n v="18"/>
    <s v="Erkek"/>
    <s v="Özel okul"/>
    <x v="2"/>
    <x v="4"/>
    <x v="32"/>
    <s v="Var"/>
    <x v="1"/>
    <s v="Var"/>
    <x v="0"/>
    <n v="78"/>
    <n v="48"/>
    <n v="63"/>
    <x v="49"/>
    <s v="C"/>
    <x v="1"/>
  </r>
  <r>
    <n v="61"/>
    <n v="19"/>
    <s v="Diğer"/>
    <s v="Devlet okulu"/>
    <x v="4"/>
    <x v="4"/>
    <x v="14"/>
    <s v="Var"/>
    <x v="2"/>
    <s v="Yok"/>
    <x v="4"/>
    <n v="76"/>
    <n v="72"/>
    <n v="54"/>
    <x v="50"/>
    <s v="C"/>
    <x v="1"/>
  </r>
  <r>
    <n v="62"/>
    <n v="18"/>
    <s v="Erkek"/>
    <s v="Özel okul"/>
    <x v="0"/>
    <x v="4"/>
    <x v="14"/>
    <s v="Var"/>
    <x v="1"/>
    <s v="Yok"/>
    <x v="5"/>
    <n v="96"/>
    <n v="26"/>
    <n v="92"/>
    <x v="51"/>
    <s v="C"/>
    <x v="1"/>
  </r>
  <r>
    <n v="63"/>
    <n v="16"/>
    <s v="Diğer"/>
    <s v="Özel okul"/>
    <x v="3"/>
    <x v="5"/>
    <x v="38"/>
    <s v="Var"/>
    <x v="3"/>
    <s v="Var"/>
    <x v="3"/>
    <n v="31"/>
    <n v="75"/>
    <n v="99"/>
    <x v="47"/>
    <s v="C"/>
    <x v="0"/>
  </r>
  <r>
    <n v="64"/>
    <n v="19"/>
    <s v="Erkek"/>
    <s v="Devlet okulu"/>
    <x v="0"/>
    <x v="2"/>
    <x v="17"/>
    <s v="Var"/>
    <x v="3"/>
    <s v="Var"/>
    <x v="2"/>
    <n v="62"/>
    <n v="83"/>
    <n v="51"/>
    <x v="52"/>
    <s v="C"/>
    <x v="0"/>
  </r>
  <r>
    <n v="65"/>
    <n v="16"/>
    <s v="Erkek"/>
    <s v="Özel okul"/>
    <x v="2"/>
    <x v="2"/>
    <x v="23"/>
    <s v="Var"/>
    <x v="3"/>
    <s v="Yok"/>
    <x v="2"/>
    <n v="42"/>
    <n v="72"/>
    <n v="69"/>
    <x v="53"/>
    <s v="C"/>
    <x v="0"/>
  </r>
  <r>
    <n v="66"/>
    <n v="15"/>
    <s v="Kadın"/>
    <s v="Devlet okulu"/>
    <x v="0"/>
    <x v="2"/>
    <x v="22"/>
    <s v="Var"/>
    <x v="1"/>
    <s v="Yok"/>
    <x v="0"/>
    <n v="96"/>
    <n v="28"/>
    <n v="100"/>
    <x v="54"/>
    <s v="C"/>
    <x v="1"/>
  </r>
  <r>
    <n v="67"/>
    <n v="19"/>
    <s v="Diğer"/>
    <s v="Özel okul"/>
    <x v="0"/>
    <x v="6"/>
    <x v="39"/>
    <s v="Var"/>
    <x v="0"/>
    <s v="Var"/>
    <x v="0"/>
    <n v="53"/>
    <n v="92"/>
    <n v="92"/>
    <x v="55"/>
    <s v="C"/>
    <x v="0"/>
  </r>
  <r>
    <n v="68"/>
    <n v="16"/>
    <s v="Erkek"/>
    <s v="Devlet okulu"/>
    <x v="3"/>
    <x v="4"/>
    <x v="24"/>
    <s v="Yok"/>
    <x v="0"/>
    <s v="Var"/>
    <x v="5"/>
    <n v="97"/>
    <n v="32"/>
    <n v="74"/>
    <x v="25"/>
    <s v="C"/>
    <x v="1"/>
  </r>
  <r>
    <n v="69"/>
    <n v="14"/>
    <s v="Erkek"/>
    <s v="Özel okul"/>
    <x v="2"/>
    <x v="1"/>
    <x v="29"/>
    <s v="Var"/>
    <x v="2"/>
    <s v="Var"/>
    <x v="2"/>
    <n v="82"/>
    <n v="100"/>
    <n v="58"/>
    <x v="22"/>
    <s v="B"/>
    <x v="1"/>
  </r>
  <r>
    <n v="70"/>
    <n v="16"/>
    <s v="Kadın"/>
    <s v="Özel okul"/>
    <x v="0"/>
    <x v="0"/>
    <x v="35"/>
    <s v="Var"/>
    <x v="2"/>
    <s v="Yok"/>
    <x v="0"/>
    <n v="86"/>
    <n v="97"/>
    <n v="53"/>
    <x v="34"/>
    <s v="C"/>
    <x v="1"/>
  </r>
  <r>
    <n v="71"/>
    <n v="18"/>
    <s v="Diğer"/>
    <s v="Devlet okulu"/>
    <x v="4"/>
    <x v="6"/>
    <x v="9"/>
    <s v="Yok"/>
    <x v="2"/>
    <s v="Yok"/>
    <x v="2"/>
    <n v="64"/>
    <n v="100"/>
    <n v="92"/>
    <x v="12"/>
    <s v="B"/>
    <x v="0"/>
  </r>
  <r>
    <n v="72"/>
    <n v="15"/>
    <s v="Diğer"/>
    <s v="Devlet okulu"/>
    <x v="4"/>
    <x v="1"/>
    <x v="40"/>
    <s v="Var"/>
    <x v="0"/>
    <s v="Var"/>
    <x v="2"/>
    <n v="78"/>
    <n v="35"/>
    <n v="54"/>
    <x v="43"/>
    <s v="D"/>
    <x v="1"/>
  </r>
  <r>
    <n v="73"/>
    <n v="16"/>
    <s v="Kadın"/>
    <s v="Özel okul"/>
    <x v="3"/>
    <x v="5"/>
    <x v="2"/>
    <s v="Var"/>
    <x v="3"/>
    <s v="Var"/>
    <x v="3"/>
    <n v="74"/>
    <n v="94"/>
    <n v="75"/>
    <x v="56"/>
    <s v="B"/>
    <x v="0"/>
  </r>
  <r>
    <n v="74"/>
    <n v="14"/>
    <s v="Kadın"/>
    <s v="Özel okul"/>
    <x v="0"/>
    <x v="5"/>
    <x v="41"/>
    <s v="Var"/>
    <x v="0"/>
    <s v="Var"/>
    <x v="2"/>
    <n v="46"/>
    <n v="63"/>
    <n v="72"/>
    <x v="57"/>
    <s v="C"/>
    <x v="0"/>
  </r>
  <r>
    <n v="75"/>
    <n v="18"/>
    <s v="Kadın"/>
    <s v="Özel okul"/>
    <x v="3"/>
    <x v="4"/>
    <x v="28"/>
    <s v="Yok"/>
    <x v="3"/>
    <s v="Var"/>
    <x v="2"/>
    <n v="89"/>
    <n v="53"/>
    <n v="84"/>
    <x v="58"/>
    <s v="C"/>
    <x v="1"/>
  </r>
  <r>
    <n v="76"/>
    <n v="16"/>
    <s v="Diğer"/>
    <s v="Devlet okulu"/>
    <x v="2"/>
    <x v="6"/>
    <x v="30"/>
    <s v="Var"/>
    <x v="1"/>
    <s v="Var"/>
    <x v="5"/>
    <n v="99"/>
    <n v="22"/>
    <n v="93"/>
    <x v="51"/>
    <s v="C"/>
    <x v="1"/>
  </r>
  <r>
    <n v="77"/>
    <n v="15"/>
    <s v="Erkek"/>
    <s v="Özel okul"/>
    <x v="4"/>
    <x v="1"/>
    <x v="42"/>
    <s v="Yok"/>
    <x v="1"/>
    <s v="Var"/>
    <x v="2"/>
    <n v="81"/>
    <n v="100"/>
    <n v="52"/>
    <x v="59"/>
    <s v="C"/>
    <x v="1"/>
  </r>
  <r>
    <n v="78"/>
    <n v="15"/>
    <s v="Erkek"/>
    <s v="Devlet okulu"/>
    <x v="0"/>
    <x v="0"/>
    <x v="17"/>
    <s v="Var"/>
    <x v="0"/>
    <s v="Var"/>
    <x v="2"/>
    <n v="42"/>
    <n v="23"/>
    <n v="49"/>
    <x v="60"/>
    <s v="F"/>
    <x v="1"/>
  </r>
  <r>
    <n v="79"/>
    <n v="17"/>
    <s v="Erkek"/>
    <s v="Özel okul"/>
    <x v="4"/>
    <x v="1"/>
    <x v="13"/>
    <s v="Var"/>
    <x v="0"/>
    <s v="Var"/>
    <x v="2"/>
    <n v="32"/>
    <n v="43"/>
    <n v="68"/>
    <x v="61"/>
    <s v="D"/>
    <x v="0"/>
  </r>
  <r>
    <n v="80"/>
    <n v="18"/>
    <s v="Erkek"/>
    <s v="Özel okul"/>
    <x v="5"/>
    <x v="5"/>
    <x v="43"/>
    <s v="Yok"/>
    <x v="2"/>
    <s v="Yok"/>
    <x v="4"/>
    <n v="73"/>
    <n v="56"/>
    <n v="51"/>
    <x v="38"/>
    <s v="C"/>
    <x v="1"/>
  </r>
  <r>
    <n v="81"/>
    <n v="19"/>
    <s v="Kadın"/>
    <s v="Özel okul"/>
    <x v="1"/>
    <x v="1"/>
    <x v="35"/>
    <s v="Var"/>
    <x v="3"/>
    <s v="Var"/>
    <x v="1"/>
    <n v="89"/>
    <n v="23"/>
    <n v="80"/>
    <x v="42"/>
    <s v="C"/>
    <x v="1"/>
  </r>
  <r>
    <n v="82"/>
    <n v="16"/>
    <s v="Diğer"/>
    <s v="Devlet okulu"/>
    <x v="2"/>
    <x v="2"/>
    <x v="37"/>
    <s v="Var"/>
    <x v="2"/>
    <s v="Yok"/>
    <x v="4"/>
    <n v="41"/>
    <n v="93"/>
    <n v="56"/>
    <x v="62"/>
    <s v="C"/>
    <x v="0"/>
  </r>
  <r>
    <n v="83"/>
    <n v="14"/>
    <s v="Kadın"/>
    <s v="Devlet okulu"/>
    <x v="2"/>
    <x v="6"/>
    <x v="25"/>
    <s v="Var"/>
    <x v="0"/>
    <s v="Yok"/>
    <x v="4"/>
    <n v="82"/>
    <n v="43"/>
    <n v="56"/>
    <x v="57"/>
    <s v="C"/>
    <x v="1"/>
  </r>
  <r>
    <n v="84"/>
    <n v="18"/>
    <s v="Kadın"/>
    <s v="Özel okul"/>
    <x v="0"/>
    <x v="6"/>
    <x v="27"/>
    <s v="Yok"/>
    <x v="0"/>
    <s v="Yok"/>
    <x v="2"/>
    <n v="93"/>
    <n v="87"/>
    <n v="80"/>
    <x v="63"/>
    <s v="B"/>
    <x v="1"/>
  </r>
  <r>
    <n v="85"/>
    <n v="17"/>
    <s v="Erkek"/>
    <s v="Devlet okulu"/>
    <x v="4"/>
    <x v="0"/>
    <x v="11"/>
    <s v="Var"/>
    <x v="0"/>
    <s v="Var"/>
    <x v="0"/>
    <n v="66"/>
    <n v="30"/>
    <n v="84"/>
    <x v="38"/>
    <s v="C"/>
    <x v="1"/>
  </r>
  <r>
    <n v="86"/>
    <n v="18"/>
    <s v="Kadın"/>
    <s v="Devlet okulu"/>
    <x v="1"/>
    <x v="6"/>
    <x v="6"/>
    <s v="Var"/>
    <x v="1"/>
    <s v="Yok"/>
    <x v="5"/>
    <n v="61"/>
    <n v="74"/>
    <n v="69"/>
    <x v="64"/>
    <s v="C"/>
    <x v="0"/>
  </r>
  <r>
    <n v="87"/>
    <n v="14"/>
    <s v="Erkek"/>
    <s v="Devlet okulu"/>
    <x v="4"/>
    <x v="3"/>
    <x v="40"/>
    <s v="Var"/>
    <x v="1"/>
    <s v="Var"/>
    <x v="5"/>
    <n v="39"/>
    <n v="92"/>
    <n v="61"/>
    <x v="42"/>
    <s v="C"/>
    <x v="0"/>
  </r>
  <r>
    <n v="88"/>
    <n v="15"/>
    <s v="Diğer"/>
    <s v="Özel okul"/>
    <x v="2"/>
    <x v="6"/>
    <x v="1"/>
    <s v="Yok"/>
    <x v="1"/>
    <s v="Var"/>
    <x v="1"/>
    <n v="52"/>
    <n v="70"/>
    <n v="78"/>
    <x v="65"/>
    <s v="C"/>
    <x v="0"/>
  </r>
  <r>
    <n v="89"/>
    <n v="18"/>
    <s v="Kadın"/>
    <s v="Devlet okulu"/>
    <x v="1"/>
    <x v="1"/>
    <x v="34"/>
    <s v="Yok"/>
    <x v="3"/>
    <s v="Var"/>
    <x v="0"/>
    <n v="92"/>
    <n v="20"/>
    <n v="76"/>
    <x v="30"/>
    <s v="C"/>
    <x v="1"/>
  </r>
  <r>
    <n v="90"/>
    <n v="18"/>
    <s v="Kadın"/>
    <s v="Özel okul"/>
    <x v="2"/>
    <x v="1"/>
    <x v="38"/>
    <s v="Var"/>
    <x v="0"/>
    <s v="Yok"/>
    <x v="2"/>
    <n v="72"/>
    <n v="91"/>
    <n v="86"/>
    <x v="9"/>
    <s v="B"/>
    <x v="0"/>
  </r>
  <r>
    <n v="91"/>
    <n v="16"/>
    <s v="Diğer"/>
    <s v="Devlet okulu"/>
    <x v="5"/>
    <x v="6"/>
    <x v="28"/>
    <s v="Var"/>
    <x v="3"/>
    <s v="Yok"/>
    <x v="2"/>
    <n v="68"/>
    <n v="25"/>
    <n v="96"/>
    <x v="49"/>
    <s v="C"/>
    <x v="1"/>
  </r>
  <r>
    <n v="92"/>
    <n v="18"/>
    <s v="Erkek"/>
    <s v="Özel okul"/>
    <x v="0"/>
    <x v="5"/>
    <x v="13"/>
    <s v="Var"/>
    <x v="3"/>
    <s v="Var"/>
    <x v="1"/>
    <n v="43"/>
    <n v="93"/>
    <n v="76"/>
    <x v="16"/>
    <s v="C"/>
    <x v="0"/>
  </r>
  <r>
    <n v="93"/>
    <n v="19"/>
    <s v="Kadın"/>
    <s v="Devlet okulu"/>
    <x v="0"/>
    <x v="5"/>
    <x v="30"/>
    <s v="Var"/>
    <x v="3"/>
    <s v="Var"/>
    <x v="2"/>
    <n v="94"/>
    <n v="41"/>
    <n v="56"/>
    <x v="15"/>
    <s v="C"/>
    <x v="1"/>
  </r>
  <r>
    <n v="94"/>
    <n v="16"/>
    <s v="Kadın"/>
    <s v="Devlet okulu"/>
    <x v="2"/>
    <x v="0"/>
    <x v="26"/>
    <s v="Yok"/>
    <x v="3"/>
    <s v="Yok"/>
    <x v="5"/>
    <n v="69"/>
    <n v="96"/>
    <n v="78"/>
    <x v="56"/>
    <s v="B"/>
    <x v="0"/>
  </r>
  <r>
    <n v="95"/>
    <n v="19"/>
    <s v="Erkek"/>
    <s v="Özel okul"/>
    <x v="3"/>
    <x v="6"/>
    <x v="13"/>
    <s v="Var"/>
    <x v="0"/>
    <s v="Yok"/>
    <x v="2"/>
    <n v="34"/>
    <n v="80"/>
    <n v="91"/>
    <x v="47"/>
    <s v="C"/>
    <x v="0"/>
  </r>
  <r>
    <n v="96"/>
    <n v="15"/>
    <s v="Erkek"/>
    <s v="Devlet okulu"/>
    <x v="3"/>
    <x v="1"/>
    <x v="7"/>
    <s v="Var"/>
    <x v="3"/>
    <s v="Yok"/>
    <x v="0"/>
    <n v="85"/>
    <n v="94"/>
    <n v="69"/>
    <x v="66"/>
    <s v="B"/>
    <x v="1"/>
  </r>
  <r>
    <n v="97"/>
    <n v="15"/>
    <s v="Erkek"/>
    <s v="Devlet okulu"/>
    <x v="5"/>
    <x v="2"/>
    <x v="44"/>
    <s v="Var"/>
    <x v="1"/>
    <s v="Var"/>
    <x v="2"/>
    <n v="58"/>
    <n v="73"/>
    <n v="65"/>
    <x v="52"/>
    <s v="C"/>
    <x v="0"/>
  </r>
  <r>
    <n v="98"/>
    <n v="18"/>
    <s v="Erkek"/>
    <s v="Özel okul"/>
    <x v="5"/>
    <x v="4"/>
    <x v="3"/>
    <s v="Var"/>
    <x v="2"/>
    <s v="Yok"/>
    <x v="2"/>
    <n v="51"/>
    <n v="94"/>
    <n v="79"/>
    <x v="54"/>
    <s v="C"/>
    <x v="0"/>
  </r>
  <r>
    <n v="99"/>
    <n v="17"/>
    <s v="Diğer"/>
    <s v="Özel okul"/>
    <x v="0"/>
    <x v="3"/>
    <x v="6"/>
    <s v="Var"/>
    <x v="2"/>
    <s v="Yok"/>
    <x v="3"/>
    <n v="66"/>
    <n v="85"/>
    <n v="52"/>
    <x v="25"/>
    <s v="C"/>
    <x v="0"/>
  </r>
  <r>
    <n v="100"/>
    <n v="14"/>
    <s v="Erkek"/>
    <s v="Özel okul"/>
    <x v="1"/>
    <x v="4"/>
    <x v="33"/>
    <s v="Yok"/>
    <x v="0"/>
    <s v="Yok"/>
    <x v="2"/>
    <n v="95"/>
    <n v="45"/>
    <n v="86"/>
    <x v="58"/>
    <s v="C"/>
    <x v="1"/>
  </r>
  <r>
    <n v="101"/>
    <n v="18"/>
    <s v="Erkek"/>
    <s v="Devlet okulu"/>
    <x v="2"/>
    <x v="3"/>
    <x v="27"/>
    <s v="Var"/>
    <x v="3"/>
    <s v="Var"/>
    <x v="1"/>
    <n v="79"/>
    <n v="100"/>
    <n v="58"/>
    <x v="55"/>
    <s v="C"/>
    <x v="1"/>
  </r>
  <r>
    <n v="102"/>
    <n v="15"/>
    <s v="Diğer"/>
    <s v="Özel okul"/>
    <x v="0"/>
    <x v="2"/>
    <x v="35"/>
    <s v="Var"/>
    <x v="0"/>
    <s v="Var"/>
    <x v="3"/>
    <n v="83"/>
    <n v="41"/>
    <n v="59"/>
    <x v="53"/>
    <s v="C"/>
    <x v="1"/>
  </r>
  <r>
    <n v="103"/>
    <n v="18"/>
    <s v="Kadın"/>
    <s v="Devlet okulu"/>
    <x v="1"/>
    <x v="0"/>
    <x v="14"/>
    <s v="Var"/>
    <x v="3"/>
    <s v="Var"/>
    <x v="4"/>
    <n v="72"/>
    <n v="29"/>
    <n v="71"/>
    <x v="67"/>
    <s v="D"/>
    <x v="1"/>
  </r>
  <r>
    <n v="104"/>
    <n v="14"/>
    <s v="Diğer"/>
    <s v="Özel okul"/>
    <x v="1"/>
    <x v="6"/>
    <x v="24"/>
    <s v="Var"/>
    <x v="3"/>
    <s v="Yok"/>
    <x v="5"/>
    <n v="58"/>
    <n v="88"/>
    <n v="46"/>
    <x v="42"/>
    <s v="C"/>
    <x v="0"/>
  </r>
  <r>
    <n v="105"/>
    <n v="18"/>
    <s v="Diğer"/>
    <s v="Özel okul"/>
    <x v="3"/>
    <x v="1"/>
    <x v="42"/>
    <s v="Var"/>
    <x v="2"/>
    <s v="Var"/>
    <x v="0"/>
    <n v="95"/>
    <n v="79"/>
    <n v="66"/>
    <x v="22"/>
    <s v="B"/>
    <x v="1"/>
  </r>
  <r>
    <n v="106"/>
    <n v="18"/>
    <s v="Erkek"/>
    <s v="Özel okul"/>
    <x v="1"/>
    <x v="0"/>
    <x v="3"/>
    <s v="Var"/>
    <x v="2"/>
    <s v="Yok"/>
    <x v="2"/>
    <n v="37"/>
    <n v="36"/>
    <n v="72"/>
    <x v="68"/>
    <s v="D"/>
    <x v="0"/>
  </r>
  <r>
    <n v="107"/>
    <n v="18"/>
    <s v="Kadın"/>
    <s v="Özel okul"/>
    <x v="0"/>
    <x v="3"/>
    <x v="21"/>
    <s v="Var"/>
    <x v="0"/>
    <s v="Var"/>
    <x v="1"/>
    <n v="46"/>
    <n v="76"/>
    <n v="58"/>
    <x v="38"/>
    <s v="C"/>
    <x v="0"/>
  </r>
  <r>
    <n v="108"/>
    <n v="17"/>
    <s v="Erkek"/>
    <s v="Özel okul"/>
    <x v="0"/>
    <x v="3"/>
    <x v="4"/>
    <s v="Yok"/>
    <x v="3"/>
    <s v="Var"/>
    <x v="1"/>
    <n v="34"/>
    <n v="27"/>
    <n v="53"/>
    <x v="60"/>
    <s v="F"/>
    <x v="0"/>
  </r>
  <r>
    <n v="109"/>
    <n v="16"/>
    <s v="Kadın"/>
    <s v="Devlet okulu"/>
    <x v="3"/>
    <x v="1"/>
    <x v="5"/>
    <s v="Var"/>
    <x v="0"/>
    <s v="Yok"/>
    <x v="4"/>
    <n v="37"/>
    <n v="49"/>
    <n v="50"/>
    <x v="69"/>
    <s v="D"/>
    <x v="0"/>
  </r>
  <r>
    <n v="110"/>
    <n v="18"/>
    <s v="Diğer"/>
    <s v="Özel okul"/>
    <x v="3"/>
    <x v="2"/>
    <x v="36"/>
    <s v="Yok"/>
    <x v="3"/>
    <s v="Yok"/>
    <x v="5"/>
    <n v="93"/>
    <n v="48"/>
    <n v="82"/>
    <x v="70"/>
    <s v="C"/>
    <x v="1"/>
  </r>
  <r>
    <n v="111"/>
    <n v="15"/>
    <s v="Diğer"/>
    <s v="Özel okul"/>
    <x v="5"/>
    <x v="2"/>
    <x v="19"/>
    <s v="Var"/>
    <x v="3"/>
    <s v="Var"/>
    <x v="5"/>
    <n v="66"/>
    <n v="97"/>
    <n v="79"/>
    <x v="71"/>
    <s v="B"/>
    <x v="0"/>
  </r>
  <r>
    <n v="112"/>
    <n v="18"/>
    <s v="Diğer"/>
    <s v="Özel okul"/>
    <x v="2"/>
    <x v="5"/>
    <x v="7"/>
    <s v="Var"/>
    <x v="3"/>
    <s v="Var"/>
    <x v="5"/>
    <n v="68"/>
    <n v="54"/>
    <n v="48"/>
    <x v="72"/>
    <s v="D"/>
    <x v="1"/>
  </r>
  <r>
    <n v="113"/>
    <n v="17"/>
    <s v="Erkek"/>
    <s v="Devlet okulu"/>
    <x v="4"/>
    <x v="1"/>
    <x v="44"/>
    <s v="Var"/>
    <x v="1"/>
    <s v="Yok"/>
    <x v="2"/>
    <n v="34"/>
    <n v="52"/>
    <n v="81"/>
    <x v="43"/>
    <s v="D"/>
    <x v="0"/>
  </r>
  <r>
    <n v="114"/>
    <n v="16"/>
    <s v="Erkek"/>
    <s v="Özel okul"/>
    <x v="1"/>
    <x v="0"/>
    <x v="8"/>
    <s v="Var"/>
    <x v="3"/>
    <s v="Var"/>
    <x v="2"/>
    <n v="84"/>
    <n v="98"/>
    <n v="94"/>
    <x v="73"/>
    <s v="A"/>
    <x v="0"/>
  </r>
  <r>
    <n v="115"/>
    <n v="17"/>
    <s v="Kadın"/>
    <s v="Devlet okulu"/>
    <x v="4"/>
    <x v="3"/>
    <x v="43"/>
    <s v="Var"/>
    <x v="2"/>
    <s v="Var"/>
    <x v="4"/>
    <n v="100"/>
    <n v="79"/>
    <n v="94"/>
    <x v="74"/>
    <s v="A"/>
    <x v="1"/>
  </r>
  <r>
    <n v="116"/>
    <n v="17"/>
    <s v="Erkek"/>
    <s v="Özel okul"/>
    <x v="5"/>
    <x v="2"/>
    <x v="16"/>
    <s v="Var"/>
    <x v="0"/>
    <s v="Yok"/>
    <x v="1"/>
    <n v="78"/>
    <n v="89"/>
    <n v="80"/>
    <x v="75"/>
    <s v="B"/>
    <x v="0"/>
  </r>
  <r>
    <n v="117"/>
    <n v="14"/>
    <s v="Kadın"/>
    <s v="Özel okul"/>
    <x v="5"/>
    <x v="1"/>
    <x v="1"/>
    <s v="Var"/>
    <x v="2"/>
    <s v="Yok"/>
    <x v="4"/>
    <n v="100"/>
    <n v="83"/>
    <n v="56"/>
    <x v="23"/>
    <s v="C"/>
    <x v="1"/>
  </r>
  <r>
    <n v="118"/>
    <n v="14"/>
    <s v="Diğer"/>
    <s v="Özel okul"/>
    <x v="4"/>
    <x v="0"/>
    <x v="28"/>
    <s v="Yok"/>
    <x v="3"/>
    <s v="Var"/>
    <x v="3"/>
    <n v="70"/>
    <n v="37"/>
    <n v="66"/>
    <x v="76"/>
    <s v="D"/>
    <x v="1"/>
  </r>
  <r>
    <n v="119"/>
    <n v="15"/>
    <s v="Erkek"/>
    <s v="Özel okul"/>
    <x v="2"/>
    <x v="1"/>
    <x v="41"/>
    <s v="Var"/>
    <x v="2"/>
    <s v="Var"/>
    <x v="4"/>
    <n v="70"/>
    <n v="39"/>
    <n v="68"/>
    <x v="77"/>
    <s v="D"/>
    <x v="1"/>
  </r>
  <r>
    <n v="120"/>
    <n v="14"/>
    <s v="Diğer"/>
    <s v="Devlet okulu"/>
    <x v="5"/>
    <x v="3"/>
    <x v="21"/>
    <s v="Var"/>
    <x v="2"/>
    <s v="Yok"/>
    <x v="5"/>
    <n v="64"/>
    <n v="64"/>
    <n v="99"/>
    <x v="78"/>
    <s v="C"/>
    <x v="0"/>
  </r>
  <r>
    <n v="121"/>
    <n v="16"/>
    <s v="Diğer"/>
    <s v="Devlet okulu"/>
    <x v="0"/>
    <x v="1"/>
    <x v="1"/>
    <s v="Var"/>
    <x v="3"/>
    <s v="Yok"/>
    <x v="2"/>
    <n v="71"/>
    <n v="37"/>
    <n v="46"/>
    <x v="79"/>
    <s v="D"/>
    <x v="1"/>
  </r>
  <r>
    <n v="122"/>
    <n v="18"/>
    <s v="Diğer"/>
    <s v="Devlet okulu"/>
    <x v="0"/>
    <x v="6"/>
    <x v="11"/>
    <s v="Var"/>
    <x v="0"/>
    <s v="Yok"/>
    <x v="0"/>
    <n v="31"/>
    <n v="72"/>
    <n v="54"/>
    <x v="11"/>
    <s v="D"/>
    <x v="0"/>
  </r>
  <r>
    <n v="123"/>
    <n v="17"/>
    <s v="Erkek"/>
    <s v="Özel okul"/>
    <x v="4"/>
    <x v="1"/>
    <x v="13"/>
    <s v="Var"/>
    <x v="1"/>
    <s v="Var"/>
    <x v="3"/>
    <n v="57"/>
    <n v="99"/>
    <n v="62"/>
    <x v="80"/>
    <s v="C"/>
    <x v="0"/>
  </r>
  <r>
    <n v="124"/>
    <n v="16"/>
    <s v="Erkek"/>
    <s v="Özel okul"/>
    <x v="4"/>
    <x v="6"/>
    <x v="4"/>
    <s v="Var"/>
    <x v="1"/>
    <s v="Yok"/>
    <x v="2"/>
    <n v="50"/>
    <n v="43"/>
    <n v="69"/>
    <x v="39"/>
    <s v="D"/>
    <x v="0"/>
  </r>
  <r>
    <n v="125"/>
    <n v="19"/>
    <s v="Erkek"/>
    <s v="Özel okul"/>
    <x v="2"/>
    <x v="3"/>
    <x v="45"/>
    <s v="Yok"/>
    <x v="0"/>
    <s v="Yok"/>
    <x v="4"/>
    <n v="86"/>
    <n v="62"/>
    <n v="94"/>
    <x v="71"/>
    <s v="B"/>
    <x v="1"/>
  </r>
  <r>
    <n v="126"/>
    <n v="17"/>
    <s v="Erkek"/>
    <s v="Özel okul"/>
    <x v="4"/>
    <x v="4"/>
    <x v="25"/>
    <s v="Yok"/>
    <x v="1"/>
    <s v="Yok"/>
    <x v="2"/>
    <n v="31"/>
    <n v="68"/>
    <n v="62"/>
    <x v="81"/>
    <s v="D"/>
    <x v="0"/>
  </r>
  <r>
    <n v="127"/>
    <n v="14"/>
    <s v="Erkek"/>
    <s v="Özel okul"/>
    <x v="1"/>
    <x v="4"/>
    <x v="23"/>
    <s v="Yok"/>
    <x v="3"/>
    <s v="Yok"/>
    <x v="0"/>
    <n v="58"/>
    <n v="23"/>
    <n v="78"/>
    <x v="0"/>
    <s v="D"/>
    <x v="1"/>
  </r>
  <r>
    <n v="128"/>
    <n v="18"/>
    <s v="Kadın"/>
    <s v="Devlet okulu"/>
    <x v="3"/>
    <x v="1"/>
    <x v="34"/>
    <s v="Var"/>
    <x v="1"/>
    <s v="Yok"/>
    <x v="4"/>
    <n v="100"/>
    <n v="89"/>
    <n v="75"/>
    <x v="82"/>
    <s v="B"/>
    <x v="1"/>
  </r>
  <r>
    <n v="129"/>
    <n v="17"/>
    <s v="Erkek"/>
    <s v="Özel okul"/>
    <x v="1"/>
    <x v="5"/>
    <x v="46"/>
    <s v="Var"/>
    <x v="1"/>
    <s v="Yok"/>
    <x v="5"/>
    <n v="41"/>
    <n v="59"/>
    <n v="93"/>
    <x v="14"/>
    <s v="C"/>
    <x v="0"/>
  </r>
  <r>
    <n v="130"/>
    <n v="17"/>
    <s v="Erkek"/>
    <s v="Özel okul"/>
    <x v="1"/>
    <x v="4"/>
    <x v="16"/>
    <s v="Var"/>
    <x v="2"/>
    <s v="Var"/>
    <x v="1"/>
    <n v="40"/>
    <n v="37"/>
    <n v="42"/>
    <x v="83"/>
    <s v="F"/>
    <x v="1"/>
  </r>
  <r>
    <n v="131"/>
    <n v="17"/>
    <s v="Diğer"/>
    <s v="Devlet okulu"/>
    <x v="5"/>
    <x v="0"/>
    <x v="38"/>
    <s v="Var"/>
    <x v="1"/>
    <s v="Var"/>
    <x v="5"/>
    <n v="45"/>
    <n v="36"/>
    <n v="95"/>
    <x v="84"/>
    <s v="D"/>
    <x v="0"/>
  </r>
  <r>
    <n v="132"/>
    <n v="17"/>
    <s v="Diğer"/>
    <s v="Özel okul"/>
    <x v="3"/>
    <x v="6"/>
    <x v="44"/>
    <s v="Var"/>
    <x v="1"/>
    <s v="Yok"/>
    <x v="4"/>
    <n v="32"/>
    <n v="54"/>
    <n v="51"/>
    <x v="85"/>
    <s v="D"/>
    <x v="0"/>
  </r>
  <r>
    <n v="133"/>
    <n v="14"/>
    <s v="Diğer"/>
    <s v="Özel okul"/>
    <x v="2"/>
    <x v="1"/>
    <x v="38"/>
    <s v="Var"/>
    <x v="3"/>
    <s v="Var"/>
    <x v="2"/>
    <n v="57"/>
    <n v="41"/>
    <n v="86"/>
    <x v="3"/>
    <s v="C"/>
    <x v="0"/>
  </r>
  <r>
    <n v="134"/>
    <n v="17"/>
    <s v="Erkek"/>
    <s v="Özel okul"/>
    <x v="4"/>
    <x v="6"/>
    <x v="29"/>
    <s v="Var"/>
    <x v="2"/>
    <s v="Yok"/>
    <x v="2"/>
    <n v="93"/>
    <n v="86"/>
    <n v="71"/>
    <x v="86"/>
    <s v="B"/>
    <x v="1"/>
  </r>
  <r>
    <n v="135"/>
    <n v="18"/>
    <s v="Kadın"/>
    <s v="Özel okul"/>
    <x v="5"/>
    <x v="3"/>
    <x v="47"/>
    <s v="Var"/>
    <x v="0"/>
    <s v="Yok"/>
    <x v="3"/>
    <n v="49"/>
    <n v="38"/>
    <n v="79"/>
    <x v="87"/>
    <s v="D"/>
    <x v="0"/>
  </r>
  <r>
    <n v="136"/>
    <n v="15"/>
    <s v="Kadın"/>
    <s v="Özel okul"/>
    <x v="2"/>
    <x v="4"/>
    <x v="29"/>
    <s v="Var"/>
    <x v="2"/>
    <s v="Var"/>
    <x v="4"/>
    <n v="97"/>
    <n v="23"/>
    <n v="86"/>
    <x v="88"/>
    <s v="C"/>
    <x v="1"/>
  </r>
  <r>
    <n v="137"/>
    <n v="17"/>
    <s v="Erkek"/>
    <s v="Devlet okulu"/>
    <x v="5"/>
    <x v="4"/>
    <x v="34"/>
    <s v="Yok"/>
    <x v="2"/>
    <s v="Var"/>
    <x v="1"/>
    <n v="55"/>
    <n v="30"/>
    <n v="58"/>
    <x v="61"/>
    <s v="D"/>
    <x v="1"/>
  </r>
  <r>
    <n v="138"/>
    <n v="14"/>
    <s v="Diğer"/>
    <s v="Devlet okulu"/>
    <x v="5"/>
    <x v="2"/>
    <x v="17"/>
    <s v="Yok"/>
    <x v="2"/>
    <s v="Yok"/>
    <x v="3"/>
    <n v="53"/>
    <n v="50"/>
    <n v="98"/>
    <x v="45"/>
    <s v="C"/>
    <x v="0"/>
  </r>
  <r>
    <n v="139"/>
    <n v="16"/>
    <s v="Kadın"/>
    <s v="Özel okul"/>
    <x v="3"/>
    <x v="0"/>
    <x v="6"/>
    <s v="Var"/>
    <x v="1"/>
    <s v="Yok"/>
    <x v="1"/>
    <n v="48"/>
    <n v="59"/>
    <n v="53"/>
    <x v="89"/>
    <s v="D"/>
    <x v="0"/>
  </r>
  <r>
    <n v="140"/>
    <n v="16"/>
    <s v="Diğer"/>
    <s v="Devlet okulu"/>
    <x v="4"/>
    <x v="5"/>
    <x v="35"/>
    <s v="Var"/>
    <x v="3"/>
    <s v="Var"/>
    <x v="4"/>
    <n v="74"/>
    <n v="29"/>
    <n v="64"/>
    <x v="43"/>
    <s v="D"/>
    <x v="1"/>
  </r>
  <r>
    <n v="141"/>
    <n v="19"/>
    <s v="Erkek"/>
    <s v="Özel okul"/>
    <x v="2"/>
    <x v="0"/>
    <x v="25"/>
    <s v="Var"/>
    <x v="2"/>
    <s v="Yok"/>
    <x v="4"/>
    <n v="97"/>
    <n v="30"/>
    <n v="49"/>
    <x v="84"/>
    <s v="D"/>
    <x v="1"/>
  </r>
  <r>
    <n v="142"/>
    <n v="15"/>
    <s v="Kadın"/>
    <s v="Devlet okulu"/>
    <x v="4"/>
    <x v="6"/>
    <x v="6"/>
    <s v="Var"/>
    <x v="0"/>
    <s v="Var"/>
    <x v="2"/>
    <n v="40"/>
    <n v="86"/>
    <n v="95"/>
    <x v="6"/>
    <s v="C"/>
    <x v="0"/>
  </r>
  <r>
    <n v="143"/>
    <n v="15"/>
    <s v="Erkek"/>
    <s v="Özel okul"/>
    <x v="5"/>
    <x v="5"/>
    <x v="30"/>
    <s v="Var"/>
    <x v="3"/>
    <s v="Var"/>
    <x v="5"/>
    <n v="100"/>
    <n v="25"/>
    <n v="43"/>
    <x v="90"/>
    <s v="D"/>
    <x v="1"/>
  </r>
  <r>
    <n v="144"/>
    <n v="16"/>
    <s v="Diğer"/>
    <s v="Özel okul"/>
    <x v="4"/>
    <x v="0"/>
    <x v="20"/>
    <s v="Var"/>
    <x v="0"/>
    <s v="Yok"/>
    <x v="4"/>
    <n v="78"/>
    <n v="28"/>
    <n v="64"/>
    <x v="72"/>
    <s v="D"/>
    <x v="1"/>
  </r>
  <r>
    <n v="145"/>
    <n v="19"/>
    <s v="Kadın"/>
    <s v="Özel okul"/>
    <x v="1"/>
    <x v="0"/>
    <x v="0"/>
    <s v="Yok"/>
    <x v="3"/>
    <s v="Yok"/>
    <x v="2"/>
    <n v="85"/>
    <n v="46"/>
    <n v="64"/>
    <x v="4"/>
    <s v="C"/>
    <x v="1"/>
  </r>
  <r>
    <n v="146"/>
    <n v="19"/>
    <s v="Erkek"/>
    <s v="Devlet okulu"/>
    <x v="3"/>
    <x v="2"/>
    <x v="25"/>
    <s v="Var"/>
    <x v="2"/>
    <s v="Var"/>
    <x v="1"/>
    <n v="41"/>
    <n v="60"/>
    <n v="85"/>
    <x v="91"/>
    <s v="C"/>
    <x v="0"/>
  </r>
  <r>
    <n v="147"/>
    <n v="14"/>
    <s v="Erkek"/>
    <s v="Özel okul"/>
    <x v="1"/>
    <x v="4"/>
    <x v="0"/>
    <s v="Yok"/>
    <x v="3"/>
    <s v="Var"/>
    <x v="4"/>
    <n v="84"/>
    <n v="75"/>
    <n v="56"/>
    <x v="35"/>
    <s v="C"/>
    <x v="1"/>
  </r>
  <r>
    <n v="148"/>
    <n v="15"/>
    <s v="Kadın"/>
    <s v="Özel okul"/>
    <x v="4"/>
    <x v="4"/>
    <x v="13"/>
    <s v="Var"/>
    <x v="2"/>
    <s v="Var"/>
    <x v="3"/>
    <n v="62"/>
    <n v="55"/>
    <n v="78"/>
    <x v="4"/>
    <s v="C"/>
    <x v="0"/>
  </r>
  <r>
    <n v="149"/>
    <n v="18"/>
    <s v="Erkek"/>
    <s v="Devlet okulu"/>
    <x v="5"/>
    <x v="1"/>
    <x v="48"/>
    <s v="Var"/>
    <x v="0"/>
    <s v="Var"/>
    <x v="1"/>
    <n v="76"/>
    <n v="71"/>
    <n v="60"/>
    <x v="26"/>
    <s v="C"/>
    <x v="1"/>
  </r>
  <r>
    <n v="150"/>
    <n v="14"/>
    <s v="Erkek"/>
    <s v="Özel okul"/>
    <x v="0"/>
    <x v="2"/>
    <x v="3"/>
    <s v="Var"/>
    <x v="2"/>
    <s v="Yok"/>
    <x v="2"/>
    <n v="52"/>
    <n v="22"/>
    <n v="73"/>
    <x v="92"/>
    <s v="D"/>
    <x v="1"/>
  </r>
  <r>
    <n v="151"/>
    <n v="19"/>
    <s v="Diğer"/>
    <s v="Devlet okulu"/>
    <x v="2"/>
    <x v="0"/>
    <x v="25"/>
    <s v="Var"/>
    <x v="3"/>
    <s v="Yok"/>
    <x v="2"/>
    <n v="42"/>
    <n v="40"/>
    <n v="56"/>
    <x v="93"/>
    <s v="D"/>
    <x v="0"/>
  </r>
  <r>
    <n v="152"/>
    <n v="15"/>
    <s v="Diğer"/>
    <s v="Özel okul"/>
    <x v="1"/>
    <x v="5"/>
    <x v="45"/>
    <s v="Var"/>
    <x v="3"/>
    <s v="Yok"/>
    <x v="2"/>
    <n v="43"/>
    <n v="66"/>
    <n v="64"/>
    <x v="76"/>
    <s v="D"/>
    <x v="0"/>
  </r>
  <r>
    <n v="153"/>
    <n v="19"/>
    <s v="Kadın"/>
    <s v="Devlet okulu"/>
    <x v="4"/>
    <x v="5"/>
    <x v="20"/>
    <s v="Var"/>
    <x v="1"/>
    <s v="Yok"/>
    <x v="0"/>
    <n v="95"/>
    <n v="100"/>
    <n v="95"/>
    <x v="94"/>
    <s v="A"/>
    <x v="0"/>
  </r>
  <r>
    <n v="154"/>
    <n v="15"/>
    <s v="Diğer"/>
    <s v="Özel okul"/>
    <x v="4"/>
    <x v="0"/>
    <x v="6"/>
    <s v="Var"/>
    <x v="0"/>
    <s v="Var"/>
    <x v="4"/>
    <n v="59"/>
    <n v="24"/>
    <n v="87"/>
    <x v="72"/>
    <s v="D"/>
    <x v="1"/>
  </r>
  <r>
    <n v="155"/>
    <n v="16"/>
    <s v="Kadın"/>
    <s v="Özel okul"/>
    <x v="4"/>
    <x v="0"/>
    <x v="26"/>
    <s v="Var"/>
    <x v="3"/>
    <s v="Var"/>
    <x v="4"/>
    <n v="33"/>
    <n v="43"/>
    <n v="78"/>
    <x v="79"/>
    <s v="D"/>
    <x v="0"/>
  </r>
  <r>
    <n v="156"/>
    <n v="17"/>
    <s v="Erkek"/>
    <s v="Özel okul"/>
    <x v="0"/>
    <x v="4"/>
    <x v="1"/>
    <s v="Var"/>
    <x v="3"/>
    <s v="Yok"/>
    <x v="3"/>
    <n v="75"/>
    <n v="79"/>
    <n v="97"/>
    <x v="95"/>
    <s v="B"/>
    <x v="0"/>
  </r>
  <r>
    <n v="157"/>
    <n v="14"/>
    <s v="Diğer"/>
    <s v="Özel okul"/>
    <x v="2"/>
    <x v="5"/>
    <x v="20"/>
    <s v="Var"/>
    <x v="0"/>
    <s v="Yok"/>
    <x v="3"/>
    <n v="39"/>
    <n v="36"/>
    <n v="78"/>
    <x v="96"/>
    <s v="D"/>
    <x v="0"/>
  </r>
  <r>
    <n v="158"/>
    <n v="17"/>
    <s v="Erkek"/>
    <s v="Özel okul"/>
    <x v="3"/>
    <x v="4"/>
    <x v="12"/>
    <s v="Yok"/>
    <x v="2"/>
    <s v="Yok"/>
    <x v="4"/>
    <n v="47"/>
    <n v="60"/>
    <n v="64"/>
    <x v="97"/>
    <s v="D"/>
    <x v="0"/>
  </r>
  <r>
    <n v="159"/>
    <n v="17"/>
    <s v="Diğer"/>
    <s v="Özel okul"/>
    <x v="2"/>
    <x v="0"/>
    <x v="46"/>
    <s v="Var"/>
    <x v="0"/>
    <s v="Yok"/>
    <x v="3"/>
    <n v="92"/>
    <n v="24"/>
    <n v="92"/>
    <x v="98"/>
    <s v="C"/>
    <x v="1"/>
  </r>
  <r>
    <n v="160"/>
    <n v="18"/>
    <s v="Kadın"/>
    <s v="Devlet okulu"/>
    <x v="0"/>
    <x v="2"/>
    <x v="4"/>
    <s v="Var"/>
    <x v="0"/>
    <s v="Var"/>
    <x v="2"/>
    <n v="73"/>
    <n v="38"/>
    <n v="72"/>
    <x v="53"/>
    <s v="C"/>
    <x v="1"/>
  </r>
  <r>
    <n v="161"/>
    <n v="19"/>
    <s v="Erkek"/>
    <s v="Özel okul"/>
    <x v="2"/>
    <x v="1"/>
    <x v="49"/>
    <s v="Yok"/>
    <x v="2"/>
    <s v="Yok"/>
    <x v="2"/>
    <n v="84"/>
    <n v="37"/>
    <n v="85"/>
    <x v="88"/>
    <s v="C"/>
    <x v="1"/>
  </r>
  <r>
    <n v="162"/>
    <n v="17"/>
    <s v="Erkek"/>
    <s v="Devlet okulu"/>
    <x v="3"/>
    <x v="5"/>
    <x v="35"/>
    <s v="Var"/>
    <x v="0"/>
    <s v="Yok"/>
    <x v="5"/>
    <n v="37"/>
    <n v="79"/>
    <n v="71"/>
    <x v="99"/>
    <s v="C"/>
    <x v="0"/>
  </r>
  <r>
    <n v="163"/>
    <n v="16"/>
    <s v="Diğer"/>
    <s v="Özel okul"/>
    <x v="4"/>
    <x v="6"/>
    <x v="21"/>
    <s v="Var"/>
    <x v="3"/>
    <s v="Var"/>
    <x v="2"/>
    <n v="55"/>
    <n v="47"/>
    <n v="54"/>
    <x v="100"/>
    <s v="D"/>
    <x v="1"/>
  </r>
  <r>
    <n v="164"/>
    <n v="16"/>
    <s v="Diğer"/>
    <s v="Özel okul"/>
    <x v="5"/>
    <x v="0"/>
    <x v="30"/>
    <s v="Var"/>
    <x v="0"/>
    <s v="Var"/>
    <x v="1"/>
    <n v="62"/>
    <n v="98"/>
    <n v="77"/>
    <x v="55"/>
    <s v="C"/>
    <x v="0"/>
  </r>
  <r>
    <n v="165"/>
    <n v="16"/>
    <s v="Kadın"/>
    <s v="Özel okul"/>
    <x v="5"/>
    <x v="1"/>
    <x v="3"/>
    <s v="Yok"/>
    <x v="0"/>
    <s v="Var"/>
    <x v="3"/>
    <n v="48"/>
    <n v="27"/>
    <n v="79"/>
    <x v="79"/>
    <s v="D"/>
    <x v="0"/>
  </r>
  <r>
    <n v="166"/>
    <n v="18"/>
    <s v="Erkek"/>
    <s v="Devlet okulu"/>
    <x v="5"/>
    <x v="4"/>
    <x v="5"/>
    <s v="Var"/>
    <x v="1"/>
    <s v="Yok"/>
    <x v="2"/>
    <n v="68"/>
    <n v="67"/>
    <n v="74"/>
    <x v="19"/>
    <s v="C"/>
    <x v="0"/>
  </r>
  <r>
    <n v="167"/>
    <n v="15"/>
    <s v="Diğer"/>
    <s v="Devlet okulu"/>
    <x v="0"/>
    <x v="2"/>
    <x v="42"/>
    <s v="Var"/>
    <x v="3"/>
    <s v="Yok"/>
    <x v="2"/>
    <n v="67"/>
    <n v="87"/>
    <n v="63"/>
    <x v="37"/>
    <s v="C"/>
    <x v="0"/>
  </r>
  <r>
    <n v="168"/>
    <n v="15"/>
    <s v="Diğer"/>
    <s v="Özel okul"/>
    <x v="0"/>
    <x v="4"/>
    <x v="39"/>
    <s v="Var"/>
    <x v="2"/>
    <s v="Yok"/>
    <x v="0"/>
    <n v="36"/>
    <n v="37"/>
    <n v="98"/>
    <x v="97"/>
    <s v="D"/>
    <x v="0"/>
  </r>
  <r>
    <n v="169"/>
    <n v="16"/>
    <s v="Kadın"/>
    <s v="Özel okul"/>
    <x v="0"/>
    <x v="6"/>
    <x v="14"/>
    <s v="Var"/>
    <x v="1"/>
    <s v="Var"/>
    <x v="1"/>
    <n v="83"/>
    <n v="44"/>
    <n v="46"/>
    <x v="76"/>
    <s v="D"/>
    <x v="1"/>
  </r>
  <r>
    <n v="170"/>
    <n v="14"/>
    <s v="Kadın"/>
    <s v="Devlet okulu"/>
    <x v="3"/>
    <x v="3"/>
    <x v="26"/>
    <s v="Var"/>
    <x v="1"/>
    <s v="Yok"/>
    <x v="2"/>
    <n v="83"/>
    <n v="40"/>
    <n v="82"/>
    <x v="47"/>
    <s v="C"/>
    <x v="1"/>
  </r>
  <r>
    <n v="171"/>
    <n v="14"/>
    <s v="Diğer"/>
    <s v="Devlet okulu"/>
    <x v="4"/>
    <x v="0"/>
    <x v="49"/>
    <s v="Yok"/>
    <x v="0"/>
    <s v="Yok"/>
    <x v="4"/>
    <n v="62"/>
    <n v="68"/>
    <n v="64"/>
    <x v="101"/>
    <s v="C"/>
    <x v="0"/>
  </r>
  <r>
    <n v="172"/>
    <n v="14"/>
    <s v="Kadın"/>
    <s v="Özel okul"/>
    <x v="1"/>
    <x v="2"/>
    <x v="25"/>
    <s v="Var"/>
    <x v="2"/>
    <s v="Var"/>
    <x v="2"/>
    <n v="81"/>
    <n v="98"/>
    <n v="56"/>
    <x v="13"/>
    <s v="C"/>
    <x v="1"/>
  </r>
  <r>
    <n v="173"/>
    <n v="18"/>
    <s v="Erkek"/>
    <s v="Özel okul"/>
    <x v="4"/>
    <x v="5"/>
    <x v="16"/>
    <s v="Var"/>
    <x v="3"/>
    <s v="Yok"/>
    <x v="3"/>
    <n v="74"/>
    <n v="93"/>
    <n v="70"/>
    <x v="55"/>
    <s v="C"/>
    <x v="0"/>
  </r>
  <r>
    <n v="174"/>
    <n v="18"/>
    <s v="Erkek"/>
    <s v="Devlet okulu"/>
    <x v="0"/>
    <x v="4"/>
    <x v="2"/>
    <s v="Var"/>
    <x v="0"/>
    <s v="Var"/>
    <x v="5"/>
    <n v="92"/>
    <n v="54"/>
    <n v="94"/>
    <x v="22"/>
    <s v="B"/>
    <x v="1"/>
  </r>
  <r>
    <n v="175"/>
    <n v="18"/>
    <s v="Kadın"/>
    <s v="Devlet okulu"/>
    <x v="5"/>
    <x v="2"/>
    <x v="20"/>
    <s v="Var"/>
    <x v="3"/>
    <s v="Yok"/>
    <x v="4"/>
    <n v="80"/>
    <n v="21"/>
    <n v="96"/>
    <x v="102"/>
    <s v="C"/>
    <x v="1"/>
  </r>
  <r>
    <n v="176"/>
    <n v="16"/>
    <s v="Diğer"/>
    <s v="Özel okul"/>
    <x v="1"/>
    <x v="1"/>
    <x v="38"/>
    <s v="Var"/>
    <x v="0"/>
    <s v="Yok"/>
    <x v="0"/>
    <n v="98"/>
    <n v="42"/>
    <n v="51"/>
    <x v="15"/>
    <s v="C"/>
    <x v="1"/>
  </r>
  <r>
    <n v="177"/>
    <n v="18"/>
    <s v="Diğer"/>
    <s v="Devlet okulu"/>
    <x v="3"/>
    <x v="6"/>
    <x v="10"/>
    <s v="Var"/>
    <x v="1"/>
    <s v="Yok"/>
    <x v="2"/>
    <n v="94"/>
    <n v="36"/>
    <n v="64"/>
    <x v="101"/>
    <s v="C"/>
    <x v="1"/>
  </r>
  <r>
    <n v="178"/>
    <n v="14"/>
    <s v="Kadın"/>
    <s v="Devlet okulu"/>
    <x v="4"/>
    <x v="5"/>
    <x v="8"/>
    <s v="Var"/>
    <x v="2"/>
    <s v="Var"/>
    <x v="5"/>
    <n v="100"/>
    <n v="58"/>
    <n v="55"/>
    <x v="103"/>
    <s v="C"/>
    <x v="1"/>
  </r>
  <r>
    <n v="179"/>
    <n v="19"/>
    <s v="Erkek"/>
    <s v="Devlet okulu"/>
    <x v="2"/>
    <x v="2"/>
    <x v="9"/>
    <s v="Var"/>
    <x v="3"/>
    <s v="Yok"/>
    <x v="1"/>
    <n v="97"/>
    <n v="98"/>
    <n v="86"/>
    <x v="104"/>
    <s v="A"/>
    <x v="1"/>
  </r>
  <r>
    <n v="180"/>
    <n v="17"/>
    <s v="Kadın"/>
    <s v="Özel okul"/>
    <x v="4"/>
    <x v="2"/>
    <x v="33"/>
    <s v="Var"/>
    <x v="1"/>
    <s v="Var"/>
    <x v="1"/>
    <n v="83"/>
    <n v="58"/>
    <n v="72"/>
    <x v="103"/>
    <s v="C"/>
    <x v="1"/>
  </r>
  <r>
    <n v="181"/>
    <n v="19"/>
    <s v="Erkek"/>
    <s v="Devlet okulu"/>
    <x v="2"/>
    <x v="6"/>
    <x v="45"/>
    <s v="Var"/>
    <x v="3"/>
    <s v="Var"/>
    <x v="3"/>
    <n v="35"/>
    <n v="46"/>
    <n v="80"/>
    <x v="81"/>
    <s v="D"/>
    <x v="0"/>
  </r>
  <r>
    <n v="182"/>
    <n v="14"/>
    <s v="Kadın"/>
    <s v="Devlet okulu"/>
    <x v="3"/>
    <x v="5"/>
    <x v="8"/>
    <s v="Var"/>
    <x v="3"/>
    <s v="Var"/>
    <x v="5"/>
    <n v="97"/>
    <n v="76"/>
    <n v="48"/>
    <x v="6"/>
    <s v="C"/>
    <x v="1"/>
  </r>
  <r>
    <n v="183"/>
    <n v="16"/>
    <s v="Kadın"/>
    <s v="Devlet okulu"/>
    <x v="2"/>
    <x v="0"/>
    <x v="17"/>
    <s v="Var"/>
    <x v="1"/>
    <s v="Yok"/>
    <x v="3"/>
    <n v="77"/>
    <n v="94"/>
    <n v="55"/>
    <x v="58"/>
    <s v="C"/>
    <x v="1"/>
  </r>
  <r>
    <n v="184"/>
    <n v="18"/>
    <s v="Diğer"/>
    <s v="Özel okul"/>
    <x v="4"/>
    <x v="1"/>
    <x v="29"/>
    <s v="Var"/>
    <x v="3"/>
    <s v="Yok"/>
    <x v="1"/>
    <n v="81"/>
    <n v="95"/>
    <n v="60"/>
    <x v="34"/>
    <s v="C"/>
    <x v="1"/>
  </r>
  <r>
    <n v="185"/>
    <n v="16"/>
    <s v="Diğer"/>
    <s v="Özel okul"/>
    <x v="3"/>
    <x v="2"/>
    <x v="19"/>
    <s v="Var"/>
    <x v="2"/>
    <s v="Yok"/>
    <x v="4"/>
    <n v="88"/>
    <n v="37"/>
    <n v="85"/>
    <x v="48"/>
    <s v="C"/>
    <x v="1"/>
  </r>
  <r>
    <n v="186"/>
    <n v="16"/>
    <s v="Diğer"/>
    <s v="Devlet okulu"/>
    <x v="3"/>
    <x v="5"/>
    <x v="29"/>
    <s v="Yok"/>
    <x v="2"/>
    <s v="Var"/>
    <x v="0"/>
    <n v="44"/>
    <n v="60"/>
    <n v="68"/>
    <x v="67"/>
    <s v="D"/>
    <x v="0"/>
  </r>
  <r>
    <n v="187"/>
    <n v="14"/>
    <s v="Erkek"/>
    <s v="Özel okul"/>
    <x v="2"/>
    <x v="0"/>
    <x v="18"/>
    <s v="Var"/>
    <x v="3"/>
    <s v="Yok"/>
    <x v="3"/>
    <n v="72"/>
    <n v="70"/>
    <n v="46"/>
    <x v="30"/>
    <s v="C"/>
    <x v="1"/>
  </r>
  <r>
    <n v="188"/>
    <n v="16"/>
    <s v="Diğer"/>
    <s v="Özel okul"/>
    <x v="1"/>
    <x v="5"/>
    <x v="38"/>
    <s v="Var"/>
    <x v="2"/>
    <s v="Var"/>
    <x v="4"/>
    <n v="85"/>
    <n v="41"/>
    <n v="68"/>
    <x v="101"/>
    <s v="C"/>
    <x v="1"/>
  </r>
  <r>
    <n v="189"/>
    <n v="15"/>
    <s v="Erkek"/>
    <s v="Özel okul"/>
    <x v="1"/>
    <x v="1"/>
    <x v="24"/>
    <s v="Var"/>
    <x v="0"/>
    <s v="Yok"/>
    <x v="0"/>
    <n v="99"/>
    <n v="23"/>
    <n v="53"/>
    <x v="31"/>
    <s v="D"/>
    <x v="1"/>
  </r>
  <r>
    <n v="190"/>
    <n v="15"/>
    <s v="Kadın"/>
    <s v="Özel okul"/>
    <x v="4"/>
    <x v="6"/>
    <x v="7"/>
    <s v="Var"/>
    <x v="3"/>
    <s v="Yok"/>
    <x v="2"/>
    <n v="80"/>
    <n v="93"/>
    <n v="74"/>
    <x v="75"/>
    <s v="B"/>
    <x v="0"/>
  </r>
  <r>
    <n v="191"/>
    <n v="18"/>
    <s v="Diğer"/>
    <s v="Devlet okulu"/>
    <x v="1"/>
    <x v="4"/>
    <x v="15"/>
    <s v="Var"/>
    <x v="3"/>
    <s v="Yok"/>
    <x v="2"/>
    <n v="50"/>
    <n v="90"/>
    <n v="82"/>
    <x v="41"/>
    <s v="C"/>
    <x v="0"/>
  </r>
  <r>
    <n v="192"/>
    <n v="17"/>
    <s v="Diğer"/>
    <s v="Özel okul"/>
    <x v="2"/>
    <x v="5"/>
    <x v="7"/>
    <s v="Var"/>
    <x v="3"/>
    <s v="Yok"/>
    <x v="5"/>
    <n v="75"/>
    <n v="69"/>
    <n v="91"/>
    <x v="13"/>
    <s v="C"/>
    <x v="0"/>
  </r>
  <r>
    <n v="193"/>
    <n v="17"/>
    <s v="Kadın"/>
    <s v="Özel okul"/>
    <x v="0"/>
    <x v="5"/>
    <x v="5"/>
    <s v="Var"/>
    <x v="2"/>
    <s v="Var"/>
    <x v="1"/>
    <n v="50"/>
    <n v="71"/>
    <n v="53"/>
    <x v="17"/>
    <s v="D"/>
    <x v="0"/>
  </r>
  <r>
    <n v="194"/>
    <n v="16"/>
    <s v="Erkek"/>
    <s v="Özel okul"/>
    <x v="3"/>
    <x v="4"/>
    <x v="39"/>
    <s v="Var"/>
    <x v="0"/>
    <s v="Yok"/>
    <x v="4"/>
    <n v="47"/>
    <n v="65"/>
    <n v="71"/>
    <x v="53"/>
    <s v="C"/>
    <x v="0"/>
  </r>
  <r>
    <n v="195"/>
    <n v="19"/>
    <s v="Kadın"/>
    <s v="Özel okul"/>
    <x v="3"/>
    <x v="1"/>
    <x v="50"/>
    <s v="Var"/>
    <x v="0"/>
    <s v="Var"/>
    <x v="5"/>
    <n v="99"/>
    <n v="83"/>
    <n v="76"/>
    <x v="105"/>
    <s v="B"/>
    <x v="1"/>
  </r>
  <r>
    <n v="196"/>
    <n v="14"/>
    <s v="Diğer"/>
    <s v="Özel okul"/>
    <x v="5"/>
    <x v="5"/>
    <x v="37"/>
    <s v="Var"/>
    <x v="3"/>
    <s v="Yok"/>
    <x v="3"/>
    <n v="75"/>
    <n v="48"/>
    <n v="85"/>
    <x v="98"/>
    <s v="C"/>
    <x v="1"/>
  </r>
  <r>
    <n v="197"/>
    <n v="16"/>
    <s v="Kadın"/>
    <s v="Özel okul"/>
    <x v="4"/>
    <x v="3"/>
    <x v="17"/>
    <s v="Var"/>
    <x v="0"/>
    <s v="Var"/>
    <x v="4"/>
    <n v="56"/>
    <n v="27"/>
    <n v="61"/>
    <x v="106"/>
    <s v="D"/>
    <x v="1"/>
  </r>
  <r>
    <n v="198"/>
    <n v="14"/>
    <s v="Kadın"/>
    <s v="Özel okul"/>
    <x v="1"/>
    <x v="1"/>
    <x v="38"/>
    <s v="Var"/>
    <x v="3"/>
    <s v="Var"/>
    <x v="3"/>
    <n v="92"/>
    <n v="59"/>
    <n v="79"/>
    <x v="7"/>
    <s v="C"/>
    <x v="1"/>
  </r>
  <r>
    <n v="199"/>
    <n v="16"/>
    <s v="Kadın"/>
    <s v="Devlet okulu"/>
    <x v="4"/>
    <x v="4"/>
    <x v="26"/>
    <s v="Var"/>
    <x v="0"/>
    <s v="Var"/>
    <x v="4"/>
    <n v="55"/>
    <n v="47"/>
    <n v="58"/>
    <x v="89"/>
    <s v="D"/>
    <x v="1"/>
  </r>
  <r>
    <n v="200"/>
    <n v="19"/>
    <s v="Kadın"/>
    <s v="Devlet okulu"/>
    <x v="1"/>
    <x v="5"/>
    <x v="24"/>
    <s v="Var"/>
    <x v="2"/>
    <s v="Yok"/>
    <x v="3"/>
    <n v="75"/>
    <n v="49"/>
    <n v="84"/>
    <x v="98"/>
    <s v="C"/>
    <x v="1"/>
  </r>
  <r>
    <n v="201"/>
    <n v="16"/>
    <s v="Erkek"/>
    <s v="Devlet okulu"/>
    <x v="0"/>
    <x v="0"/>
    <x v="48"/>
    <s v="Var"/>
    <x v="1"/>
    <s v="Var"/>
    <x v="5"/>
    <n v="70"/>
    <n v="40"/>
    <n v="45"/>
    <x v="8"/>
    <s v="D"/>
    <x v="1"/>
  </r>
  <r>
    <n v="202"/>
    <n v="19"/>
    <s v="Diğer"/>
    <s v="Özel okul"/>
    <x v="0"/>
    <x v="5"/>
    <x v="9"/>
    <s v="Var"/>
    <x v="2"/>
    <s v="Yok"/>
    <x v="4"/>
    <n v="87"/>
    <n v="85"/>
    <n v="99"/>
    <x v="107"/>
    <s v="A"/>
    <x v="0"/>
  </r>
  <r>
    <n v="203"/>
    <n v="16"/>
    <s v="Erkek"/>
    <s v="Devlet okulu"/>
    <x v="2"/>
    <x v="4"/>
    <x v="10"/>
    <s v="Var"/>
    <x v="2"/>
    <s v="Yok"/>
    <x v="4"/>
    <n v="41"/>
    <n v="32"/>
    <n v="56"/>
    <x v="108"/>
    <s v="D"/>
    <x v="0"/>
  </r>
  <r>
    <n v="204"/>
    <n v="18"/>
    <s v="Diğer"/>
    <s v="Devlet okulu"/>
    <x v="1"/>
    <x v="4"/>
    <x v="17"/>
    <s v="Var"/>
    <x v="1"/>
    <s v="Var"/>
    <x v="0"/>
    <n v="59"/>
    <n v="30"/>
    <n v="69"/>
    <x v="109"/>
    <s v="D"/>
    <x v="1"/>
  </r>
  <r>
    <n v="205"/>
    <n v="16"/>
    <s v="Erkek"/>
    <s v="Devlet okulu"/>
    <x v="0"/>
    <x v="0"/>
    <x v="38"/>
    <s v="Var"/>
    <x v="0"/>
    <s v="Var"/>
    <x v="4"/>
    <n v="64"/>
    <n v="92"/>
    <n v="43"/>
    <x v="110"/>
    <s v="C"/>
    <x v="0"/>
  </r>
  <r>
    <n v="206"/>
    <n v="15"/>
    <s v="Kadın"/>
    <s v="Özel okul"/>
    <x v="4"/>
    <x v="5"/>
    <x v="30"/>
    <s v="Var"/>
    <x v="2"/>
    <s v="Yok"/>
    <x v="4"/>
    <n v="51"/>
    <n v="95"/>
    <n v="72"/>
    <x v="80"/>
    <s v="C"/>
    <x v="0"/>
  </r>
  <r>
    <n v="207"/>
    <n v="18"/>
    <s v="Kadın"/>
    <s v="Özel okul"/>
    <x v="4"/>
    <x v="6"/>
    <x v="8"/>
    <s v="Var"/>
    <x v="2"/>
    <s v="Yok"/>
    <x v="4"/>
    <n v="88"/>
    <n v="67"/>
    <n v="87"/>
    <x v="71"/>
    <s v="B"/>
    <x v="1"/>
  </r>
  <r>
    <n v="208"/>
    <n v="19"/>
    <s v="Kadın"/>
    <s v="Devlet okulu"/>
    <x v="1"/>
    <x v="4"/>
    <x v="32"/>
    <s v="Var"/>
    <x v="2"/>
    <s v="Var"/>
    <x v="4"/>
    <n v="100"/>
    <n v="65"/>
    <n v="96"/>
    <x v="29"/>
    <s v="B"/>
    <x v="1"/>
  </r>
  <r>
    <n v="209"/>
    <n v="15"/>
    <s v="Kadın"/>
    <s v="Özel okul"/>
    <x v="1"/>
    <x v="2"/>
    <x v="46"/>
    <s v="Var"/>
    <x v="1"/>
    <s v="Var"/>
    <x v="3"/>
    <n v="33"/>
    <n v="39"/>
    <n v="66"/>
    <x v="93"/>
    <s v="D"/>
    <x v="0"/>
  </r>
  <r>
    <n v="210"/>
    <n v="18"/>
    <s v="Diğer"/>
    <s v="Devlet okulu"/>
    <x v="2"/>
    <x v="0"/>
    <x v="15"/>
    <s v="Var"/>
    <x v="1"/>
    <s v="Var"/>
    <x v="0"/>
    <n v="91"/>
    <n v="66"/>
    <n v="49"/>
    <x v="88"/>
    <s v="C"/>
    <x v="1"/>
  </r>
  <r>
    <n v="211"/>
    <n v="15"/>
    <s v="Erkek"/>
    <s v="Devlet okulu"/>
    <x v="5"/>
    <x v="6"/>
    <x v="15"/>
    <s v="Var"/>
    <x v="0"/>
    <s v="Var"/>
    <x v="0"/>
    <n v="54"/>
    <n v="89"/>
    <n v="48"/>
    <x v="15"/>
    <s v="C"/>
    <x v="0"/>
  </r>
  <r>
    <n v="212"/>
    <n v="18"/>
    <s v="Diğer"/>
    <s v="Özel okul"/>
    <x v="1"/>
    <x v="1"/>
    <x v="6"/>
    <s v="Var"/>
    <x v="1"/>
    <s v="Var"/>
    <x v="2"/>
    <n v="46"/>
    <n v="27"/>
    <n v="88"/>
    <x v="81"/>
    <s v="D"/>
    <x v="0"/>
  </r>
  <r>
    <n v="213"/>
    <n v="18"/>
    <s v="Diğer"/>
    <s v="Devlet okulu"/>
    <x v="1"/>
    <x v="4"/>
    <x v="27"/>
    <s v="Yok"/>
    <x v="0"/>
    <s v="Yok"/>
    <x v="0"/>
    <n v="75"/>
    <n v="74"/>
    <n v="62"/>
    <x v="10"/>
    <s v="C"/>
    <x v="1"/>
  </r>
  <r>
    <n v="214"/>
    <n v="16"/>
    <s v="Diğer"/>
    <s v="Devlet okulu"/>
    <x v="2"/>
    <x v="5"/>
    <x v="5"/>
    <s v="Var"/>
    <x v="0"/>
    <s v="Yok"/>
    <x v="1"/>
    <n v="100"/>
    <n v="80"/>
    <n v="62"/>
    <x v="71"/>
    <s v="B"/>
    <x v="1"/>
  </r>
  <r>
    <n v="215"/>
    <n v="18"/>
    <s v="Erkek"/>
    <s v="Özel okul"/>
    <x v="0"/>
    <x v="1"/>
    <x v="41"/>
    <s v="Var"/>
    <x v="3"/>
    <s v="Var"/>
    <x v="4"/>
    <n v="43"/>
    <n v="48"/>
    <n v="89"/>
    <x v="38"/>
    <s v="C"/>
    <x v="0"/>
  </r>
  <r>
    <n v="216"/>
    <n v="15"/>
    <s v="Erkek"/>
    <s v="Devlet okulu"/>
    <x v="5"/>
    <x v="3"/>
    <x v="27"/>
    <s v="Var"/>
    <x v="2"/>
    <s v="Var"/>
    <x v="4"/>
    <n v="76"/>
    <n v="52"/>
    <n v="75"/>
    <x v="25"/>
    <s v="C"/>
    <x v="1"/>
  </r>
  <r>
    <n v="217"/>
    <n v="14"/>
    <s v="Kadın"/>
    <s v="Özel okul"/>
    <x v="0"/>
    <x v="1"/>
    <x v="8"/>
    <s v="Var"/>
    <x v="0"/>
    <s v="Yok"/>
    <x v="0"/>
    <n v="78"/>
    <n v="81"/>
    <n v="53"/>
    <x v="16"/>
    <s v="C"/>
    <x v="1"/>
  </r>
  <r>
    <n v="218"/>
    <n v="14"/>
    <s v="Erkek"/>
    <s v="Devlet okulu"/>
    <x v="1"/>
    <x v="2"/>
    <x v="25"/>
    <s v="Var"/>
    <x v="0"/>
    <s v="Yok"/>
    <x v="1"/>
    <n v="49"/>
    <n v="64"/>
    <n v="70"/>
    <x v="53"/>
    <s v="C"/>
    <x v="0"/>
  </r>
  <r>
    <n v="219"/>
    <n v="16"/>
    <s v="Diğer"/>
    <s v="Özel okul"/>
    <x v="1"/>
    <x v="6"/>
    <x v="37"/>
    <s v="Yok"/>
    <x v="3"/>
    <s v="Yok"/>
    <x v="1"/>
    <n v="56"/>
    <n v="45"/>
    <n v="66"/>
    <x v="43"/>
    <s v="D"/>
    <x v="1"/>
  </r>
  <r>
    <n v="220"/>
    <n v="19"/>
    <s v="Diğer"/>
    <s v="Özel okul"/>
    <x v="2"/>
    <x v="1"/>
    <x v="32"/>
    <s v="Var"/>
    <x v="2"/>
    <s v="Yok"/>
    <x v="1"/>
    <n v="46"/>
    <n v="33"/>
    <n v="92"/>
    <x v="97"/>
    <s v="D"/>
    <x v="0"/>
  </r>
  <r>
    <n v="221"/>
    <n v="14"/>
    <s v="Kadın"/>
    <s v="Özel okul"/>
    <x v="3"/>
    <x v="6"/>
    <x v="50"/>
    <s v="Var"/>
    <x v="2"/>
    <s v="Yok"/>
    <x v="4"/>
    <n v="92"/>
    <n v="57"/>
    <n v="87"/>
    <x v="34"/>
    <s v="C"/>
    <x v="1"/>
  </r>
  <r>
    <n v="222"/>
    <n v="16"/>
    <s v="Diğer"/>
    <s v="Devlet okulu"/>
    <x v="1"/>
    <x v="0"/>
    <x v="43"/>
    <s v="Var"/>
    <x v="2"/>
    <s v="Var"/>
    <x v="0"/>
    <n v="33"/>
    <n v="54"/>
    <n v="43"/>
    <x v="111"/>
    <s v="D"/>
    <x v="0"/>
  </r>
  <r>
    <n v="223"/>
    <n v="18"/>
    <s v="Erkek"/>
    <s v="Özel okul"/>
    <x v="2"/>
    <x v="5"/>
    <x v="13"/>
    <s v="Var"/>
    <x v="0"/>
    <s v="Yok"/>
    <x v="0"/>
    <n v="47"/>
    <n v="71"/>
    <n v="64"/>
    <x v="33"/>
    <s v="C"/>
    <x v="0"/>
  </r>
  <r>
    <n v="224"/>
    <n v="15"/>
    <s v="Diğer"/>
    <s v="Devlet okulu"/>
    <x v="3"/>
    <x v="3"/>
    <x v="0"/>
    <s v="Var"/>
    <x v="1"/>
    <s v="Yok"/>
    <x v="3"/>
    <n v="90"/>
    <n v="30"/>
    <n v="100"/>
    <x v="21"/>
    <s v="C"/>
    <x v="1"/>
  </r>
  <r>
    <n v="225"/>
    <n v="18"/>
    <s v="Erkek"/>
    <s v="Özel okul"/>
    <x v="0"/>
    <x v="1"/>
    <x v="47"/>
    <s v="Var"/>
    <x v="2"/>
    <s v="Var"/>
    <x v="1"/>
    <n v="53"/>
    <n v="38"/>
    <n v="43"/>
    <x v="112"/>
    <s v="D"/>
    <x v="1"/>
  </r>
  <r>
    <n v="226"/>
    <n v="15"/>
    <s v="Diğer"/>
    <s v="Özel okul"/>
    <x v="4"/>
    <x v="4"/>
    <x v="18"/>
    <s v="Var"/>
    <x v="1"/>
    <s v="Var"/>
    <x v="5"/>
    <n v="47"/>
    <n v="41"/>
    <n v="65"/>
    <x v="96"/>
    <s v="D"/>
    <x v="0"/>
  </r>
  <r>
    <n v="227"/>
    <n v="18"/>
    <s v="Kadın"/>
    <s v="Özel okul"/>
    <x v="5"/>
    <x v="5"/>
    <x v="14"/>
    <s v="Var"/>
    <x v="3"/>
    <s v="Yok"/>
    <x v="2"/>
    <n v="86"/>
    <n v="20"/>
    <n v="94"/>
    <x v="65"/>
    <s v="C"/>
    <x v="1"/>
  </r>
  <r>
    <n v="228"/>
    <n v="17"/>
    <s v="Kadın"/>
    <s v="Özel okul"/>
    <x v="5"/>
    <x v="6"/>
    <x v="15"/>
    <s v="Yok"/>
    <x v="0"/>
    <s v="Yok"/>
    <x v="0"/>
    <n v="94"/>
    <n v="24"/>
    <n v="65"/>
    <x v="53"/>
    <s v="C"/>
    <x v="1"/>
  </r>
  <r>
    <n v="229"/>
    <n v="17"/>
    <s v="Erkek"/>
    <s v="Özel okul"/>
    <x v="3"/>
    <x v="0"/>
    <x v="20"/>
    <s v="Yok"/>
    <x v="2"/>
    <s v="Yok"/>
    <x v="1"/>
    <n v="82"/>
    <n v="63"/>
    <n v="67"/>
    <x v="16"/>
    <s v="C"/>
    <x v="1"/>
  </r>
  <r>
    <n v="230"/>
    <n v="15"/>
    <s v="Kadın"/>
    <s v="Devlet okulu"/>
    <x v="0"/>
    <x v="0"/>
    <x v="7"/>
    <s v="Var"/>
    <x v="1"/>
    <s v="Var"/>
    <x v="4"/>
    <n v="94"/>
    <n v="45"/>
    <n v="83"/>
    <x v="41"/>
    <s v="C"/>
    <x v="1"/>
  </r>
  <r>
    <n v="231"/>
    <n v="16"/>
    <s v="Diğer"/>
    <s v="Özel okul"/>
    <x v="4"/>
    <x v="0"/>
    <x v="16"/>
    <s v="Var"/>
    <x v="0"/>
    <s v="Yok"/>
    <x v="4"/>
    <n v="53"/>
    <n v="82"/>
    <n v="80"/>
    <x v="35"/>
    <s v="C"/>
    <x v="0"/>
  </r>
  <r>
    <n v="232"/>
    <n v="19"/>
    <s v="Diğer"/>
    <s v="Özel okul"/>
    <x v="0"/>
    <x v="4"/>
    <x v="41"/>
    <s v="Var"/>
    <x v="0"/>
    <s v="Yok"/>
    <x v="2"/>
    <n v="98"/>
    <n v="41"/>
    <n v="93"/>
    <x v="2"/>
    <s v="C"/>
    <x v="1"/>
  </r>
  <r>
    <n v="233"/>
    <n v="14"/>
    <s v="Kadın"/>
    <s v="Devlet okulu"/>
    <x v="3"/>
    <x v="2"/>
    <x v="12"/>
    <s v="Var"/>
    <x v="3"/>
    <s v="Var"/>
    <x v="1"/>
    <n v="51"/>
    <n v="36"/>
    <n v="49"/>
    <x v="69"/>
    <s v="D"/>
    <x v="1"/>
  </r>
  <r>
    <n v="234"/>
    <n v="18"/>
    <s v="Erkek"/>
    <s v="Devlet okulu"/>
    <x v="4"/>
    <x v="2"/>
    <x v="20"/>
    <s v="Var"/>
    <x v="2"/>
    <s v="Yok"/>
    <x v="1"/>
    <n v="76"/>
    <n v="51"/>
    <n v="44"/>
    <x v="97"/>
    <s v="D"/>
    <x v="1"/>
  </r>
  <r>
    <n v="235"/>
    <n v="16"/>
    <s v="Kadın"/>
    <s v="Özel okul"/>
    <x v="1"/>
    <x v="6"/>
    <x v="41"/>
    <s v="Var"/>
    <x v="3"/>
    <s v="Var"/>
    <x v="4"/>
    <n v="37"/>
    <n v="31"/>
    <n v="47"/>
    <x v="113"/>
    <s v="F"/>
    <x v="0"/>
  </r>
  <r>
    <n v="236"/>
    <n v="18"/>
    <s v="Diğer"/>
    <s v="Özel okul"/>
    <x v="4"/>
    <x v="5"/>
    <x v="1"/>
    <s v="Var"/>
    <x v="1"/>
    <s v="Yok"/>
    <x v="4"/>
    <n v="50"/>
    <n v="47"/>
    <n v="77"/>
    <x v="17"/>
    <s v="D"/>
    <x v="0"/>
  </r>
  <r>
    <n v="237"/>
    <n v="17"/>
    <s v="Erkek"/>
    <s v="Özel okul"/>
    <x v="1"/>
    <x v="5"/>
    <x v="37"/>
    <s v="Yok"/>
    <x v="3"/>
    <s v="Yok"/>
    <x v="0"/>
    <n v="68"/>
    <n v="48"/>
    <n v="55"/>
    <x v="97"/>
    <s v="D"/>
    <x v="1"/>
  </r>
  <r>
    <n v="238"/>
    <n v="16"/>
    <s v="Diğer"/>
    <s v="Devlet okulu"/>
    <x v="3"/>
    <x v="4"/>
    <x v="45"/>
    <s v="Var"/>
    <x v="2"/>
    <s v="Yok"/>
    <x v="3"/>
    <n v="74"/>
    <n v="72"/>
    <n v="50"/>
    <x v="52"/>
    <s v="C"/>
    <x v="1"/>
  </r>
  <r>
    <n v="239"/>
    <n v="15"/>
    <s v="Diğer"/>
    <s v="Devlet okulu"/>
    <x v="3"/>
    <x v="6"/>
    <x v="5"/>
    <s v="Var"/>
    <x v="1"/>
    <s v="Yok"/>
    <x v="3"/>
    <n v="63"/>
    <n v="87"/>
    <n v="61"/>
    <x v="10"/>
    <s v="C"/>
    <x v="0"/>
  </r>
  <r>
    <n v="240"/>
    <n v="17"/>
    <s v="Diğer"/>
    <s v="Devlet okulu"/>
    <x v="1"/>
    <x v="1"/>
    <x v="20"/>
    <s v="Var"/>
    <x v="0"/>
    <s v="Var"/>
    <x v="2"/>
    <n v="59"/>
    <n v="73"/>
    <n v="49"/>
    <x v="57"/>
    <s v="C"/>
    <x v="0"/>
  </r>
  <r>
    <n v="241"/>
    <n v="14"/>
    <s v="Kadın"/>
    <s v="Devlet okulu"/>
    <x v="4"/>
    <x v="6"/>
    <x v="47"/>
    <s v="Var"/>
    <x v="1"/>
    <s v="Yok"/>
    <x v="5"/>
    <n v="38"/>
    <n v="21"/>
    <n v="95"/>
    <x v="79"/>
    <s v="D"/>
    <x v="0"/>
  </r>
  <r>
    <n v="242"/>
    <n v="17"/>
    <s v="Erkek"/>
    <s v="Devlet okulu"/>
    <x v="1"/>
    <x v="2"/>
    <x v="20"/>
    <s v="Var"/>
    <x v="0"/>
    <s v="Var"/>
    <x v="4"/>
    <n v="81"/>
    <n v="47"/>
    <n v="77"/>
    <x v="47"/>
    <s v="C"/>
    <x v="1"/>
  </r>
  <r>
    <n v="243"/>
    <n v="14"/>
    <s v="Erkek"/>
    <s v="Devlet okulu"/>
    <x v="4"/>
    <x v="5"/>
    <x v="38"/>
    <s v="Yok"/>
    <x v="0"/>
    <s v="Yok"/>
    <x v="5"/>
    <n v="68"/>
    <n v="51"/>
    <n v="90"/>
    <x v="19"/>
    <s v="C"/>
    <x v="0"/>
  </r>
  <r>
    <n v="244"/>
    <n v="17"/>
    <s v="Diğer"/>
    <s v="Özel okul"/>
    <x v="3"/>
    <x v="4"/>
    <x v="23"/>
    <s v="Var"/>
    <x v="2"/>
    <s v="Yok"/>
    <x v="0"/>
    <n v="96"/>
    <n v="32"/>
    <n v="86"/>
    <x v="51"/>
    <s v="C"/>
    <x v="1"/>
  </r>
  <r>
    <n v="245"/>
    <n v="17"/>
    <s v="Kadın"/>
    <s v="Devlet okulu"/>
    <x v="0"/>
    <x v="1"/>
    <x v="38"/>
    <s v="Yok"/>
    <x v="0"/>
    <s v="Var"/>
    <x v="4"/>
    <n v="79"/>
    <n v="66"/>
    <n v="46"/>
    <x v="15"/>
    <s v="C"/>
    <x v="1"/>
  </r>
  <r>
    <n v="246"/>
    <n v="14"/>
    <s v="Erkek"/>
    <s v="Devlet okulu"/>
    <x v="3"/>
    <x v="3"/>
    <x v="10"/>
    <s v="Var"/>
    <x v="1"/>
    <s v="Var"/>
    <x v="3"/>
    <n v="52"/>
    <n v="42"/>
    <n v="64"/>
    <x v="109"/>
    <s v="D"/>
    <x v="0"/>
  </r>
  <r>
    <n v="247"/>
    <n v="18"/>
    <s v="Diğer"/>
    <s v="Devlet okulu"/>
    <x v="0"/>
    <x v="2"/>
    <x v="25"/>
    <s v="Var"/>
    <x v="3"/>
    <s v="Yok"/>
    <x v="0"/>
    <n v="70"/>
    <n v="46"/>
    <n v="59"/>
    <x v="31"/>
    <s v="D"/>
    <x v="1"/>
  </r>
  <r>
    <n v="248"/>
    <n v="16"/>
    <s v="Erkek"/>
    <s v="Özel okul"/>
    <x v="3"/>
    <x v="1"/>
    <x v="33"/>
    <s v="Var"/>
    <x v="0"/>
    <s v="Yok"/>
    <x v="5"/>
    <n v="98"/>
    <n v="20"/>
    <n v="76"/>
    <x v="101"/>
    <s v="C"/>
    <x v="1"/>
  </r>
  <r>
    <n v="249"/>
    <n v="18"/>
    <s v="Diğer"/>
    <s v="Özel okul"/>
    <x v="5"/>
    <x v="1"/>
    <x v="32"/>
    <s v="Var"/>
    <x v="3"/>
    <s v="Yok"/>
    <x v="3"/>
    <n v="41"/>
    <n v="78"/>
    <n v="79"/>
    <x v="114"/>
    <s v="C"/>
    <x v="0"/>
  </r>
  <r>
    <n v="250"/>
    <n v="14"/>
    <s v="Kadın"/>
    <s v="Devlet okulu"/>
    <x v="2"/>
    <x v="5"/>
    <x v="44"/>
    <s v="Var"/>
    <x v="0"/>
    <s v="Yok"/>
    <x v="0"/>
    <n v="30"/>
    <n v="98"/>
    <n v="55"/>
    <x v="53"/>
    <s v="C"/>
    <x v="0"/>
  </r>
  <r>
    <n v="251"/>
    <n v="15"/>
    <s v="Kadın"/>
    <s v="Özel okul"/>
    <x v="5"/>
    <x v="0"/>
    <x v="31"/>
    <s v="Var"/>
    <x v="3"/>
    <s v="Yok"/>
    <x v="5"/>
    <n v="61"/>
    <n v="87"/>
    <n v="79"/>
    <x v="78"/>
    <s v="C"/>
    <x v="0"/>
  </r>
  <r>
    <n v="252"/>
    <n v="16"/>
    <s v="Erkek"/>
    <s v="Özel okul"/>
    <x v="3"/>
    <x v="3"/>
    <x v="29"/>
    <s v="Var"/>
    <x v="1"/>
    <s v="Var"/>
    <x v="2"/>
    <n v="74"/>
    <n v="90"/>
    <n v="61"/>
    <x v="115"/>
    <s v="C"/>
    <x v="0"/>
  </r>
  <r>
    <n v="253"/>
    <n v="15"/>
    <s v="Erkek"/>
    <s v="Devlet okulu"/>
    <x v="4"/>
    <x v="5"/>
    <x v="25"/>
    <s v="Var"/>
    <x v="0"/>
    <s v="Var"/>
    <x v="0"/>
    <n v="30"/>
    <n v="62"/>
    <n v="68"/>
    <x v="89"/>
    <s v="D"/>
    <x v="0"/>
  </r>
  <r>
    <n v="254"/>
    <n v="15"/>
    <s v="Diğer"/>
    <s v="Özel okul"/>
    <x v="4"/>
    <x v="2"/>
    <x v="5"/>
    <s v="Yok"/>
    <x v="2"/>
    <s v="Var"/>
    <x v="0"/>
    <n v="51"/>
    <n v="84"/>
    <n v="85"/>
    <x v="21"/>
    <s v="C"/>
    <x v="0"/>
  </r>
  <r>
    <n v="255"/>
    <n v="17"/>
    <s v="Kadın"/>
    <s v="Özel okul"/>
    <x v="3"/>
    <x v="0"/>
    <x v="19"/>
    <s v="Var"/>
    <x v="3"/>
    <s v="Yok"/>
    <x v="1"/>
    <n v="98"/>
    <n v="52"/>
    <n v="54"/>
    <x v="64"/>
    <s v="C"/>
    <x v="1"/>
  </r>
  <r>
    <n v="256"/>
    <n v="14"/>
    <s v="Diğer"/>
    <s v="Devlet okulu"/>
    <x v="4"/>
    <x v="2"/>
    <x v="20"/>
    <s v="Var"/>
    <x v="1"/>
    <s v="Yok"/>
    <x v="2"/>
    <n v="95"/>
    <n v="29"/>
    <n v="44"/>
    <x v="90"/>
    <s v="D"/>
    <x v="1"/>
  </r>
  <r>
    <n v="257"/>
    <n v="18"/>
    <s v="Diğer"/>
    <s v="Özel okul"/>
    <x v="2"/>
    <x v="1"/>
    <x v="3"/>
    <s v="Yok"/>
    <x v="3"/>
    <s v="Yok"/>
    <x v="3"/>
    <n v="59"/>
    <n v="27"/>
    <n v="58"/>
    <x v="106"/>
    <s v="D"/>
    <x v="1"/>
  </r>
  <r>
    <n v="258"/>
    <n v="14"/>
    <s v="Erkek"/>
    <s v="Devlet okulu"/>
    <x v="4"/>
    <x v="2"/>
    <x v="1"/>
    <s v="Var"/>
    <x v="2"/>
    <s v="Var"/>
    <x v="4"/>
    <n v="36"/>
    <n v="46"/>
    <n v="73"/>
    <x v="8"/>
    <s v="D"/>
    <x v="0"/>
  </r>
  <r>
    <n v="259"/>
    <n v="15"/>
    <s v="Kadın"/>
    <s v="Devlet okulu"/>
    <x v="4"/>
    <x v="3"/>
    <x v="50"/>
    <s v="Var"/>
    <x v="0"/>
    <s v="Var"/>
    <x v="1"/>
    <n v="86"/>
    <n v="92"/>
    <n v="94"/>
    <x v="116"/>
    <s v="A"/>
    <x v="0"/>
  </r>
  <r>
    <n v="260"/>
    <n v="17"/>
    <s v="Diğer"/>
    <s v="Devlet okulu"/>
    <x v="2"/>
    <x v="0"/>
    <x v="48"/>
    <s v="Var"/>
    <x v="3"/>
    <s v="Yok"/>
    <x v="2"/>
    <n v="33"/>
    <n v="82"/>
    <n v="47"/>
    <x v="39"/>
    <s v="D"/>
    <x v="0"/>
  </r>
  <r>
    <n v="261"/>
    <n v="18"/>
    <s v="Kadın"/>
    <s v="Devlet okulu"/>
    <x v="0"/>
    <x v="0"/>
    <x v="37"/>
    <s v="Var"/>
    <x v="2"/>
    <s v="Var"/>
    <x v="2"/>
    <n v="57"/>
    <n v="95"/>
    <n v="55"/>
    <x v="26"/>
    <s v="C"/>
    <x v="0"/>
  </r>
  <r>
    <n v="262"/>
    <n v="15"/>
    <s v="Kadın"/>
    <s v="Özel okul"/>
    <x v="1"/>
    <x v="4"/>
    <x v="47"/>
    <s v="Var"/>
    <x v="1"/>
    <s v="Yok"/>
    <x v="1"/>
    <n v="44"/>
    <n v="76"/>
    <n v="88"/>
    <x v="98"/>
    <s v="C"/>
    <x v="0"/>
  </r>
  <r>
    <n v="263"/>
    <n v="15"/>
    <s v="Kadın"/>
    <s v="Özel okul"/>
    <x v="5"/>
    <x v="5"/>
    <x v="44"/>
    <s v="Yok"/>
    <x v="3"/>
    <s v="Yok"/>
    <x v="3"/>
    <n v="51"/>
    <n v="94"/>
    <n v="74"/>
    <x v="24"/>
    <s v="C"/>
    <x v="0"/>
  </r>
  <r>
    <n v="264"/>
    <n v="19"/>
    <s v="Diğer"/>
    <s v="Devlet okulu"/>
    <x v="0"/>
    <x v="4"/>
    <x v="27"/>
    <s v="Var"/>
    <x v="1"/>
    <s v="Yok"/>
    <x v="2"/>
    <n v="90"/>
    <n v="43"/>
    <n v="98"/>
    <x v="117"/>
    <s v="C"/>
    <x v="1"/>
  </r>
  <r>
    <n v="265"/>
    <n v="19"/>
    <s v="Diğer"/>
    <s v="Devlet okulu"/>
    <x v="2"/>
    <x v="2"/>
    <x v="18"/>
    <s v="Var"/>
    <x v="3"/>
    <s v="Yok"/>
    <x v="5"/>
    <n v="68"/>
    <n v="100"/>
    <n v="76"/>
    <x v="46"/>
    <s v="B"/>
    <x v="0"/>
  </r>
  <r>
    <n v="266"/>
    <n v="17"/>
    <s v="Diğer"/>
    <s v="Özel okul"/>
    <x v="2"/>
    <x v="5"/>
    <x v="15"/>
    <s v="Var"/>
    <x v="0"/>
    <s v="Yok"/>
    <x v="2"/>
    <n v="49"/>
    <n v="25"/>
    <n v="53"/>
    <x v="118"/>
    <s v="D"/>
    <x v="1"/>
  </r>
  <r>
    <n v="267"/>
    <n v="16"/>
    <s v="Kadın"/>
    <s v="Özel okul"/>
    <x v="5"/>
    <x v="5"/>
    <x v="37"/>
    <s v="Var"/>
    <x v="0"/>
    <s v="Yok"/>
    <x v="3"/>
    <n v="74"/>
    <n v="99"/>
    <n v="90"/>
    <x v="119"/>
    <s v="B"/>
    <x v="0"/>
  </r>
  <r>
    <n v="268"/>
    <n v="16"/>
    <s v="Kadın"/>
    <s v="Özel okul"/>
    <x v="2"/>
    <x v="5"/>
    <x v="7"/>
    <s v="Var"/>
    <x v="3"/>
    <s v="Var"/>
    <x v="5"/>
    <n v="44"/>
    <n v="20"/>
    <n v="87"/>
    <x v="120"/>
    <s v="D"/>
    <x v="0"/>
  </r>
  <r>
    <n v="269"/>
    <n v="17"/>
    <s v="Kadın"/>
    <s v="Özel okul"/>
    <x v="3"/>
    <x v="4"/>
    <x v="33"/>
    <s v="Yok"/>
    <x v="0"/>
    <s v="Yok"/>
    <x v="1"/>
    <n v="75"/>
    <n v="50"/>
    <n v="42"/>
    <x v="43"/>
    <s v="D"/>
    <x v="1"/>
  </r>
  <r>
    <n v="270"/>
    <n v="17"/>
    <s v="Erkek"/>
    <s v="Özel okul"/>
    <x v="1"/>
    <x v="5"/>
    <x v="26"/>
    <s v="Var"/>
    <x v="2"/>
    <s v="Var"/>
    <x v="4"/>
    <n v="54"/>
    <n v="57"/>
    <n v="98"/>
    <x v="19"/>
    <s v="C"/>
    <x v="0"/>
  </r>
  <r>
    <n v="271"/>
    <n v="15"/>
    <s v="Diğer"/>
    <s v="Devlet okulu"/>
    <x v="5"/>
    <x v="3"/>
    <x v="27"/>
    <s v="Var"/>
    <x v="3"/>
    <s v="Yok"/>
    <x v="2"/>
    <n v="95"/>
    <n v="65"/>
    <n v="52"/>
    <x v="16"/>
    <s v="C"/>
    <x v="1"/>
  </r>
  <r>
    <n v="272"/>
    <n v="14"/>
    <s v="Erkek"/>
    <s v="Özel okul"/>
    <x v="2"/>
    <x v="1"/>
    <x v="41"/>
    <s v="Var"/>
    <x v="0"/>
    <s v="Yok"/>
    <x v="2"/>
    <n v="30"/>
    <n v="43"/>
    <n v="78"/>
    <x v="120"/>
    <s v="D"/>
    <x v="0"/>
  </r>
  <r>
    <n v="273"/>
    <n v="14"/>
    <s v="Diğer"/>
    <s v="Özel okul"/>
    <x v="1"/>
    <x v="5"/>
    <x v="41"/>
    <s v="Var"/>
    <x v="0"/>
    <s v="Yok"/>
    <x v="5"/>
    <n v="71"/>
    <n v="48"/>
    <n v="55"/>
    <x v="17"/>
    <s v="D"/>
    <x v="1"/>
  </r>
  <r>
    <n v="274"/>
    <n v="19"/>
    <s v="Kadın"/>
    <s v="Devlet okulu"/>
    <x v="4"/>
    <x v="0"/>
    <x v="3"/>
    <s v="Var"/>
    <x v="0"/>
    <s v="Var"/>
    <x v="1"/>
    <n v="53"/>
    <n v="61"/>
    <n v="80"/>
    <x v="101"/>
    <s v="C"/>
    <x v="0"/>
  </r>
  <r>
    <n v="275"/>
    <n v="16"/>
    <s v="Diğer"/>
    <s v="Özel okul"/>
    <x v="4"/>
    <x v="1"/>
    <x v="17"/>
    <s v="Var"/>
    <x v="2"/>
    <s v="Yok"/>
    <x v="5"/>
    <n v="41"/>
    <n v="71"/>
    <n v="49"/>
    <x v="81"/>
    <s v="D"/>
    <x v="0"/>
  </r>
  <r>
    <n v="276"/>
    <n v="16"/>
    <s v="Diğer"/>
    <s v="Devlet okulu"/>
    <x v="4"/>
    <x v="1"/>
    <x v="46"/>
    <s v="Var"/>
    <x v="3"/>
    <s v="Yok"/>
    <x v="5"/>
    <n v="85"/>
    <n v="58"/>
    <n v="50"/>
    <x v="14"/>
    <s v="C"/>
    <x v="1"/>
  </r>
  <r>
    <n v="277"/>
    <n v="16"/>
    <s v="Kadın"/>
    <s v="Devlet okulu"/>
    <x v="3"/>
    <x v="6"/>
    <x v="21"/>
    <s v="Var"/>
    <x v="2"/>
    <s v="Yok"/>
    <x v="4"/>
    <n v="44"/>
    <n v="83"/>
    <n v="48"/>
    <x v="31"/>
    <s v="D"/>
    <x v="0"/>
  </r>
  <r>
    <n v="278"/>
    <n v="18"/>
    <s v="Kadın"/>
    <s v="Özel okul"/>
    <x v="4"/>
    <x v="3"/>
    <x v="33"/>
    <s v="Var"/>
    <x v="0"/>
    <s v="Var"/>
    <x v="0"/>
    <n v="96"/>
    <n v="94"/>
    <n v="71"/>
    <x v="29"/>
    <s v="B"/>
    <x v="1"/>
  </r>
  <r>
    <n v="279"/>
    <n v="14"/>
    <s v="Kadın"/>
    <s v="Devlet okulu"/>
    <x v="2"/>
    <x v="3"/>
    <x v="0"/>
    <s v="Var"/>
    <x v="3"/>
    <s v="Yok"/>
    <x v="1"/>
    <n v="77"/>
    <n v="81"/>
    <n v="53"/>
    <x v="10"/>
    <s v="C"/>
    <x v="1"/>
  </r>
  <r>
    <n v="280"/>
    <n v="14"/>
    <s v="Kadın"/>
    <s v="Devlet okulu"/>
    <x v="0"/>
    <x v="5"/>
    <x v="16"/>
    <s v="Var"/>
    <x v="1"/>
    <s v="Var"/>
    <x v="1"/>
    <n v="74"/>
    <n v="32"/>
    <n v="82"/>
    <x v="30"/>
    <s v="C"/>
    <x v="1"/>
  </r>
  <r>
    <n v="281"/>
    <n v="15"/>
    <s v="Erkek"/>
    <s v="Özel okul"/>
    <x v="2"/>
    <x v="6"/>
    <x v="7"/>
    <s v="Var"/>
    <x v="0"/>
    <s v="Yok"/>
    <x v="5"/>
    <n v="64"/>
    <n v="77"/>
    <n v="88"/>
    <x v="121"/>
    <s v="C"/>
    <x v="0"/>
  </r>
  <r>
    <n v="282"/>
    <n v="16"/>
    <s v="Erkek"/>
    <s v="Özel okul"/>
    <x v="5"/>
    <x v="5"/>
    <x v="42"/>
    <s v="Var"/>
    <x v="0"/>
    <s v="Yok"/>
    <x v="5"/>
    <n v="36"/>
    <n v="81"/>
    <n v="82"/>
    <x v="110"/>
    <s v="C"/>
    <x v="0"/>
  </r>
  <r>
    <n v="283"/>
    <n v="18"/>
    <s v="Diğer"/>
    <s v="Özel okul"/>
    <x v="3"/>
    <x v="1"/>
    <x v="25"/>
    <s v="Var"/>
    <x v="0"/>
    <s v="Yok"/>
    <x v="1"/>
    <n v="86"/>
    <n v="89"/>
    <n v="44"/>
    <x v="24"/>
    <s v="C"/>
    <x v="1"/>
  </r>
  <r>
    <n v="284"/>
    <n v="16"/>
    <s v="Diğer"/>
    <s v="Özel okul"/>
    <x v="4"/>
    <x v="5"/>
    <x v="49"/>
    <s v="Var"/>
    <x v="2"/>
    <s v="Var"/>
    <x v="4"/>
    <n v="38"/>
    <n v="62"/>
    <n v="95"/>
    <x v="4"/>
    <s v="C"/>
    <x v="0"/>
  </r>
  <r>
    <n v="285"/>
    <n v="16"/>
    <s v="Erkek"/>
    <s v="Özel okul"/>
    <x v="2"/>
    <x v="6"/>
    <x v="11"/>
    <s v="Var"/>
    <x v="0"/>
    <s v="Var"/>
    <x v="0"/>
    <n v="55"/>
    <n v="47"/>
    <n v="46"/>
    <x v="122"/>
    <s v="D"/>
    <x v="1"/>
  </r>
  <r>
    <n v="286"/>
    <n v="19"/>
    <s v="Erkek"/>
    <s v="Devlet okulu"/>
    <x v="4"/>
    <x v="2"/>
    <x v="27"/>
    <s v="Var"/>
    <x v="3"/>
    <s v="Yok"/>
    <x v="4"/>
    <n v="58"/>
    <n v="43"/>
    <n v="62"/>
    <x v="123"/>
    <s v="D"/>
    <x v="1"/>
  </r>
  <r>
    <n v="287"/>
    <n v="14"/>
    <s v="Kadın"/>
    <s v="Devlet okulu"/>
    <x v="0"/>
    <x v="6"/>
    <x v="8"/>
    <s v="Var"/>
    <x v="3"/>
    <s v="Yok"/>
    <x v="0"/>
    <n v="38"/>
    <n v="48"/>
    <n v="78"/>
    <x v="124"/>
    <s v="D"/>
    <x v="0"/>
  </r>
  <r>
    <n v="288"/>
    <n v="17"/>
    <s v="Diğer"/>
    <s v="Devlet okulu"/>
    <x v="5"/>
    <x v="4"/>
    <x v="2"/>
    <s v="Var"/>
    <x v="3"/>
    <s v="Var"/>
    <x v="1"/>
    <n v="40"/>
    <n v="83"/>
    <n v="76"/>
    <x v="110"/>
    <s v="C"/>
    <x v="0"/>
  </r>
  <r>
    <n v="289"/>
    <n v="17"/>
    <s v="Diğer"/>
    <s v="Devlet okulu"/>
    <x v="0"/>
    <x v="5"/>
    <x v="26"/>
    <s v="Yok"/>
    <x v="0"/>
    <s v="Var"/>
    <x v="5"/>
    <n v="98"/>
    <n v="94"/>
    <n v="52"/>
    <x v="46"/>
    <s v="B"/>
    <x v="1"/>
  </r>
  <r>
    <n v="290"/>
    <n v="16"/>
    <s v="Diğer"/>
    <s v="Devlet okulu"/>
    <x v="1"/>
    <x v="5"/>
    <x v="42"/>
    <s v="Var"/>
    <x v="2"/>
    <s v="Var"/>
    <x v="2"/>
    <n v="42"/>
    <n v="54"/>
    <n v="86"/>
    <x v="33"/>
    <s v="C"/>
    <x v="0"/>
  </r>
  <r>
    <n v="291"/>
    <n v="18"/>
    <s v="Erkek"/>
    <s v="Devlet okulu"/>
    <x v="1"/>
    <x v="6"/>
    <x v="36"/>
    <s v="Var"/>
    <x v="3"/>
    <s v="Yok"/>
    <x v="3"/>
    <n v="38"/>
    <n v="92"/>
    <n v="99"/>
    <x v="121"/>
    <s v="C"/>
    <x v="0"/>
  </r>
  <r>
    <n v="292"/>
    <n v="15"/>
    <s v="Erkek"/>
    <s v="Devlet okulu"/>
    <x v="5"/>
    <x v="6"/>
    <x v="33"/>
    <s v="Yok"/>
    <x v="3"/>
    <s v="Var"/>
    <x v="1"/>
    <n v="37"/>
    <n v="36"/>
    <n v="85"/>
    <x v="109"/>
    <s v="D"/>
    <x v="0"/>
  </r>
  <r>
    <n v="293"/>
    <n v="19"/>
    <s v="Kadın"/>
    <s v="Devlet okulu"/>
    <x v="5"/>
    <x v="5"/>
    <x v="1"/>
    <s v="Yok"/>
    <x v="1"/>
    <s v="Var"/>
    <x v="2"/>
    <n v="77"/>
    <n v="47"/>
    <n v="86"/>
    <x v="48"/>
    <s v="C"/>
    <x v="1"/>
  </r>
  <r>
    <n v="294"/>
    <n v="15"/>
    <s v="Erkek"/>
    <s v="Özel okul"/>
    <x v="0"/>
    <x v="1"/>
    <x v="3"/>
    <s v="Var"/>
    <x v="0"/>
    <s v="Yok"/>
    <x v="4"/>
    <n v="79"/>
    <n v="64"/>
    <n v="90"/>
    <x v="59"/>
    <s v="C"/>
    <x v="1"/>
  </r>
  <r>
    <n v="295"/>
    <n v="17"/>
    <s v="Kadın"/>
    <s v="Devlet okulu"/>
    <x v="3"/>
    <x v="1"/>
    <x v="14"/>
    <s v="Var"/>
    <x v="1"/>
    <s v="Yok"/>
    <x v="5"/>
    <n v="44"/>
    <n v="66"/>
    <n v="97"/>
    <x v="26"/>
    <s v="C"/>
    <x v="0"/>
  </r>
  <r>
    <n v="296"/>
    <n v="17"/>
    <s v="Kadın"/>
    <s v="Özel okul"/>
    <x v="2"/>
    <x v="1"/>
    <x v="49"/>
    <s v="Var"/>
    <x v="2"/>
    <s v="Yok"/>
    <x v="3"/>
    <n v="75"/>
    <n v="95"/>
    <n v="81"/>
    <x v="95"/>
    <s v="B"/>
    <x v="0"/>
  </r>
  <r>
    <n v="297"/>
    <n v="19"/>
    <s v="Diğer"/>
    <s v="Devlet okulu"/>
    <x v="2"/>
    <x v="5"/>
    <x v="48"/>
    <s v="Var"/>
    <x v="2"/>
    <s v="Var"/>
    <x v="0"/>
    <n v="32"/>
    <n v="56"/>
    <n v="83"/>
    <x v="97"/>
    <s v="D"/>
    <x v="0"/>
  </r>
  <r>
    <n v="298"/>
    <n v="16"/>
    <s v="Erkek"/>
    <s v="Devlet okulu"/>
    <x v="2"/>
    <x v="0"/>
    <x v="31"/>
    <s v="Var"/>
    <x v="1"/>
    <s v="Var"/>
    <x v="0"/>
    <n v="65"/>
    <n v="47"/>
    <n v="68"/>
    <x v="38"/>
    <s v="C"/>
    <x v="1"/>
  </r>
  <r>
    <n v="299"/>
    <n v="15"/>
    <s v="Diğer"/>
    <s v="Devlet okulu"/>
    <x v="5"/>
    <x v="4"/>
    <x v="27"/>
    <s v="Var"/>
    <x v="2"/>
    <s v="Yok"/>
    <x v="1"/>
    <n v="76"/>
    <n v="69"/>
    <n v="68"/>
    <x v="103"/>
    <s v="C"/>
    <x v="1"/>
  </r>
  <r>
    <n v="300"/>
    <n v="14"/>
    <s v="Diğer"/>
    <s v="Özel okul"/>
    <x v="3"/>
    <x v="6"/>
    <x v="26"/>
    <s v="Var"/>
    <x v="1"/>
    <s v="Yok"/>
    <x v="0"/>
    <n v="73"/>
    <n v="55"/>
    <n v="89"/>
    <x v="37"/>
    <s v="C"/>
    <x v="1"/>
  </r>
  <r>
    <n v="301"/>
    <n v="16"/>
    <s v="Diğer"/>
    <s v="Özel okul"/>
    <x v="5"/>
    <x v="1"/>
    <x v="46"/>
    <s v="Var"/>
    <x v="3"/>
    <s v="Var"/>
    <x v="4"/>
    <n v="53"/>
    <n v="92"/>
    <n v="65"/>
    <x v="48"/>
    <s v="C"/>
    <x v="0"/>
  </r>
  <r>
    <n v="302"/>
    <n v="18"/>
    <s v="Diğer"/>
    <s v="Devlet okulu"/>
    <x v="0"/>
    <x v="4"/>
    <x v="3"/>
    <s v="Var"/>
    <x v="2"/>
    <s v="Yok"/>
    <x v="0"/>
    <n v="35"/>
    <n v="56"/>
    <n v="74"/>
    <x v="125"/>
    <s v="D"/>
    <x v="0"/>
  </r>
  <r>
    <n v="303"/>
    <n v="14"/>
    <s v="Diğer"/>
    <s v="Devlet okulu"/>
    <x v="1"/>
    <x v="5"/>
    <x v="42"/>
    <s v="Var"/>
    <x v="2"/>
    <s v="Yok"/>
    <x v="1"/>
    <n v="97"/>
    <n v="94"/>
    <n v="73"/>
    <x v="82"/>
    <s v="B"/>
    <x v="1"/>
  </r>
  <r>
    <n v="304"/>
    <n v="19"/>
    <s v="Erkek"/>
    <s v="Özel okul"/>
    <x v="2"/>
    <x v="5"/>
    <x v="38"/>
    <s v="Yok"/>
    <x v="1"/>
    <s v="Var"/>
    <x v="1"/>
    <n v="71"/>
    <n v="92"/>
    <n v="63"/>
    <x v="58"/>
    <s v="C"/>
    <x v="0"/>
  </r>
  <r>
    <n v="305"/>
    <n v="17"/>
    <s v="Kadın"/>
    <s v="Devlet okulu"/>
    <x v="2"/>
    <x v="2"/>
    <x v="41"/>
    <s v="Var"/>
    <x v="1"/>
    <s v="Yok"/>
    <x v="4"/>
    <n v="53"/>
    <n v="53"/>
    <n v="52"/>
    <x v="109"/>
    <s v="D"/>
    <x v="1"/>
  </r>
  <r>
    <n v="306"/>
    <n v="14"/>
    <s v="Kadın"/>
    <s v="Özel okul"/>
    <x v="0"/>
    <x v="4"/>
    <x v="37"/>
    <s v="Var"/>
    <x v="1"/>
    <s v="Var"/>
    <x v="2"/>
    <n v="87"/>
    <n v="84"/>
    <n v="55"/>
    <x v="58"/>
    <s v="C"/>
    <x v="1"/>
  </r>
  <r>
    <n v="307"/>
    <n v="15"/>
    <s v="Diğer"/>
    <s v="Özel okul"/>
    <x v="0"/>
    <x v="3"/>
    <x v="8"/>
    <s v="Var"/>
    <x v="1"/>
    <s v="Yok"/>
    <x v="4"/>
    <n v="94"/>
    <n v="91"/>
    <n v="54"/>
    <x v="23"/>
    <s v="C"/>
    <x v="1"/>
  </r>
  <r>
    <n v="308"/>
    <n v="17"/>
    <s v="Erkek"/>
    <s v="Devlet okulu"/>
    <x v="1"/>
    <x v="3"/>
    <x v="38"/>
    <s v="Var"/>
    <x v="2"/>
    <s v="Yok"/>
    <x v="2"/>
    <n v="30"/>
    <n v="20"/>
    <n v="83"/>
    <x v="126"/>
    <s v="D"/>
    <x v="0"/>
  </r>
  <r>
    <n v="309"/>
    <n v="15"/>
    <s v="Kadın"/>
    <s v="Özel okul"/>
    <x v="1"/>
    <x v="6"/>
    <x v="36"/>
    <s v="Var"/>
    <x v="1"/>
    <s v="Var"/>
    <x v="4"/>
    <n v="100"/>
    <n v="82"/>
    <n v="62"/>
    <x v="46"/>
    <s v="B"/>
    <x v="1"/>
  </r>
  <r>
    <n v="310"/>
    <n v="14"/>
    <s v="Erkek"/>
    <s v="Özel okul"/>
    <x v="0"/>
    <x v="3"/>
    <x v="41"/>
    <s v="Var"/>
    <x v="1"/>
    <s v="Yok"/>
    <x v="1"/>
    <n v="52"/>
    <n v="91"/>
    <n v="67"/>
    <x v="48"/>
    <s v="C"/>
    <x v="0"/>
  </r>
  <r>
    <n v="311"/>
    <n v="17"/>
    <s v="Erkek"/>
    <s v="Özel okul"/>
    <x v="0"/>
    <x v="5"/>
    <x v="31"/>
    <s v="Yok"/>
    <x v="1"/>
    <s v="Var"/>
    <x v="2"/>
    <n v="37"/>
    <n v="20"/>
    <n v="51"/>
    <x v="127"/>
    <s v="F"/>
    <x v="1"/>
  </r>
  <r>
    <n v="312"/>
    <n v="18"/>
    <s v="Diğer"/>
    <s v="Özel okul"/>
    <x v="0"/>
    <x v="4"/>
    <x v="8"/>
    <s v="Yok"/>
    <x v="2"/>
    <s v="Yok"/>
    <x v="1"/>
    <n v="30"/>
    <n v="91"/>
    <n v="87"/>
    <x v="98"/>
    <s v="C"/>
    <x v="0"/>
  </r>
  <r>
    <n v="313"/>
    <n v="14"/>
    <s v="Erkek"/>
    <s v="Devlet okulu"/>
    <x v="2"/>
    <x v="2"/>
    <x v="42"/>
    <s v="Var"/>
    <x v="3"/>
    <s v="Var"/>
    <x v="3"/>
    <n v="30"/>
    <n v="56"/>
    <n v="60"/>
    <x v="128"/>
    <s v="D"/>
    <x v="0"/>
  </r>
  <r>
    <n v="314"/>
    <n v="15"/>
    <s v="Diğer"/>
    <s v="Devlet okulu"/>
    <x v="3"/>
    <x v="4"/>
    <x v="38"/>
    <s v="Var"/>
    <x v="1"/>
    <s v="Yok"/>
    <x v="3"/>
    <n v="51"/>
    <n v="76"/>
    <n v="72"/>
    <x v="110"/>
    <s v="C"/>
    <x v="0"/>
  </r>
  <r>
    <n v="315"/>
    <n v="15"/>
    <s v="Diğer"/>
    <s v="Özel okul"/>
    <x v="4"/>
    <x v="4"/>
    <x v="22"/>
    <s v="Var"/>
    <x v="2"/>
    <s v="Var"/>
    <x v="2"/>
    <n v="92"/>
    <n v="55"/>
    <n v="57"/>
    <x v="64"/>
    <s v="C"/>
    <x v="1"/>
  </r>
  <r>
    <n v="316"/>
    <n v="17"/>
    <s v="Diğer"/>
    <s v="Devlet okulu"/>
    <x v="4"/>
    <x v="6"/>
    <x v="30"/>
    <s v="Var"/>
    <x v="3"/>
    <s v="Var"/>
    <x v="5"/>
    <n v="60"/>
    <n v="65"/>
    <n v="94"/>
    <x v="24"/>
    <s v="C"/>
    <x v="0"/>
  </r>
  <r>
    <n v="317"/>
    <n v="18"/>
    <s v="Erkek"/>
    <s v="Devlet okulu"/>
    <x v="4"/>
    <x v="2"/>
    <x v="15"/>
    <s v="Var"/>
    <x v="1"/>
    <s v="Var"/>
    <x v="1"/>
    <n v="78"/>
    <n v="57"/>
    <n v="70"/>
    <x v="47"/>
    <s v="C"/>
    <x v="1"/>
  </r>
  <r>
    <n v="318"/>
    <n v="18"/>
    <s v="Erkek"/>
    <s v="Özel okul"/>
    <x v="1"/>
    <x v="6"/>
    <x v="10"/>
    <s v="Var"/>
    <x v="0"/>
    <s v="Yok"/>
    <x v="3"/>
    <n v="78"/>
    <n v="31"/>
    <n v="79"/>
    <x v="30"/>
    <s v="C"/>
    <x v="1"/>
  </r>
  <r>
    <n v="319"/>
    <n v="19"/>
    <s v="Kadın"/>
    <s v="Devlet okulu"/>
    <x v="5"/>
    <x v="2"/>
    <x v="21"/>
    <s v="Var"/>
    <x v="3"/>
    <s v="Yok"/>
    <x v="3"/>
    <n v="32"/>
    <n v="82"/>
    <n v="75"/>
    <x v="49"/>
    <s v="C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talama Telefonda Geçirilen Süre" fld="8" subtotal="average" baseField="15" baseItem="0"/>
  </dataFields>
  <formats count="5">
    <format dxfId="15">
      <pivotArea collapsedLevelsAreSubtotals="1" fieldPosition="0">
        <references count="1">
          <reference field="15" count="1">
            <x v="1"/>
          </reference>
        </references>
      </pivotArea>
    </format>
    <format dxfId="14">
      <pivotArea collapsedLevelsAreSubtotals="1" fieldPosition="0">
        <references count="1">
          <reference field="15" count="1">
            <x v="0"/>
          </reference>
        </references>
      </pivotArea>
    </format>
    <format dxfId="13">
      <pivotArea collapsedLevelsAreSubtotals="1" fieldPosition="0">
        <references count="1">
          <reference field="15" count="1">
            <x v="2"/>
          </reference>
        </references>
      </pivotArea>
    </format>
    <format dxfId="12">
      <pivotArea collapsedLevelsAreSubtotals="1" fieldPosition="0">
        <references count="1">
          <reference field="15" count="1">
            <x v="3"/>
          </reference>
        </references>
      </pivotArea>
    </format>
    <format dxfId="11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A3:B10" firstHeaderRow="1" firstDataRow="1" firstDataCol="1" rowPageCount="1" colPageCount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showAll="0"/>
    <pivotField axis="axisPage" multipleItemSelectionAllowed="1" showAll="0">
      <items count="130">
        <item h="1" x="127"/>
        <item h="1" x="60"/>
        <item h="1" x="113"/>
        <item h="1" x="27"/>
        <item h="1" x="28"/>
        <item h="1" x="83"/>
        <item h="1" x="118"/>
        <item h="1" x="20"/>
        <item h="1" x="108"/>
        <item h="1" x="111"/>
        <item h="1" x="126"/>
        <item h="1" x="112"/>
        <item h="1" x="69"/>
        <item h="1" x="85"/>
        <item h="1" x="93"/>
        <item h="1" x="1"/>
        <item h="1" x="61"/>
        <item h="1" x="106"/>
        <item h="1" x="68"/>
        <item h="1" x="128"/>
        <item h="1" x="92"/>
        <item h="1" x="122"/>
        <item h="1" x="120"/>
        <item h="1" x="96"/>
        <item h="1" x="79"/>
        <item h="1" x="8"/>
        <item h="1" x="100"/>
        <item h="1" x="11"/>
        <item h="1" x="109"/>
        <item h="1" x="0"/>
        <item h="1" x="89"/>
        <item h="1" x="81"/>
        <item h="1" x="39"/>
        <item h="1" x="123"/>
        <item h="1" x="124"/>
        <item h="1" x="125"/>
        <item h="1" x="87"/>
        <item h="1" x="43"/>
        <item h="1" x="90"/>
        <item h="1" x="72"/>
        <item h="1" x="97"/>
        <item h="1" x="67"/>
        <item h="1" x="76"/>
        <item h="1" x="17"/>
        <item h="1" x="31"/>
        <item h="1" x="84"/>
        <item h="1" x="77"/>
        <item h="1" x="38"/>
        <item h="1" x="57"/>
        <item h="1" x="33"/>
        <item h="1" x="53"/>
        <item h="1" x="3"/>
        <item h="1" x="91"/>
        <item h="1" x="99"/>
        <item h="1" x="30"/>
        <item h="1" x="49"/>
        <item h="1" x="62"/>
        <item h="1" x="15"/>
        <item h="1" x="42"/>
        <item h="1" x="14"/>
        <item h="1" x="101"/>
        <item h="1" x="4"/>
        <item h="1" x="52"/>
        <item h="1" x="102"/>
        <item h="1" x="114"/>
        <item h="1" x="110"/>
        <item h="1" x="65"/>
        <item h="1" x="45"/>
        <item h="1" x="50"/>
        <item h="1" x="25"/>
        <item h="1" x="64"/>
        <item h="1" x="47"/>
        <item h="1" x="88"/>
        <item h="1" x="26"/>
        <item h="1" x="98"/>
        <item h="1" x="19"/>
        <item h="1" x="48"/>
        <item h="1" x="10"/>
        <item h="1" x="16"/>
        <item h="1" x="103"/>
        <item h="1" x="51"/>
        <item h="1" x="35"/>
        <item h="1" x="37"/>
        <item h="1" x="80"/>
        <item h="1" x="24"/>
        <item h="1" x="21"/>
        <item h="1" x="6"/>
        <item h="1" x="41"/>
        <item h="1" x="70"/>
        <item h="1" x="54"/>
        <item h="1" x="115"/>
        <item h="1" x="58"/>
        <item h="1" x="78"/>
        <item h="1" x="36"/>
        <item h="1" x="121"/>
        <item h="1" x="7"/>
        <item h="1" x="117"/>
        <item h="1" x="2"/>
        <item h="1" x="59"/>
        <item h="1" x="13"/>
        <item h="1" x="34"/>
        <item h="1" x="55"/>
        <item h="1" x="23"/>
        <item h="1" x="22"/>
        <item h="1" x="40"/>
        <item h="1" x="71"/>
        <item h="1" x="56"/>
        <item h="1" x="46"/>
        <item h="1" x="75"/>
        <item h="1" x="66"/>
        <item h="1" x="9"/>
        <item h="1" x="86"/>
        <item h="1" x="95"/>
        <item h="1" x="18"/>
        <item x="12"/>
        <item x="5"/>
        <item x="105"/>
        <item x="63"/>
        <item x="29"/>
        <item x="119"/>
        <item x="82"/>
        <item x="107"/>
        <item x="116"/>
        <item x="74"/>
        <item x="44"/>
        <item x="73"/>
        <item x="32"/>
        <item x="104"/>
        <item x="94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4" hier="-1"/>
  </pageFields>
  <dataFields count="1">
    <dataField name="Say Öğrenci ID" fld="0" subtotal="count" baseField="1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3:E8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dataField="1" showAll="0">
      <items count="72">
        <item x="70"/>
        <item x="41"/>
        <item x="30"/>
        <item x="22"/>
        <item x="29"/>
        <item x="11"/>
        <item x="65"/>
        <item x="56"/>
        <item x="1"/>
        <item x="46"/>
        <item x="59"/>
        <item x="16"/>
        <item x="39"/>
        <item x="50"/>
        <item x="0"/>
        <item x="60"/>
        <item x="14"/>
        <item x="63"/>
        <item x="62"/>
        <item x="61"/>
        <item x="6"/>
        <item x="38"/>
        <item x="47"/>
        <item x="35"/>
        <item x="68"/>
        <item x="24"/>
        <item x="18"/>
        <item x="27"/>
        <item x="54"/>
        <item x="19"/>
        <item x="36"/>
        <item x="23"/>
        <item x="42"/>
        <item x="69"/>
        <item x="44"/>
        <item x="8"/>
        <item x="3"/>
        <item x="64"/>
        <item x="17"/>
        <item x="52"/>
        <item x="32"/>
        <item x="15"/>
        <item x="49"/>
        <item x="13"/>
        <item x="4"/>
        <item x="7"/>
        <item x="12"/>
        <item x="28"/>
        <item x="37"/>
        <item x="10"/>
        <item x="66"/>
        <item x="34"/>
        <item x="31"/>
        <item x="55"/>
        <item x="57"/>
        <item x="53"/>
        <item x="43"/>
        <item x="33"/>
        <item x="67"/>
        <item x="9"/>
        <item x="20"/>
        <item x="2"/>
        <item x="48"/>
        <item x="21"/>
        <item x="51"/>
        <item x="26"/>
        <item x="40"/>
        <item x="25"/>
        <item x="5"/>
        <item x="45"/>
        <item x="58"/>
        <item t="default"/>
      </items>
    </pivotField>
    <pivotField dataField="1" showAll="0">
      <items count="81">
        <item x="58"/>
        <item x="28"/>
        <item x="54"/>
        <item x="55"/>
        <item x="42"/>
        <item x="59"/>
        <item x="46"/>
        <item x="65"/>
        <item x="48"/>
        <item x="61"/>
        <item x="3"/>
        <item x="78"/>
        <item x="49"/>
        <item x="20"/>
        <item x="37"/>
        <item x="63"/>
        <item x="8"/>
        <item x="36"/>
        <item x="1"/>
        <item x="0"/>
        <item x="25"/>
        <item x="19"/>
        <item x="41"/>
        <item x="72"/>
        <item x="26"/>
        <item x="69"/>
        <item x="16"/>
        <item x="45"/>
        <item x="13"/>
        <item x="22"/>
        <item x="77"/>
        <item x="34"/>
        <item x="53"/>
        <item x="43"/>
        <item x="70"/>
        <item x="56"/>
        <item x="76"/>
        <item x="73"/>
        <item x="68"/>
        <item x="12"/>
        <item x="14"/>
        <item x="33"/>
        <item x="52"/>
        <item x="67"/>
        <item x="75"/>
        <item x="71"/>
        <item x="39"/>
        <item x="4"/>
        <item x="74"/>
        <item x="24"/>
        <item x="9"/>
        <item x="23"/>
        <item x="10"/>
        <item x="30"/>
        <item x="32"/>
        <item x="64"/>
        <item x="15"/>
        <item x="79"/>
        <item x="62"/>
        <item x="11"/>
        <item x="7"/>
        <item x="38"/>
        <item x="47"/>
        <item x="2"/>
        <item x="60"/>
        <item x="31"/>
        <item x="57"/>
        <item x="18"/>
        <item x="40"/>
        <item x="44"/>
        <item x="17"/>
        <item x="29"/>
        <item x="35"/>
        <item x="21"/>
        <item x="5"/>
        <item x="27"/>
        <item x="51"/>
        <item x="66"/>
        <item x="6"/>
        <item x="50"/>
        <item t="default"/>
      </items>
    </pivotField>
    <pivotField dataField="1" showAll="0">
      <items count="60">
        <item h="1" x="25"/>
        <item h="1" x="52"/>
        <item x="24"/>
        <item h="1" x="14"/>
        <item h="1" x="48"/>
        <item h="1" x="58"/>
        <item h="1" x="49"/>
        <item h="1" x="9"/>
        <item h="1" x="30"/>
        <item h="1" x="37"/>
        <item h="1" x="43"/>
        <item h="1" x="4"/>
        <item h="1" x="13"/>
        <item h="1" x="55"/>
        <item h="1" x="16"/>
        <item h="1" x="2"/>
        <item h="1" x="38"/>
        <item h="1" x="47"/>
        <item h="1" x="53"/>
        <item h="1" x="45"/>
        <item h="1" x="51"/>
        <item h="1" x="23"/>
        <item h="1" x="1"/>
        <item h="1" x="12"/>
        <item h="1" x="35"/>
        <item h="1" x="56"/>
        <item h="1" x="40"/>
        <item h="1" x="28"/>
        <item h="1" x="20"/>
        <item h="1" x="33"/>
        <item h="1" x="5"/>
        <item h="1" x="27"/>
        <item h="1" x="6"/>
        <item h="1" x="0"/>
        <item h="1" x="26"/>
        <item h="1" x="18"/>
        <item h="1" x="39"/>
        <item h="1" x="22"/>
        <item h="1" x="44"/>
        <item h="1" x="50"/>
        <item h="1" x="15"/>
        <item h="1" x="57"/>
        <item h="1" x="42"/>
        <item h="1" x="10"/>
        <item h="1" x="17"/>
        <item h="1" x="54"/>
        <item h="1" x="3"/>
        <item h="1" x="7"/>
        <item h="1" x="32"/>
        <item h="1" x="46"/>
        <item h="1" x="21"/>
        <item h="1" x="8"/>
        <item h="1" x="19"/>
        <item h="1" x="34"/>
        <item h="1" x="29"/>
        <item h="1" x="31"/>
        <item h="1" x="36"/>
        <item h="1" x="11"/>
        <item h="1" x="41"/>
        <item t="default"/>
      </items>
    </pivotField>
    <pivotField dataField="1" showAll="0">
      <items count="130">
        <item h="1" x="127"/>
        <item h="1" x="60"/>
        <item h="1" x="113"/>
        <item h="1" x="27"/>
        <item h="1" x="28"/>
        <item h="1" x="83"/>
        <item h="1" x="118"/>
        <item h="1" x="20"/>
        <item h="1" x="108"/>
        <item h="1" x="111"/>
        <item h="1" x="126"/>
        <item h="1" x="112"/>
        <item h="1" x="69"/>
        <item h="1" x="85"/>
        <item h="1" x="93"/>
        <item h="1" x="1"/>
        <item h="1" x="61"/>
        <item h="1" x="106"/>
        <item h="1" x="68"/>
        <item h="1" x="128"/>
        <item h="1" x="92"/>
        <item h="1" x="122"/>
        <item h="1" x="120"/>
        <item h="1" x="96"/>
        <item h="1" x="79"/>
        <item h="1" x="8"/>
        <item h="1" x="100"/>
        <item h="1" x="11"/>
        <item h="1" x="109"/>
        <item h="1" x="0"/>
        <item h="1" x="89"/>
        <item h="1" x="81"/>
        <item h="1" x="39"/>
        <item h="1" x="123"/>
        <item h="1" x="124"/>
        <item h="1" x="125"/>
        <item h="1" x="87"/>
        <item h="1" x="43"/>
        <item h="1" x="90"/>
        <item h="1" x="72"/>
        <item x="97"/>
        <item h="1" x="67"/>
        <item h="1" x="76"/>
        <item h="1" x="17"/>
        <item h="1" x="31"/>
        <item h="1" x="84"/>
        <item h="1" x="77"/>
        <item h="1" x="38"/>
        <item h="1" x="57"/>
        <item h="1" x="33"/>
        <item h="1" x="53"/>
        <item h="1" x="3"/>
        <item h="1" x="91"/>
        <item h="1" x="99"/>
        <item h="1" x="30"/>
        <item h="1" x="49"/>
        <item h="1" x="62"/>
        <item h="1" x="15"/>
        <item h="1" x="42"/>
        <item h="1" x="14"/>
        <item h="1" x="101"/>
        <item h="1" x="4"/>
        <item h="1" x="52"/>
        <item h="1" x="102"/>
        <item h="1" x="114"/>
        <item h="1" x="110"/>
        <item h="1" x="65"/>
        <item h="1" x="45"/>
        <item h="1" x="50"/>
        <item h="1" x="25"/>
        <item h="1" x="64"/>
        <item h="1" x="47"/>
        <item h="1" x="88"/>
        <item h="1" x="26"/>
        <item h="1" x="98"/>
        <item h="1" x="19"/>
        <item h="1" x="48"/>
        <item h="1" x="10"/>
        <item h="1" x="16"/>
        <item h="1" x="103"/>
        <item h="1" x="51"/>
        <item h="1" x="35"/>
        <item h="1" x="37"/>
        <item h="1" x="80"/>
        <item h="1" x="24"/>
        <item h="1" x="21"/>
        <item h="1" x="6"/>
        <item h="1" x="41"/>
        <item h="1" x="70"/>
        <item h="1" x="54"/>
        <item h="1" x="115"/>
        <item h="1" x="58"/>
        <item h="1" x="78"/>
        <item h="1" x="36"/>
        <item h="1" x="121"/>
        <item h="1" x="7"/>
        <item h="1" x="117"/>
        <item h="1" x="2"/>
        <item h="1" x="59"/>
        <item h="1" x="13"/>
        <item h="1" x="34"/>
        <item h="1" x="55"/>
        <item h="1" x="23"/>
        <item h="1" x="22"/>
        <item h="1" x="40"/>
        <item h="1" x="71"/>
        <item h="1" x="56"/>
        <item h="1" x="46"/>
        <item h="1" x="75"/>
        <item h="1" x="66"/>
        <item h="1" x="9"/>
        <item h="1" x="86"/>
        <item h="1" x="95"/>
        <item h="1" x="18"/>
        <item h="1" x="12"/>
        <item h="1" x="5"/>
        <item h="1" x="105"/>
        <item h="1" x="63"/>
        <item h="1" x="29"/>
        <item h="1" x="119"/>
        <item h="1" x="82"/>
        <item h="1" x="107"/>
        <item h="1" x="116"/>
        <item h="1" x="74"/>
        <item h="1" x="44"/>
        <item h="1" x="73"/>
        <item h="1" x="32"/>
        <item h="1" x="104"/>
        <item h="1" x="94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rtalama Matematik Notu" fld="11" subtotal="average" baseField="8" baseItem="0"/>
    <dataField name="Ortalama Fen Notu" fld="12" subtotal="average" baseField="8" baseItem="0"/>
    <dataField name="Ortalama İngilizce Notu" fld="13" subtotal="average" baseField="8" baseItem="0"/>
    <dataField name="Ortalama Ortalama" fld="14" subtotal="average" baseField="8" baseItem="0"/>
  </dataFields>
  <formats count="5">
    <format dxfId="10">
      <pivotArea collapsedLevelsAreSubtotals="1" fieldPosition="0">
        <references count="1">
          <reference field="8" count="1">
            <x v="0"/>
          </reference>
        </references>
      </pivotArea>
    </format>
    <format dxfId="9">
      <pivotArea collapsedLevelsAreSubtotals="1" fieldPosition="0">
        <references count="1">
          <reference field="8" count="1">
            <x v="1"/>
          </reference>
        </references>
      </pivotArea>
    </format>
    <format dxfId="8">
      <pivotArea collapsedLevelsAreSubtotals="1" fieldPosition="0">
        <references count="1">
          <reference field="8" count="1">
            <x v="2"/>
          </reference>
        </references>
      </pivotArea>
    </format>
    <format dxfId="7">
      <pivotArea collapsedLevelsAreSubtotals="1" fieldPosition="0">
        <references count="1">
          <reference field="8" count="1">
            <x v="3"/>
          </reference>
        </references>
      </pivotArea>
    </format>
    <format dxfId="6">
      <pivotArea grandRow="1"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8">
  <location ref="A3:B6" firstHeaderRow="1" firstDataRow="1" firstDataCol="1" rowPageCount="1" colPageCount="1"/>
  <pivotFields count="16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axis="axisPage"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showAll="0"/>
    <pivotField showAll="0"/>
    <pivotField showAll="0">
      <items count="6">
        <item x="4"/>
        <item x="2"/>
        <item x="1"/>
        <item x="0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0" item="0" hier="-1"/>
  </pageFields>
  <dataFields count="1">
    <dataField name="Say Öğrenci ID" fld="0" subtotal="count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Table6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6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6">
        <item x="4"/>
        <item x="2"/>
        <item x="1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rtalama Ortalama" fld="14" subtotal="average" baseField="2" baseItem="0"/>
  </dataFields>
  <formats count="4">
    <format dxfId="5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2" count="1">
            <x v="2"/>
          </reference>
        </references>
      </pivotArea>
    </format>
    <format dxfId="2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PivotTable7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3:B7" firstHeaderRow="1" firstDataRow="1" firstDataCol="1" rowPageCount="1" colPageCount="1"/>
  <pivotFields count="16"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2"/>
        <item x="1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9" item="0" hier="-1"/>
  </pageFields>
  <dataFields count="1">
    <dataField name="Say Öğrenci ID" fld="0" subtotal="count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6000000}" name="PivotTable11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1">
  <location ref="A3:B11" firstHeaderRow="1" firstDataRow="1" firstDataCol="1" rowPageCount="1" colPageCount="1"/>
  <pivotFields count="17">
    <pivotField dataField="1" showAll="0"/>
    <pivotField showAll="0"/>
    <pivotField showAll="0"/>
    <pivotField showAll="0"/>
    <pivotField showAll="0"/>
    <pivotField axis="axisRow" showAll="0">
      <items count="8">
        <item x="2"/>
        <item x="4"/>
        <item x="5"/>
        <item x="1"/>
        <item x="3"/>
        <item x="6"/>
        <item x="0"/>
        <item t="default"/>
      </items>
    </pivotField>
    <pivotField showAll="0"/>
    <pivotField showAll="0"/>
    <pivotField showAll="0"/>
    <pivotField showAll="0"/>
    <pivotField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6" item="0" hier="-1"/>
  </pageFields>
  <dataFields count="1">
    <dataField name="Say Öğrenci ID" fld="0" subtotal="count" baseField="5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7000000}" name="PivotTable10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8">
  <location ref="A3:C6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6">
        <item x="4"/>
        <item x="2"/>
        <item x="1"/>
        <item x="0"/>
        <item x="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Ortalama Ortalama" fld="14" subtotal="average" baseField="7" baseItem="0"/>
    <dataField name="Say Öğrenci ID" fld="0" subtotal="count" baseField="7" baseItem="0"/>
  </dataFields>
  <formats count="2">
    <format dxfId="1">
      <pivotArea collapsedLevelsAreSubtotals="1" fieldPosition="0">
        <references count="2">
          <reference field="4294967294" count="1" selected="0">
            <x v="0"/>
          </reference>
          <reference field="7" count="1">
            <x v="1"/>
          </reference>
        </references>
      </pivotArea>
    </format>
    <format dxfId="0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8000000}" name="PivotTable12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4:B11" firstHeaderRow="1" firstDataRow="1" firstDataCol="1" rowPageCount="2" colPageCount="1"/>
  <pivotFields count="17"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52">
        <item h="1" x="28"/>
        <item h="1" x="50"/>
        <item h="1" x="39"/>
        <item h="1" x="32"/>
        <item h="1" x="31"/>
        <item h="1" x="27"/>
        <item h="1" x="20"/>
        <item h="1" x="29"/>
        <item h="1" x="3"/>
        <item h="1" x="7"/>
        <item h="1" x="17"/>
        <item h="1" x="4"/>
        <item h="1" x="9"/>
        <item h="1" x="42"/>
        <item h="1" x="44"/>
        <item h="1" x="43"/>
        <item h="1" x="2"/>
        <item h="1" x="14"/>
        <item h="1" x="46"/>
        <item h="1" x="36"/>
        <item h="1" x="5"/>
        <item h="1" x="25"/>
        <item h="1" x="33"/>
        <item h="1" x="21"/>
        <item h="1" x="16"/>
        <item h="1" x="24"/>
        <item h="1" x="49"/>
        <item h="1" x="23"/>
        <item h="1" x="45"/>
        <item h="1" x="35"/>
        <item x="38"/>
        <item x="47"/>
        <item x="6"/>
        <item x="48"/>
        <item x="0"/>
        <item x="12"/>
        <item x="26"/>
        <item x="37"/>
        <item x="1"/>
        <item x="34"/>
        <item x="8"/>
        <item x="10"/>
        <item x="30"/>
        <item x="15"/>
        <item x="13"/>
        <item x="40"/>
        <item x="11"/>
        <item x="19"/>
        <item x="41"/>
        <item x="22"/>
        <item x="18"/>
        <item t="default"/>
      </items>
    </pivotField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showAll="0"/>
    <pivotField axis="axisPage" multipleItemSelectionAllowed="1" showAll="0">
      <items count="130">
        <item x="127"/>
        <item x="60"/>
        <item x="113"/>
        <item x="27"/>
        <item x="28"/>
        <item x="83"/>
        <item x="118"/>
        <item x="20"/>
        <item x="108"/>
        <item x="111"/>
        <item x="126"/>
        <item x="112"/>
        <item x="69"/>
        <item x="85"/>
        <item x="93"/>
        <item x="1"/>
        <item x="61"/>
        <item x="106"/>
        <item x="68"/>
        <item x="128"/>
        <item x="92"/>
        <item x="122"/>
        <item x="120"/>
        <item x="96"/>
        <item x="79"/>
        <item x="8"/>
        <item x="100"/>
        <item x="11"/>
        <item x="109"/>
        <item x="0"/>
        <item x="89"/>
        <item x="81"/>
        <item x="39"/>
        <item x="123"/>
        <item x="124"/>
        <item x="125"/>
        <item x="87"/>
        <item x="43"/>
        <item x="90"/>
        <item x="72"/>
        <item x="97"/>
        <item x="67"/>
        <item x="76"/>
        <item x="17"/>
        <item x="31"/>
        <item x="84"/>
        <item x="77"/>
        <item h="1" x="38"/>
        <item h="1" x="57"/>
        <item h="1" x="33"/>
        <item h="1" x="53"/>
        <item h="1" x="3"/>
        <item h="1" x="91"/>
        <item h="1" x="99"/>
        <item h="1" x="30"/>
        <item h="1" x="49"/>
        <item h="1" x="62"/>
        <item h="1" x="15"/>
        <item h="1" x="42"/>
        <item h="1" x="14"/>
        <item h="1" x="101"/>
        <item h="1" x="4"/>
        <item h="1" x="52"/>
        <item h="1" x="102"/>
        <item h="1" x="114"/>
        <item h="1" x="110"/>
        <item h="1" x="65"/>
        <item h="1" x="45"/>
        <item h="1" x="50"/>
        <item h="1" x="25"/>
        <item h="1" x="64"/>
        <item h="1" x="47"/>
        <item h="1" x="88"/>
        <item h="1" x="26"/>
        <item h="1" x="98"/>
        <item h="1" x="19"/>
        <item h="1" x="48"/>
        <item h="1" x="10"/>
        <item h="1" x="16"/>
        <item h="1" x="103"/>
        <item h="1" x="51"/>
        <item h="1" x="35"/>
        <item h="1" x="37"/>
        <item h="1" x="80"/>
        <item h="1" x="24"/>
        <item h="1" x="21"/>
        <item h="1" x="6"/>
        <item h="1" x="41"/>
        <item h="1" x="70"/>
        <item h="1" x="54"/>
        <item h="1" x="115"/>
        <item h="1" x="58"/>
        <item h="1" x="78"/>
        <item h="1" x="36"/>
        <item h="1" x="121"/>
        <item h="1" x="7"/>
        <item h="1" x="117"/>
        <item h="1" x="2"/>
        <item h="1" x="59"/>
        <item h="1" x="13"/>
        <item h="1" x="34"/>
        <item h="1" x="55"/>
        <item h="1" x="23"/>
        <item h="1" x="22"/>
        <item h="1" x="40"/>
        <item h="1" x="71"/>
        <item h="1" x="56"/>
        <item h="1" x="46"/>
        <item h="1" x="75"/>
        <item h="1" x="66"/>
        <item h="1" x="9"/>
        <item h="1" x="86"/>
        <item h="1" x="95"/>
        <item h="1" x="18"/>
        <item h="1" x="12"/>
        <item h="1" x="5"/>
        <item h="1" x="105"/>
        <item h="1" x="63"/>
        <item h="1" x="29"/>
        <item h="1" x="119"/>
        <item h="1" x="82"/>
        <item h="1" x="107"/>
        <item h="1" x="116"/>
        <item h="1" x="74"/>
        <item h="1" x="44"/>
        <item h="1" x="73"/>
        <item h="1" x="32"/>
        <item h="1" x="104"/>
        <item h="1" x="94"/>
        <item t="default"/>
      </items>
    </pivotField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6" hier="-1"/>
    <pageField fld="14" hier="-1"/>
  </pageFields>
  <dataFields count="1">
    <dataField name="Say Öğrenci ID" fld="0" subtotal="count" baseField="1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9000000}" name="PivotTable13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A3:H11" firstHeaderRow="1" firstDataRow="2" firstDataCol="1"/>
  <pivotFields count="17">
    <pivotField dataField="1" showAll="0"/>
    <pivotField showAll="0"/>
    <pivotField showAll="0"/>
    <pivotField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x="3"/>
        <item x="1"/>
        <item x="2"/>
        <item x="4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ay Öğrenci ID" fld="0" subtotal="count" baseField="4" baseItem="0"/>
  </dataFields>
  <chartFormats count="8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2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2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2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2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2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2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3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3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3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3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3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4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4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4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4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4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4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5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5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5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5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5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5"/>
          </reference>
        </references>
      </pivotArea>
    </chartFormat>
    <chartFormat chart="5" format="8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8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0"/>
          </reference>
        </references>
      </pivotArea>
    </chartFormat>
    <chartFormat chart="5" format="8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0"/>
          </reference>
        </references>
      </pivotArea>
    </chartFormat>
    <chartFormat chart="5" format="8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0"/>
          </reference>
        </references>
      </pivotArea>
    </chartFormat>
    <chartFormat chart="5" format="88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0"/>
          </reference>
        </references>
      </pivotArea>
    </chartFormat>
    <chartFormat chart="5" format="89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0"/>
          </reference>
        </references>
      </pivotArea>
    </chartFormat>
    <chartFormat chart="5" format="90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0"/>
          </reference>
        </references>
      </pivotArea>
    </chartFormat>
    <chartFormat chart="5" format="9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9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1"/>
          </reference>
        </references>
      </pivotArea>
    </chartFormat>
    <chartFormat chart="5" format="9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1"/>
          </reference>
        </references>
      </pivotArea>
    </chartFormat>
    <chartFormat chart="5" format="9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1"/>
          </reference>
        </references>
      </pivotArea>
    </chartFormat>
    <chartFormat chart="5" format="95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"/>
          </reference>
        </references>
      </pivotArea>
    </chartFormat>
    <chartFormat chart="5" format="96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"/>
          </reference>
        </references>
      </pivotArea>
    </chartFormat>
    <chartFormat chart="5" format="97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"/>
          </reference>
        </references>
      </pivotArea>
    </chartFormat>
    <chartFormat chart="5" format="9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9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2"/>
          </reference>
        </references>
      </pivotArea>
    </chartFormat>
    <chartFormat chart="5" format="10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2"/>
          </reference>
        </references>
      </pivotArea>
    </chartFormat>
    <chartFormat chart="5" format="10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2"/>
          </reference>
        </references>
      </pivotArea>
    </chartFormat>
    <chartFormat chart="5" format="10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2"/>
          </reference>
        </references>
      </pivotArea>
    </chartFormat>
    <chartFormat chart="5" format="103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2"/>
          </reference>
        </references>
      </pivotArea>
    </chartFormat>
    <chartFormat chart="5" format="104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2"/>
          </reference>
        </references>
      </pivotArea>
    </chartFormat>
    <chartFormat chart="5" format="10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5" format="10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3"/>
          </reference>
        </references>
      </pivotArea>
    </chartFormat>
    <chartFormat chart="5" format="10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3"/>
          </reference>
        </references>
      </pivotArea>
    </chartFormat>
    <chartFormat chart="5" format="10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3"/>
          </reference>
        </references>
      </pivotArea>
    </chartFormat>
    <chartFormat chart="5" format="10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3"/>
          </reference>
        </references>
      </pivotArea>
    </chartFormat>
    <chartFormat chart="5" format="110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3"/>
          </reference>
        </references>
      </pivotArea>
    </chartFormat>
    <chartFormat chart="5" format="11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3"/>
          </reference>
        </references>
      </pivotArea>
    </chartFormat>
    <chartFormat chart="5" format="1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5" format="11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4"/>
          </reference>
        </references>
      </pivotArea>
    </chartFormat>
    <chartFormat chart="5" format="11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4"/>
          </reference>
        </references>
      </pivotArea>
    </chartFormat>
    <chartFormat chart="5" format="115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4"/>
          </reference>
        </references>
      </pivotArea>
    </chartFormat>
    <chartFormat chart="5" format="116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4"/>
          </reference>
        </references>
      </pivotArea>
    </chartFormat>
    <chartFormat chart="5" format="117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4"/>
          </reference>
        </references>
      </pivotArea>
    </chartFormat>
    <chartFormat chart="5" format="118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4"/>
          </reference>
        </references>
      </pivotArea>
    </chartFormat>
    <chartFormat chart="5" format="1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5" format="12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5"/>
          </reference>
        </references>
      </pivotArea>
    </chartFormat>
    <chartFormat chart="5" format="12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5"/>
          </reference>
        </references>
      </pivotArea>
    </chartFormat>
    <chartFormat chart="5" format="12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5"/>
          </reference>
        </references>
      </pivotArea>
    </chartFormat>
    <chartFormat chart="5" format="12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5"/>
          </reference>
        </references>
      </pivotArea>
    </chartFormat>
    <chartFormat chart="5" format="124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5"/>
          </reference>
        </references>
      </pivotArea>
    </chartFormat>
    <chartFormat chart="5" format="125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5"/>
          </reference>
        </references>
      </pivotArea>
    </chartFormat>
  </chartFormat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Harf_Notu" xr10:uid="{00000000-0013-0000-FFFF-FFFF01000000}" sourceName="Harf Notu">
  <pivotTables>
    <pivotTable tabId="3" name="PivotTable1"/>
    <pivotTable tabId="9" name="PivotTable7"/>
    <pivotTable tabId="8" name="PivotTable6"/>
    <pivotTable tabId="12" name="PivotTable10"/>
    <pivotTable tabId="7" name="PivotTable5"/>
    <pivotTable tabId="4" name="PivotTable2"/>
    <pivotTable tabId="6" name="PivotTable4"/>
  </pivotTables>
  <data>
    <tabular pivotCacheId="111493813">
      <items count="5">
        <i x="4" s="1"/>
        <i x="2" s="1"/>
        <i x="1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elefonda_Geçirilen_Süre" xr10:uid="{00000000-0013-0000-FFFF-FFFF02000000}" sourceName="Telefonda Geçirilen Süre">
  <pivotTables>
    <pivotTable tabId="6" name="PivotTable4"/>
    <pivotTable tabId="9" name="PivotTable7"/>
    <pivotTable tabId="8" name="PivotTable6"/>
    <pivotTable tabId="3" name="PivotTable1"/>
    <pivotTable tabId="12" name="PivotTable10"/>
    <pivotTable tabId="7" name="PivotTable5"/>
    <pivotTable tabId="4" name="PivotTable2"/>
  </pivotTables>
  <data>
    <tabular pivotCacheId="111493813">
      <items count="4">
        <i x="0" s="1"/>
        <i x="2" s="1"/>
        <i x="3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Çalışma_Stili" xr10:uid="{00000000-0013-0000-FFFF-FFFF03000000}" sourceName="Çalışma Stili">
  <pivotTables>
    <pivotTable tabId="15" name="PivotTable13"/>
    <pivotTable tabId="14" name="PivotTable12"/>
    <pivotTable tabId="13" name="PivotTable11"/>
  </pivotTables>
  <data>
    <tabular pivotCacheId="596304661">
      <items count="6">
        <i x="3" s="1"/>
        <i x="1" s="1"/>
        <i x="2" s="1"/>
        <i x="4" s="1"/>
        <i x="0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arf Notu" xr10:uid="{00000000-0014-0000-FFFF-FFFF01000000}" cache="Dilimleyici_Harf_Notu" caption="Harf Notu" style="SlicerStyleLight4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lefonda Geçirilen Süre" xr10:uid="{00000000-0014-0000-FFFF-FFFF02000000}" cache="Dilimleyici_Telefonda_Geçirilen_Süre" caption="Telefonda Geçirilen Süre" style="SlicerStyleLight5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Çalışma Stili" xr10:uid="{00000000-0014-0000-FFFF-FFFF03000000}" cache="Dilimleyici_Çalışma_Stili" caption="Çalışma Stili" style="SlicerStyleLight5" rowHeight="2476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arf Notu 1" xr10:uid="{47E75EDE-D9AF-4317-8978-4A884964E82B}" cache="Dilimleyici_Harf_Notu" caption="Harf Notu" style="SlicerStyleLight4" rowHeight="247650"/>
  <slicer name="Telefonda Geçirilen Süre 1" xr10:uid="{76959791-25F9-459C-8464-9DB9609E364F}" cache="Dilimleyici_Telefonda_Geçirilen_Süre" caption="Telefonda Geçirilen Süre" style="SlicerStyleLight5" rowHeight="247650"/>
  <slicer name="Çalışma Stili 1" xr10:uid="{21634816-3D90-4770-9A7B-23EA557F21F5}" cache="Dilimleyici_Çalışma_Stili" caption="Çalışma Stili" style="SlicerStyleLight5" rowHeight="247650"/>
</slicers>
</file>

<file path=xl/theme/theme1.xml><?xml version="1.0" encoding="utf-8"?>
<a:theme xmlns:a="http://schemas.openxmlformats.org/drawingml/2006/main" name="Office Teması">
  <a:themeElements>
    <a:clrScheme name="Kağıt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01"/>
  <sheetViews>
    <sheetView topLeftCell="C1" workbookViewId="0">
      <selection activeCell="R2" sqref="R2"/>
    </sheetView>
  </sheetViews>
  <sheetFormatPr defaultRowHeight="14.4" x14ac:dyDescent="0.3"/>
  <cols>
    <col min="1" max="1" width="10.21875" customWidth="1"/>
    <col min="5" max="5" width="24.33203125" customWidth="1"/>
    <col min="6" max="6" width="13.6640625" customWidth="1"/>
    <col min="7" max="7" width="16.6640625" customWidth="1"/>
    <col min="8" max="8" width="21.88671875" customWidth="1"/>
    <col min="9" max="9" width="12.88671875" customWidth="1"/>
    <col min="10" max="10" width="12.21875" customWidth="1"/>
    <col min="11" max="11" width="16.109375" customWidth="1"/>
    <col min="12" max="12" width="17.88671875" customWidth="1"/>
    <col min="14" max="14" width="13.6640625" customWidth="1"/>
    <col min="17" max="17" width="12.88671875" customWidth="1"/>
  </cols>
  <sheetData>
    <row r="1" spans="1:18" x14ac:dyDescent="0.3">
      <c r="A1" s="2" t="s">
        <v>643</v>
      </c>
      <c r="B1" s="2" t="s">
        <v>642</v>
      </c>
      <c r="C1" s="2" t="s">
        <v>644</v>
      </c>
      <c r="D1" s="2" t="s">
        <v>645</v>
      </c>
      <c r="E1" s="2" t="s">
        <v>646</v>
      </c>
      <c r="F1" s="2" t="s">
        <v>647</v>
      </c>
      <c r="G1" s="2" t="s">
        <v>648</v>
      </c>
      <c r="H1" s="2" t="s">
        <v>649</v>
      </c>
      <c r="I1" s="2" t="s">
        <v>650</v>
      </c>
      <c r="J1" s="2" t="s">
        <v>651</v>
      </c>
      <c r="K1" s="2" t="s">
        <v>652</v>
      </c>
      <c r="L1" s="2" t="s">
        <v>653</v>
      </c>
      <c r="M1" s="2" t="s">
        <v>654</v>
      </c>
      <c r="N1" s="2" t="s">
        <v>655</v>
      </c>
      <c r="O1" s="2" t="s">
        <v>656</v>
      </c>
      <c r="P1" s="2" t="s">
        <v>657</v>
      </c>
      <c r="Q1" s="2" t="s">
        <v>710</v>
      </c>
      <c r="R1" s="2" t="s">
        <v>711</v>
      </c>
    </row>
    <row r="2" spans="1:18" x14ac:dyDescent="0.3">
      <c r="A2">
        <v>1</v>
      </c>
      <c r="B2">
        <v>14</v>
      </c>
      <c r="C2" t="s">
        <v>0</v>
      </c>
      <c r="D2" t="s">
        <v>1</v>
      </c>
      <c r="E2" t="s">
        <v>2</v>
      </c>
      <c r="F2" s="1">
        <v>45660</v>
      </c>
      <c r="G2" t="s">
        <v>3</v>
      </c>
      <c r="H2" t="s">
        <v>4</v>
      </c>
      <c r="I2" t="s">
        <v>5</v>
      </c>
      <c r="J2" t="s">
        <v>4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tr">
        <f>IF(C2="female","Kadın",IF(C2="male","Erkek",IF(C2="other","Diğer",C2)))</f>
        <v>Erkek</v>
      </c>
    </row>
    <row r="3" spans="1:18" x14ac:dyDescent="0.3">
      <c r="A3">
        <v>2</v>
      </c>
      <c r="B3">
        <v>18</v>
      </c>
      <c r="C3" t="s">
        <v>12</v>
      </c>
      <c r="D3" t="s">
        <v>1</v>
      </c>
      <c r="E3" t="s">
        <v>13</v>
      </c>
      <c r="F3" s="1">
        <v>45841</v>
      </c>
      <c r="G3" t="s">
        <v>14</v>
      </c>
      <c r="H3" t="s">
        <v>4</v>
      </c>
      <c r="I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O3" t="s">
        <v>21</v>
      </c>
      <c r="P3" t="s">
        <v>22</v>
      </c>
      <c r="Q3" t="str">
        <f>IF(D2="public","Devlet okulu",IF(D2="private","Özel okul",D2))</f>
        <v>Devlet okulu</v>
      </c>
    </row>
    <row r="4" spans="1:18" x14ac:dyDescent="0.3">
      <c r="A4">
        <v>3</v>
      </c>
      <c r="B4">
        <v>17</v>
      </c>
      <c r="C4" t="s">
        <v>12</v>
      </c>
      <c r="D4" t="s">
        <v>23</v>
      </c>
      <c r="E4" t="s">
        <v>2</v>
      </c>
      <c r="F4" s="1">
        <v>45907</v>
      </c>
      <c r="G4" t="s">
        <v>24</v>
      </c>
      <c r="H4" t="s">
        <v>16</v>
      </c>
      <c r="I4" t="s">
        <v>5</v>
      </c>
      <c r="J4" t="s">
        <v>16</v>
      </c>
      <c r="K4" t="s">
        <v>6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tr">
        <f>IF(E2="PhD","Doktora",
IF(E2="post graduate","Yüksek Lisans",
IF(E2="graduate","Lisans",
IF(E2="diploma","Ön Lisans",
IF(E2="high school","Lise",
IF(E2="no formal","Okur yazar değil",E2))))))</f>
        <v>Yüksek Lisans</v>
      </c>
    </row>
    <row r="5" spans="1:18" x14ac:dyDescent="0.3">
      <c r="A5">
        <v>4</v>
      </c>
      <c r="B5">
        <v>16</v>
      </c>
      <c r="C5" t="s">
        <v>30</v>
      </c>
      <c r="D5" t="s">
        <v>1</v>
      </c>
      <c r="E5" t="s">
        <v>31</v>
      </c>
      <c r="F5" s="1">
        <v>45658</v>
      </c>
      <c r="G5" t="s">
        <v>32</v>
      </c>
      <c r="H5" t="s">
        <v>16</v>
      </c>
      <c r="I5" t="s">
        <v>33</v>
      </c>
      <c r="J5" t="s">
        <v>16</v>
      </c>
      <c r="K5" t="s">
        <v>6</v>
      </c>
      <c r="L5" t="s">
        <v>34</v>
      </c>
      <c r="M5" s="1">
        <v>45804</v>
      </c>
      <c r="N5" t="s">
        <v>35</v>
      </c>
      <c r="O5" t="s">
        <v>36</v>
      </c>
      <c r="P5" t="s">
        <v>11</v>
      </c>
      <c r="Q5">
        <f ca="1">RANDBETWEEN(1,7)</f>
        <v>2</v>
      </c>
    </row>
    <row r="6" spans="1:18" x14ac:dyDescent="0.3">
      <c r="A6">
        <v>5</v>
      </c>
      <c r="B6">
        <v>16</v>
      </c>
      <c r="C6" t="s">
        <v>12</v>
      </c>
      <c r="D6" t="s">
        <v>1</v>
      </c>
      <c r="E6" t="s">
        <v>31</v>
      </c>
      <c r="F6" s="1">
        <v>45717</v>
      </c>
      <c r="G6" t="s">
        <v>37</v>
      </c>
      <c r="H6" t="s">
        <v>4</v>
      </c>
      <c r="I6" t="s">
        <v>38</v>
      </c>
      <c r="J6" t="s">
        <v>4</v>
      </c>
      <c r="K6" t="s">
        <v>39</v>
      </c>
      <c r="L6" s="1">
        <v>45908</v>
      </c>
      <c r="M6" t="s">
        <v>40</v>
      </c>
      <c r="N6" t="s">
        <v>41</v>
      </c>
      <c r="O6" s="1">
        <v>45772</v>
      </c>
      <c r="P6" t="s">
        <v>42</v>
      </c>
      <c r="Q6" s="3" t="str">
        <f>SUBSTITUTE(G2,".",",")</f>
        <v>84,3</v>
      </c>
    </row>
    <row r="7" spans="1:18" x14ac:dyDescent="0.3">
      <c r="A7">
        <v>6</v>
      </c>
      <c r="B7">
        <v>19</v>
      </c>
      <c r="C7" t="s">
        <v>0</v>
      </c>
      <c r="D7" t="s">
        <v>1</v>
      </c>
      <c r="E7" t="s">
        <v>43</v>
      </c>
      <c r="F7" s="1">
        <v>45872</v>
      </c>
      <c r="G7" t="s">
        <v>44</v>
      </c>
      <c r="H7" t="s">
        <v>4</v>
      </c>
      <c r="I7" t="s">
        <v>15</v>
      </c>
      <c r="J7" t="s">
        <v>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P7" t="s">
        <v>22</v>
      </c>
      <c r="Q7" s="5">
        <f>ROUND(Q6,0)</f>
        <v>84</v>
      </c>
    </row>
    <row r="8" spans="1:18" x14ac:dyDescent="0.3">
      <c r="A8">
        <v>7</v>
      </c>
      <c r="B8">
        <v>14</v>
      </c>
      <c r="C8" t="s">
        <v>12</v>
      </c>
      <c r="D8" t="s">
        <v>23</v>
      </c>
      <c r="E8" t="s">
        <v>2</v>
      </c>
      <c r="F8" s="1">
        <v>45870</v>
      </c>
      <c r="G8" t="s">
        <v>50</v>
      </c>
      <c r="H8" t="s">
        <v>4</v>
      </c>
      <c r="I8" t="s">
        <v>38</v>
      </c>
      <c r="J8" t="s">
        <v>16</v>
      </c>
      <c r="K8" t="s">
        <v>17</v>
      </c>
      <c r="L8" t="s">
        <v>51</v>
      </c>
      <c r="M8" s="1">
        <v>45776</v>
      </c>
      <c r="N8" t="s">
        <v>52</v>
      </c>
      <c r="O8" t="s">
        <v>53</v>
      </c>
      <c r="P8" t="s">
        <v>42</v>
      </c>
      <c r="Q8" t="str">
        <f>IF(H2="yes","Var",IF(H2="no","Yok",H2))</f>
        <v>Var</v>
      </c>
    </row>
    <row r="9" spans="1:18" x14ac:dyDescent="0.3">
      <c r="A9">
        <v>8</v>
      </c>
      <c r="B9">
        <v>18</v>
      </c>
      <c r="C9" t="s">
        <v>12</v>
      </c>
      <c r="D9" t="s">
        <v>23</v>
      </c>
      <c r="E9" t="s">
        <v>2</v>
      </c>
      <c r="F9" s="1">
        <v>45813</v>
      </c>
      <c r="G9" t="s">
        <v>54</v>
      </c>
      <c r="H9" t="s">
        <v>4</v>
      </c>
      <c r="I9" t="s">
        <v>15</v>
      </c>
      <c r="J9" t="s">
        <v>4</v>
      </c>
      <c r="K9" t="s">
        <v>39</v>
      </c>
      <c r="L9" t="s">
        <v>55</v>
      </c>
      <c r="M9" t="s">
        <v>56</v>
      </c>
      <c r="N9" t="s">
        <v>57</v>
      </c>
      <c r="O9" t="s">
        <v>44</v>
      </c>
      <c r="P9" t="s">
        <v>22</v>
      </c>
      <c r="Q9">
        <f>IF(I2="&lt;15 min",10,
IF(I2="15-30 min",20,
IF(I2="30-60 min",45,
IF(I2="&gt;60 min",75,""))))</f>
        <v>10</v>
      </c>
    </row>
    <row r="10" spans="1:18" x14ac:dyDescent="0.3">
      <c r="A10">
        <v>9</v>
      </c>
      <c r="B10">
        <v>15</v>
      </c>
      <c r="C10" t="s">
        <v>30</v>
      </c>
      <c r="D10" t="s">
        <v>23</v>
      </c>
      <c r="E10" t="s">
        <v>31</v>
      </c>
      <c r="F10" s="1">
        <v>45691</v>
      </c>
      <c r="G10" t="s">
        <v>28</v>
      </c>
      <c r="H10" t="s">
        <v>4</v>
      </c>
      <c r="I10" t="s">
        <v>33</v>
      </c>
      <c r="J10" t="s">
        <v>4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  <c r="P10" t="s">
        <v>22</v>
      </c>
      <c r="Q10" t="str">
        <f>IF(J2="yes","Var",IF(J2="no","Yok",J2))</f>
        <v>Var</v>
      </c>
    </row>
    <row r="11" spans="1:18" x14ac:dyDescent="0.3">
      <c r="A11">
        <v>10</v>
      </c>
      <c r="B11">
        <v>14</v>
      </c>
      <c r="C11" t="s">
        <v>12</v>
      </c>
      <c r="D11" t="s">
        <v>1</v>
      </c>
      <c r="E11" t="s">
        <v>63</v>
      </c>
      <c r="F11" s="1">
        <v>45875</v>
      </c>
      <c r="G11" t="s">
        <v>64</v>
      </c>
      <c r="H11" t="s">
        <v>4</v>
      </c>
      <c r="I11" t="s">
        <v>15</v>
      </c>
      <c r="J11" t="s">
        <v>16</v>
      </c>
      <c r="K11" t="s">
        <v>58</v>
      </c>
      <c r="L11" t="s">
        <v>65</v>
      </c>
      <c r="M11" t="s">
        <v>66</v>
      </c>
      <c r="N11" t="s">
        <v>67</v>
      </c>
      <c r="O11" t="s">
        <v>44</v>
      </c>
      <c r="P11" t="s">
        <v>22</v>
      </c>
      <c r="Q11" t="str">
        <f>IF(K2="notes","Not Alarak",
IF(K2="textbook","Ders Kitabı",
IF(K2="group study","Grup Çalışması",
IF(K2="coaching","Bireysel Koçluk",
IF(K2="mixed","Karma Yöntem",
IF(K2="online video","Online Video",K2))))))</f>
        <v>Not Alarak</v>
      </c>
    </row>
    <row r="12" spans="1:18" x14ac:dyDescent="0.3">
      <c r="A12">
        <v>11</v>
      </c>
      <c r="B12">
        <v>17</v>
      </c>
      <c r="C12" t="s">
        <v>12</v>
      </c>
      <c r="D12" t="s">
        <v>23</v>
      </c>
      <c r="E12" t="s">
        <v>13</v>
      </c>
      <c r="F12" s="1">
        <v>45663</v>
      </c>
      <c r="G12" t="s">
        <v>68</v>
      </c>
      <c r="H12" t="s">
        <v>4</v>
      </c>
      <c r="I12" t="s">
        <v>33</v>
      </c>
      <c r="J12" t="s">
        <v>16</v>
      </c>
      <c r="K12" t="s">
        <v>6</v>
      </c>
      <c r="L12" t="s">
        <v>69</v>
      </c>
      <c r="M12" t="s">
        <v>70</v>
      </c>
      <c r="N12" t="s">
        <v>71</v>
      </c>
      <c r="O12" t="s">
        <v>72</v>
      </c>
      <c r="P12" t="s">
        <v>73</v>
      </c>
      <c r="Q12">
        <f ca="1">RANDBETWEEN(30,100)</f>
        <v>38</v>
      </c>
    </row>
    <row r="13" spans="1:18" x14ac:dyDescent="0.3">
      <c r="A13">
        <v>12</v>
      </c>
      <c r="B13">
        <v>19</v>
      </c>
      <c r="C13" t="s">
        <v>30</v>
      </c>
      <c r="D13" t="s">
        <v>1</v>
      </c>
      <c r="E13" t="s">
        <v>2</v>
      </c>
      <c r="F13" t="s">
        <v>74</v>
      </c>
      <c r="G13" t="s">
        <v>75</v>
      </c>
      <c r="H13" t="s">
        <v>4</v>
      </c>
      <c r="I13" t="s">
        <v>5</v>
      </c>
      <c r="J13" t="s">
        <v>4</v>
      </c>
      <c r="K13" t="s">
        <v>6</v>
      </c>
      <c r="L13" t="s">
        <v>76</v>
      </c>
      <c r="M13" t="s">
        <v>35</v>
      </c>
      <c r="N13" t="s">
        <v>77</v>
      </c>
      <c r="O13" t="s">
        <v>78</v>
      </c>
      <c r="P13" t="s">
        <v>22</v>
      </c>
      <c r="Q13">
        <f ca="1">RANDBETWEEN(20,100)</f>
        <v>64</v>
      </c>
    </row>
    <row r="14" spans="1:18" x14ac:dyDescent="0.3">
      <c r="A14">
        <v>13</v>
      </c>
      <c r="B14">
        <v>18</v>
      </c>
      <c r="C14" t="s">
        <v>12</v>
      </c>
      <c r="D14" t="s">
        <v>23</v>
      </c>
      <c r="E14" t="s">
        <v>31</v>
      </c>
      <c r="F14" s="1">
        <v>45875</v>
      </c>
      <c r="G14" t="s">
        <v>79</v>
      </c>
      <c r="H14" t="s">
        <v>4</v>
      </c>
      <c r="I14" t="s">
        <v>15</v>
      </c>
      <c r="J14" t="s">
        <v>16</v>
      </c>
      <c r="K14" t="s">
        <v>58</v>
      </c>
      <c r="L14" t="s">
        <v>80</v>
      </c>
      <c r="M14" t="s">
        <v>81</v>
      </c>
      <c r="N14" t="s">
        <v>82</v>
      </c>
      <c r="O14" t="s">
        <v>83</v>
      </c>
      <c r="P14" t="s">
        <v>73</v>
      </c>
      <c r="Q14">
        <f ca="1">RANDBETWEEN(40,100)</f>
        <v>63</v>
      </c>
    </row>
    <row r="15" spans="1:18" x14ac:dyDescent="0.3">
      <c r="A15">
        <v>14</v>
      </c>
      <c r="B15">
        <v>18</v>
      </c>
      <c r="C15" t="s">
        <v>30</v>
      </c>
      <c r="D15" t="s">
        <v>1</v>
      </c>
      <c r="E15" t="s">
        <v>63</v>
      </c>
      <c r="F15" s="1">
        <v>45717</v>
      </c>
      <c r="G15" t="s">
        <v>84</v>
      </c>
      <c r="H15" t="s">
        <v>4</v>
      </c>
      <c r="I15" t="s">
        <v>38</v>
      </c>
      <c r="J15" t="s">
        <v>4</v>
      </c>
      <c r="K15" t="s">
        <v>17</v>
      </c>
      <c r="L15" t="s">
        <v>85</v>
      </c>
      <c r="M15" s="1">
        <v>45895</v>
      </c>
      <c r="N15" t="s">
        <v>86</v>
      </c>
      <c r="O15" t="s">
        <v>87</v>
      </c>
      <c r="P15" t="s">
        <v>11</v>
      </c>
      <c r="Q15" t="e">
        <f>AVERAGE(M2,N2,O2)</f>
        <v>#DIV/0!</v>
      </c>
    </row>
    <row r="16" spans="1:18" x14ac:dyDescent="0.3">
      <c r="A16">
        <v>15</v>
      </c>
      <c r="B16">
        <v>18</v>
      </c>
      <c r="C16" t="s">
        <v>30</v>
      </c>
      <c r="D16" t="s">
        <v>1</v>
      </c>
      <c r="E16" t="s">
        <v>31</v>
      </c>
      <c r="F16" s="1">
        <v>45904</v>
      </c>
      <c r="G16" t="s">
        <v>88</v>
      </c>
      <c r="H16" t="s">
        <v>4</v>
      </c>
      <c r="I16" t="s">
        <v>5</v>
      </c>
      <c r="J16" t="s">
        <v>16</v>
      </c>
      <c r="K16" t="s">
        <v>45</v>
      </c>
      <c r="L16" t="s">
        <v>89</v>
      </c>
      <c r="M16" t="s">
        <v>90</v>
      </c>
      <c r="N16" t="s">
        <v>91</v>
      </c>
      <c r="O16" t="s">
        <v>92</v>
      </c>
      <c r="P16" t="s">
        <v>22</v>
      </c>
      <c r="Q16" t="str">
        <f>IF(O2&gt;=90,"A",
IF(O2&gt;=80,"B",
IF(O2&gt;=60,"C",
IF(O2&gt;=40,"D","F"))))</f>
        <v>A</v>
      </c>
    </row>
    <row r="17" spans="1:16" x14ac:dyDescent="0.3">
      <c r="A17">
        <v>16</v>
      </c>
      <c r="B17">
        <v>18</v>
      </c>
      <c r="C17" t="s">
        <v>30</v>
      </c>
      <c r="D17" t="s">
        <v>23</v>
      </c>
      <c r="E17" t="s">
        <v>2</v>
      </c>
      <c r="F17" t="s">
        <v>93</v>
      </c>
      <c r="G17" t="s">
        <v>94</v>
      </c>
      <c r="H17" t="s">
        <v>4</v>
      </c>
      <c r="I17" t="s">
        <v>33</v>
      </c>
      <c r="J17" t="s">
        <v>4</v>
      </c>
      <c r="K17" t="s">
        <v>45</v>
      </c>
      <c r="L17" t="s">
        <v>95</v>
      </c>
      <c r="M17" t="s">
        <v>96</v>
      </c>
      <c r="N17" t="s">
        <v>97</v>
      </c>
      <c r="O17" t="s">
        <v>98</v>
      </c>
      <c r="P17" t="s">
        <v>73</v>
      </c>
    </row>
    <row r="18" spans="1:16" x14ac:dyDescent="0.3">
      <c r="A18">
        <v>17</v>
      </c>
      <c r="B18">
        <v>17</v>
      </c>
      <c r="C18" t="s">
        <v>30</v>
      </c>
      <c r="D18" t="s">
        <v>23</v>
      </c>
      <c r="E18" t="s">
        <v>99</v>
      </c>
      <c r="F18" s="1">
        <v>45718</v>
      </c>
      <c r="G18" t="s">
        <v>100</v>
      </c>
      <c r="H18" t="s">
        <v>4</v>
      </c>
      <c r="I18" t="s">
        <v>5</v>
      </c>
      <c r="J18" t="s">
        <v>4</v>
      </c>
      <c r="K18" t="s">
        <v>58</v>
      </c>
      <c r="L18" t="s">
        <v>101</v>
      </c>
      <c r="M18" t="s">
        <v>102</v>
      </c>
      <c r="N18" t="s">
        <v>103</v>
      </c>
      <c r="O18" t="s">
        <v>104</v>
      </c>
      <c r="P18" t="s">
        <v>11</v>
      </c>
    </row>
    <row r="19" spans="1:16" x14ac:dyDescent="0.3">
      <c r="A19">
        <v>18</v>
      </c>
      <c r="B19">
        <v>14</v>
      </c>
      <c r="C19" t="s">
        <v>12</v>
      </c>
      <c r="D19" t="s">
        <v>1</v>
      </c>
      <c r="E19" t="s">
        <v>2</v>
      </c>
      <c r="F19" t="s">
        <v>105</v>
      </c>
      <c r="G19" t="s">
        <v>106</v>
      </c>
      <c r="H19" t="s">
        <v>4</v>
      </c>
      <c r="I19" t="s">
        <v>33</v>
      </c>
      <c r="J19" t="s">
        <v>4</v>
      </c>
      <c r="K19" t="s">
        <v>107</v>
      </c>
      <c r="L19" t="s">
        <v>108</v>
      </c>
      <c r="M19" t="s">
        <v>109</v>
      </c>
      <c r="N19" t="s">
        <v>59</v>
      </c>
      <c r="O19" t="s">
        <v>110</v>
      </c>
      <c r="P19" t="s">
        <v>11</v>
      </c>
    </row>
    <row r="20" spans="1:16" x14ac:dyDescent="0.3">
      <c r="A20">
        <v>19</v>
      </c>
      <c r="B20">
        <v>19</v>
      </c>
      <c r="C20" t="s">
        <v>0</v>
      </c>
      <c r="D20" t="s">
        <v>1</v>
      </c>
      <c r="E20" t="s">
        <v>2</v>
      </c>
      <c r="F20" s="1">
        <v>45781</v>
      </c>
      <c r="G20" t="s">
        <v>111</v>
      </c>
      <c r="H20" t="s">
        <v>4</v>
      </c>
      <c r="I20" t="s">
        <v>38</v>
      </c>
      <c r="J20" t="s">
        <v>4</v>
      </c>
      <c r="K20" t="s">
        <v>107</v>
      </c>
      <c r="L20" t="s">
        <v>112</v>
      </c>
      <c r="M20" t="s">
        <v>113</v>
      </c>
      <c r="N20" t="s">
        <v>114</v>
      </c>
      <c r="O20" t="s">
        <v>115</v>
      </c>
      <c r="P20" t="s">
        <v>22</v>
      </c>
    </row>
    <row r="21" spans="1:16" x14ac:dyDescent="0.3">
      <c r="A21">
        <v>20</v>
      </c>
      <c r="B21">
        <v>16</v>
      </c>
      <c r="C21" t="s">
        <v>12</v>
      </c>
      <c r="D21" t="s">
        <v>1</v>
      </c>
      <c r="E21" t="s">
        <v>2</v>
      </c>
      <c r="F21" s="1">
        <v>45751</v>
      </c>
      <c r="G21" t="s">
        <v>60</v>
      </c>
      <c r="H21" t="s">
        <v>4</v>
      </c>
      <c r="I21" t="s">
        <v>5</v>
      </c>
      <c r="J21" t="s">
        <v>16</v>
      </c>
      <c r="K21" t="s">
        <v>58</v>
      </c>
      <c r="L21" t="s">
        <v>116</v>
      </c>
      <c r="M21" t="s">
        <v>117</v>
      </c>
      <c r="N21" t="s">
        <v>118</v>
      </c>
      <c r="O21" t="s">
        <v>119</v>
      </c>
      <c r="P21" t="s">
        <v>22</v>
      </c>
    </row>
    <row r="22" spans="1:16" x14ac:dyDescent="0.3">
      <c r="A22">
        <v>21</v>
      </c>
      <c r="B22">
        <v>17</v>
      </c>
      <c r="C22" t="s">
        <v>0</v>
      </c>
      <c r="D22" t="s">
        <v>23</v>
      </c>
      <c r="E22" t="s">
        <v>99</v>
      </c>
      <c r="F22" s="1">
        <v>45752</v>
      </c>
      <c r="G22" t="s">
        <v>120</v>
      </c>
      <c r="H22" t="s">
        <v>4</v>
      </c>
      <c r="I22" t="s">
        <v>15</v>
      </c>
      <c r="J22" t="s">
        <v>16</v>
      </c>
      <c r="K22" t="s">
        <v>17</v>
      </c>
      <c r="L22" t="s">
        <v>121</v>
      </c>
      <c r="M22" t="s">
        <v>122</v>
      </c>
      <c r="N22" t="s">
        <v>122</v>
      </c>
      <c r="O22" t="s">
        <v>67</v>
      </c>
      <c r="P22" t="s">
        <v>73</v>
      </c>
    </row>
    <row r="23" spans="1:16" x14ac:dyDescent="0.3">
      <c r="A23">
        <v>22</v>
      </c>
      <c r="B23">
        <v>16</v>
      </c>
      <c r="C23" t="s">
        <v>12</v>
      </c>
      <c r="D23" t="s">
        <v>1</v>
      </c>
      <c r="E23" t="s">
        <v>63</v>
      </c>
      <c r="F23" s="1">
        <v>45659</v>
      </c>
      <c r="G23" t="s">
        <v>123</v>
      </c>
      <c r="H23" t="s">
        <v>4</v>
      </c>
      <c r="I23" t="s">
        <v>15</v>
      </c>
      <c r="J23" t="s">
        <v>4</v>
      </c>
      <c r="K23" t="s">
        <v>39</v>
      </c>
      <c r="L23" t="s">
        <v>124</v>
      </c>
      <c r="M23" t="s">
        <v>125</v>
      </c>
      <c r="N23" t="s">
        <v>126</v>
      </c>
      <c r="O23" t="s">
        <v>127</v>
      </c>
      <c r="P23" t="s">
        <v>22</v>
      </c>
    </row>
    <row r="24" spans="1:16" x14ac:dyDescent="0.3">
      <c r="A24">
        <v>23</v>
      </c>
      <c r="B24">
        <v>15</v>
      </c>
      <c r="C24" t="s">
        <v>30</v>
      </c>
      <c r="D24" t="s">
        <v>1</v>
      </c>
      <c r="E24" t="s">
        <v>31</v>
      </c>
      <c r="F24" s="1">
        <v>45870</v>
      </c>
      <c r="G24" t="s">
        <v>82</v>
      </c>
      <c r="H24" t="s">
        <v>16</v>
      </c>
      <c r="I24" t="s">
        <v>38</v>
      </c>
      <c r="J24" t="s">
        <v>4</v>
      </c>
      <c r="K24" t="s">
        <v>107</v>
      </c>
      <c r="L24" t="s">
        <v>128</v>
      </c>
      <c r="M24" t="s">
        <v>129</v>
      </c>
      <c r="N24" s="1">
        <v>45919</v>
      </c>
      <c r="O24" t="s">
        <v>130</v>
      </c>
      <c r="P24" t="s">
        <v>42</v>
      </c>
    </row>
    <row r="25" spans="1:16" x14ac:dyDescent="0.3">
      <c r="A25">
        <v>24</v>
      </c>
      <c r="B25">
        <v>19</v>
      </c>
      <c r="C25" t="s">
        <v>12</v>
      </c>
      <c r="D25" t="s">
        <v>1</v>
      </c>
      <c r="E25" t="s">
        <v>99</v>
      </c>
      <c r="F25" s="1">
        <v>45876</v>
      </c>
      <c r="G25" t="s">
        <v>131</v>
      </c>
      <c r="H25" t="s">
        <v>4</v>
      </c>
      <c r="I25" t="s">
        <v>33</v>
      </c>
      <c r="J25" t="s">
        <v>4</v>
      </c>
      <c r="K25" t="s">
        <v>6</v>
      </c>
      <c r="L25" t="s">
        <v>132</v>
      </c>
      <c r="M25" t="s">
        <v>132</v>
      </c>
      <c r="N25" t="s">
        <v>132</v>
      </c>
      <c r="O25" t="s">
        <v>133</v>
      </c>
      <c r="P25" t="s">
        <v>29</v>
      </c>
    </row>
    <row r="26" spans="1:16" x14ac:dyDescent="0.3">
      <c r="A26">
        <v>25</v>
      </c>
      <c r="B26">
        <v>18</v>
      </c>
      <c r="C26" t="s">
        <v>0</v>
      </c>
      <c r="D26" t="s">
        <v>1</v>
      </c>
      <c r="E26" t="s">
        <v>43</v>
      </c>
      <c r="F26" s="1">
        <v>45748</v>
      </c>
      <c r="G26" t="s">
        <v>134</v>
      </c>
      <c r="H26" t="s">
        <v>4</v>
      </c>
      <c r="I26" t="s">
        <v>5</v>
      </c>
      <c r="J26" t="s">
        <v>16</v>
      </c>
      <c r="K26" t="s">
        <v>58</v>
      </c>
      <c r="L26" t="s">
        <v>135</v>
      </c>
      <c r="M26" t="s">
        <v>136</v>
      </c>
      <c r="N26" t="s">
        <v>137</v>
      </c>
      <c r="O26" t="s">
        <v>138</v>
      </c>
      <c r="P26" t="s">
        <v>11</v>
      </c>
    </row>
    <row r="27" spans="1:16" x14ac:dyDescent="0.3">
      <c r="A27">
        <v>26</v>
      </c>
      <c r="B27">
        <v>17</v>
      </c>
      <c r="C27" t="s">
        <v>0</v>
      </c>
      <c r="D27" t="s">
        <v>23</v>
      </c>
      <c r="E27" t="s">
        <v>63</v>
      </c>
      <c r="F27" t="s">
        <v>139</v>
      </c>
      <c r="G27" t="s">
        <v>140</v>
      </c>
      <c r="H27" t="s">
        <v>4</v>
      </c>
      <c r="I27" t="s">
        <v>15</v>
      </c>
      <c r="J27" t="s">
        <v>16</v>
      </c>
      <c r="K27" t="s">
        <v>45</v>
      </c>
      <c r="L27" t="s">
        <v>132</v>
      </c>
      <c r="M27" t="s">
        <v>141</v>
      </c>
      <c r="N27" t="s">
        <v>92</v>
      </c>
      <c r="O27" t="s">
        <v>142</v>
      </c>
      <c r="P27" t="s">
        <v>29</v>
      </c>
    </row>
    <row r="28" spans="1:16" x14ac:dyDescent="0.3">
      <c r="A28">
        <v>27</v>
      </c>
      <c r="B28">
        <v>16</v>
      </c>
      <c r="C28" t="s">
        <v>30</v>
      </c>
      <c r="D28" t="s">
        <v>1</v>
      </c>
      <c r="E28" t="s">
        <v>2</v>
      </c>
      <c r="F28" s="1">
        <v>45905</v>
      </c>
      <c r="G28" t="s">
        <v>143</v>
      </c>
      <c r="H28" t="s">
        <v>4</v>
      </c>
      <c r="I28" t="s">
        <v>33</v>
      </c>
      <c r="J28" t="s">
        <v>16</v>
      </c>
      <c r="K28" t="s">
        <v>17</v>
      </c>
      <c r="L28" t="s">
        <v>133</v>
      </c>
      <c r="M28" t="s">
        <v>144</v>
      </c>
      <c r="N28" t="s">
        <v>145</v>
      </c>
      <c r="O28" t="s">
        <v>146</v>
      </c>
      <c r="P28" t="s">
        <v>73</v>
      </c>
    </row>
    <row r="29" spans="1:16" x14ac:dyDescent="0.3">
      <c r="A29">
        <v>28</v>
      </c>
      <c r="B29">
        <v>18</v>
      </c>
      <c r="C29" t="s">
        <v>30</v>
      </c>
      <c r="D29" t="s">
        <v>23</v>
      </c>
      <c r="E29" t="s">
        <v>2</v>
      </c>
      <c r="F29" s="1">
        <v>45693</v>
      </c>
      <c r="G29" t="s">
        <v>147</v>
      </c>
      <c r="H29" t="s">
        <v>4</v>
      </c>
      <c r="I29" t="s">
        <v>5</v>
      </c>
      <c r="J29" t="s">
        <v>4</v>
      </c>
      <c r="K29" t="s">
        <v>17</v>
      </c>
      <c r="L29" t="s">
        <v>148</v>
      </c>
      <c r="M29" t="s">
        <v>149</v>
      </c>
      <c r="N29" t="s">
        <v>150</v>
      </c>
      <c r="O29" t="s">
        <v>69</v>
      </c>
      <c r="P29" t="s">
        <v>73</v>
      </c>
    </row>
    <row r="30" spans="1:16" x14ac:dyDescent="0.3">
      <c r="A30">
        <v>29</v>
      </c>
      <c r="B30">
        <v>17</v>
      </c>
      <c r="C30" t="s">
        <v>12</v>
      </c>
      <c r="D30" t="s">
        <v>23</v>
      </c>
      <c r="E30" t="s">
        <v>2</v>
      </c>
      <c r="F30" t="s">
        <v>151</v>
      </c>
      <c r="G30" t="s">
        <v>152</v>
      </c>
      <c r="H30" t="s">
        <v>4</v>
      </c>
      <c r="I30" t="s">
        <v>33</v>
      </c>
      <c r="J30" t="s">
        <v>16</v>
      </c>
      <c r="K30" t="s">
        <v>58</v>
      </c>
      <c r="L30" t="s">
        <v>153</v>
      </c>
      <c r="M30" t="s">
        <v>154</v>
      </c>
      <c r="N30" t="s">
        <v>155</v>
      </c>
      <c r="O30" t="s">
        <v>156</v>
      </c>
      <c r="P30" t="s">
        <v>11</v>
      </c>
    </row>
    <row r="31" spans="1:16" x14ac:dyDescent="0.3">
      <c r="A31">
        <v>30</v>
      </c>
      <c r="B31">
        <v>16</v>
      </c>
      <c r="C31" t="s">
        <v>30</v>
      </c>
      <c r="D31" t="s">
        <v>1</v>
      </c>
      <c r="E31" t="s">
        <v>63</v>
      </c>
      <c r="F31" t="s">
        <v>157</v>
      </c>
      <c r="G31" t="s">
        <v>143</v>
      </c>
      <c r="H31" t="s">
        <v>4</v>
      </c>
      <c r="I31" t="s">
        <v>15</v>
      </c>
      <c r="J31" t="s">
        <v>4</v>
      </c>
      <c r="K31" t="s">
        <v>17</v>
      </c>
      <c r="L31" t="s">
        <v>97</v>
      </c>
      <c r="M31" t="s">
        <v>158</v>
      </c>
      <c r="N31" t="s">
        <v>159</v>
      </c>
      <c r="O31" t="s">
        <v>160</v>
      </c>
      <c r="P31" t="s">
        <v>73</v>
      </c>
    </row>
    <row r="32" spans="1:16" x14ac:dyDescent="0.3">
      <c r="A32">
        <v>31</v>
      </c>
      <c r="B32">
        <v>16</v>
      </c>
      <c r="C32" t="s">
        <v>30</v>
      </c>
      <c r="D32" t="s">
        <v>23</v>
      </c>
      <c r="E32" t="s">
        <v>99</v>
      </c>
      <c r="F32" s="1">
        <v>45723</v>
      </c>
      <c r="G32" t="s">
        <v>161</v>
      </c>
      <c r="H32" t="s">
        <v>4</v>
      </c>
      <c r="I32" t="s">
        <v>38</v>
      </c>
      <c r="J32" t="s">
        <v>4</v>
      </c>
      <c r="K32" t="s">
        <v>39</v>
      </c>
      <c r="L32" t="s">
        <v>162</v>
      </c>
      <c r="M32" t="s">
        <v>163</v>
      </c>
      <c r="N32" t="s">
        <v>164</v>
      </c>
      <c r="O32" t="s">
        <v>165</v>
      </c>
      <c r="P32" t="s">
        <v>29</v>
      </c>
    </row>
    <row r="33" spans="1:16" x14ac:dyDescent="0.3">
      <c r="A33">
        <v>32</v>
      </c>
      <c r="B33">
        <v>15</v>
      </c>
      <c r="C33" t="s">
        <v>12</v>
      </c>
      <c r="D33" t="s">
        <v>23</v>
      </c>
      <c r="E33" t="s">
        <v>31</v>
      </c>
      <c r="F33" s="1">
        <v>45905</v>
      </c>
      <c r="G33" t="s">
        <v>166</v>
      </c>
      <c r="H33" t="s">
        <v>4</v>
      </c>
      <c r="I33" t="s">
        <v>15</v>
      </c>
      <c r="J33" t="s">
        <v>4</v>
      </c>
      <c r="K33" t="s">
        <v>17</v>
      </c>
      <c r="L33" t="s">
        <v>167</v>
      </c>
      <c r="M33" t="s">
        <v>146</v>
      </c>
      <c r="N33" t="s">
        <v>140</v>
      </c>
      <c r="O33" t="s">
        <v>168</v>
      </c>
      <c r="P33" t="s">
        <v>73</v>
      </c>
    </row>
    <row r="34" spans="1:16" x14ac:dyDescent="0.3">
      <c r="A34">
        <v>33</v>
      </c>
      <c r="B34">
        <v>14</v>
      </c>
      <c r="C34" t="s">
        <v>0</v>
      </c>
      <c r="D34" t="s">
        <v>23</v>
      </c>
      <c r="E34" t="s">
        <v>43</v>
      </c>
      <c r="F34" s="1">
        <v>45874</v>
      </c>
      <c r="G34" t="s">
        <v>169</v>
      </c>
      <c r="H34" t="s">
        <v>4</v>
      </c>
      <c r="I34" t="s">
        <v>38</v>
      </c>
      <c r="J34" t="s">
        <v>4</v>
      </c>
      <c r="K34" t="s">
        <v>6</v>
      </c>
      <c r="L34" t="s">
        <v>170</v>
      </c>
      <c r="M34" t="s">
        <v>171</v>
      </c>
      <c r="N34" t="s">
        <v>25</v>
      </c>
      <c r="O34" t="s">
        <v>172</v>
      </c>
      <c r="P34" t="s">
        <v>73</v>
      </c>
    </row>
    <row r="35" spans="1:16" x14ac:dyDescent="0.3">
      <c r="A35">
        <v>34</v>
      </c>
      <c r="B35">
        <v>17</v>
      </c>
      <c r="C35" t="s">
        <v>30</v>
      </c>
      <c r="D35" t="s">
        <v>1</v>
      </c>
      <c r="E35" t="s">
        <v>13</v>
      </c>
      <c r="F35" s="1">
        <v>45692</v>
      </c>
      <c r="G35" t="s">
        <v>173</v>
      </c>
      <c r="H35" t="s">
        <v>16</v>
      </c>
      <c r="I35" t="s">
        <v>33</v>
      </c>
      <c r="J35" t="s">
        <v>16</v>
      </c>
      <c r="K35" t="s">
        <v>45</v>
      </c>
      <c r="L35" t="s">
        <v>174</v>
      </c>
      <c r="M35" t="s">
        <v>175</v>
      </c>
      <c r="N35" t="s">
        <v>176</v>
      </c>
      <c r="O35" t="s">
        <v>177</v>
      </c>
      <c r="P35" t="s">
        <v>22</v>
      </c>
    </row>
    <row r="36" spans="1:16" x14ac:dyDescent="0.3">
      <c r="A36">
        <v>35</v>
      </c>
      <c r="B36">
        <v>19</v>
      </c>
      <c r="C36" t="s">
        <v>12</v>
      </c>
      <c r="D36" t="s">
        <v>1</v>
      </c>
      <c r="E36" t="s">
        <v>31</v>
      </c>
      <c r="F36" s="1">
        <v>45658</v>
      </c>
      <c r="G36" t="s">
        <v>178</v>
      </c>
      <c r="H36" t="s">
        <v>4</v>
      </c>
      <c r="I36" t="s">
        <v>38</v>
      </c>
      <c r="J36" t="s">
        <v>16</v>
      </c>
      <c r="K36" t="s">
        <v>45</v>
      </c>
      <c r="L36" t="s">
        <v>179</v>
      </c>
      <c r="M36" t="s">
        <v>180</v>
      </c>
      <c r="N36" t="s">
        <v>181</v>
      </c>
      <c r="O36" t="s">
        <v>182</v>
      </c>
      <c r="P36" t="s">
        <v>11</v>
      </c>
    </row>
    <row r="37" spans="1:16" x14ac:dyDescent="0.3">
      <c r="A37">
        <v>36</v>
      </c>
      <c r="B37">
        <v>14</v>
      </c>
      <c r="C37" t="s">
        <v>30</v>
      </c>
      <c r="D37" t="s">
        <v>23</v>
      </c>
      <c r="E37" t="s">
        <v>63</v>
      </c>
      <c r="F37" t="s">
        <v>139</v>
      </c>
      <c r="G37" t="s">
        <v>183</v>
      </c>
      <c r="H37" t="s">
        <v>4</v>
      </c>
      <c r="I37" t="s">
        <v>38</v>
      </c>
      <c r="J37" t="s">
        <v>16</v>
      </c>
      <c r="K37" t="s">
        <v>107</v>
      </c>
      <c r="L37" t="s">
        <v>184</v>
      </c>
      <c r="M37" t="s">
        <v>120</v>
      </c>
      <c r="N37" t="s">
        <v>132</v>
      </c>
      <c r="O37" t="s">
        <v>165</v>
      </c>
      <c r="P37" t="s">
        <v>29</v>
      </c>
    </row>
    <row r="38" spans="1:16" x14ac:dyDescent="0.3">
      <c r="A38">
        <v>37</v>
      </c>
      <c r="B38">
        <v>19</v>
      </c>
      <c r="C38" t="s">
        <v>30</v>
      </c>
      <c r="D38" t="s">
        <v>1</v>
      </c>
      <c r="E38" t="s">
        <v>63</v>
      </c>
      <c r="F38" t="s">
        <v>185</v>
      </c>
      <c r="G38" t="s">
        <v>186</v>
      </c>
      <c r="H38" t="s">
        <v>4</v>
      </c>
      <c r="I38" t="s">
        <v>15</v>
      </c>
      <c r="J38" t="s">
        <v>16</v>
      </c>
      <c r="K38" t="s">
        <v>45</v>
      </c>
      <c r="L38" t="s">
        <v>187</v>
      </c>
      <c r="M38" t="s">
        <v>188</v>
      </c>
      <c r="N38" t="s">
        <v>189</v>
      </c>
      <c r="O38" t="s">
        <v>190</v>
      </c>
      <c r="P38" t="s">
        <v>11</v>
      </c>
    </row>
    <row r="39" spans="1:16" x14ac:dyDescent="0.3">
      <c r="A39">
        <v>38</v>
      </c>
      <c r="B39">
        <v>18</v>
      </c>
      <c r="C39" t="s">
        <v>12</v>
      </c>
      <c r="D39" t="s">
        <v>1</v>
      </c>
      <c r="E39" t="s">
        <v>31</v>
      </c>
      <c r="F39" s="1">
        <v>45692</v>
      </c>
      <c r="G39" t="s">
        <v>191</v>
      </c>
      <c r="H39" t="s">
        <v>4</v>
      </c>
      <c r="I39" t="s">
        <v>33</v>
      </c>
      <c r="J39" t="s">
        <v>16</v>
      </c>
      <c r="K39" t="s">
        <v>6</v>
      </c>
      <c r="L39" t="s">
        <v>192</v>
      </c>
      <c r="M39" t="s">
        <v>158</v>
      </c>
      <c r="N39" t="s">
        <v>193</v>
      </c>
      <c r="O39" t="s">
        <v>194</v>
      </c>
      <c r="P39" t="s">
        <v>73</v>
      </c>
    </row>
    <row r="40" spans="1:16" x14ac:dyDescent="0.3">
      <c r="A40">
        <v>39</v>
      </c>
      <c r="B40">
        <v>15</v>
      </c>
      <c r="C40" t="s">
        <v>12</v>
      </c>
      <c r="D40" t="s">
        <v>23</v>
      </c>
      <c r="E40" t="s">
        <v>99</v>
      </c>
      <c r="F40" s="1">
        <v>45719</v>
      </c>
      <c r="G40" t="s">
        <v>195</v>
      </c>
      <c r="H40" t="s">
        <v>4</v>
      </c>
      <c r="I40" t="s">
        <v>33</v>
      </c>
      <c r="J40" t="s">
        <v>4</v>
      </c>
      <c r="K40" t="s">
        <v>6</v>
      </c>
      <c r="L40" t="s">
        <v>104</v>
      </c>
      <c r="M40" t="s">
        <v>196</v>
      </c>
      <c r="N40" t="s">
        <v>193</v>
      </c>
      <c r="O40" t="s">
        <v>197</v>
      </c>
      <c r="P40" t="s">
        <v>22</v>
      </c>
    </row>
    <row r="41" spans="1:16" x14ac:dyDescent="0.3">
      <c r="A41">
        <v>40</v>
      </c>
      <c r="B41">
        <v>17</v>
      </c>
      <c r="C41" t="s">
        <v>0</v>
      </c>
      <c r="D41" t="s">
        <v>1</v>
      </c>
      <c r="E41" t="s">
        <v>63</v>
      </c>
      <c r="F41" s="1">
        <v>45722</v>
      </c>
      <c r="G41" t="s">
        <v>175</v>
      </c>
      <c r="H41" t="s">
        <v>4</v>
      </c>
      <c r="I41" t="s">
        <v>5</v>
      </c>
      <c r="J41" t="s">
        <v>4</v>
      </c>
      <c r="K41" t="s">
        <v>6</v>
      </c>
      <c r="L41" t="s">
        <v>198</v>
      </c>
      <c r="M41" t="s">
        <v>199</v>
      </c>
      <c r="N41" t="s">
        <v>200</v>
      </c>
      <c r="O41" t="s">
        <v>201</v>
      </c>
      <c r="P41" t="s">
        <v>22</v>
      </c>
    </row>
    <row r="42" spans="1:16" x14ac:dyDescent="0.3">
      <c r="A42">
        <v>41</v>
      </c>
      <c r="B42">
        <v>14</v>
      </c>
      <c r="C42" t="s">
        <v>30</v>
      </c>
      <c r="D42" t="s">
        <v>23</v>
      </c>
      <c r="E42" t="s">
        <v>2</v>
      </c>
      <c r="F42" t="s">
        <v>202</v>
      </c>
      <c r="G42" t="s">
        <v>203</v>
      </c>
      <c r="H42" t="s">
        <v>4</v>
      </c>
      <c r="I42" t="s">
        <v>33</v>
      </c>
      <c r="J42" t="s">
        <v>4</v>
      </c>
      <c r="K42" t="s">
        <v>17</v>
      </c>
      <c r="L42" t="s">
        <v>131</v>
      </c>
      <c r="M42" t="s">
        <v>166</v>
      </c>
      <c r="N42" t="s">
        <v>132</v>
      </c>
      <c r="O42" t="s">
        <v>204</v>
      </c>
      <c r="P42" t="s">
        <v>29</v>
      </c>
    </row>
    <row r="43" spans="1:16" x14ac:dyDescent="0.3">
      <c r="A43">
        <v>42</v>
      </c>
      <c r="B43">
        <v>18</v>
      </c>
      <c r="C43" t="s">
        <v>0</v>
      </c>
      <c r="D43" t="s">
        <v>23</v>
      </c>
      <c r="E43" t="s">
        <v>43</v>
      </c>
      <c r="F43" s="1">
        <v>45693</v>
      </c>
      <c r="G43" t="s">
        <v>205</v>
      </c>
      <c r="H43" t="s">
        <v>4</v>
      </c>
      <c r="I43" t="s">
        <v>38</v>
      </c>
      <c r="J43" t="s">
        <v>4</v>
      </c>
      <c r="K43" t="s">
        <v>6</v>
      </c>
      <c r="L43" t="s">
        <v>206</v>
      </c>
      <c r="M43" t="s">
        <v>79</v>
      </c>
      <c r="N43" t="s">
        <v>56</v>
      </c>
      <c r="O43" t="s">
        <v>117</v>
      </c>
      <c r="P43" t="s">
        <v>11</v>
      </c>
    </row>
    <row r="44" spans="1:16" x14ac:dyDescent="0.3">
      <c r="A44">
        <v>43</v>
      </c>
      <c r="B44">
        <v>18</v>
      </c>
      <c r="C44" t="s">
        <v>12</v>
      </c>
      <c r="D44" t="s">
        <v>1</v>
      </c>
      <c r="E44" t="s">
        <v>99</v>
      </c>
      <c r="F44" s="1">
        <v>45658</v>
      </c>
      <c r="G44" t="s">
        <v>207</v>
      </c>
      <c r="H44" t="s">
        <v>4</v>
      </c>
      <c r="I44" t="s">
        <v>33</v>
      </c>
      <c r="J44" t="s">
        <v>16</v>
      </c>
      <c r="K44" t="s">
        <v>39</v>
      </c>
      <c r="L44" t="s">
        <v>208</v>
      </c>
      <c r="M44" t="s">
        <v>209</v>
      </c>
      <c r="N44" t="s">
        <v>210</v>
      </c>
      <c r="O44" s="1">
        <v>45861</v>
      </c>
      <c r="P44" t="s">
        <v>42</v>
      </c>
    </row>
    <row r="45" spans="1:16" x14ac:dyDescent="0.3">
      <c r="A45">
        <v>44</v>
      </c>
      <c r="B45">
        <v>16</v>
      </c>
      <c r="C45" t="s">
        <v>12</v>
      </c>
      <c r="D45" t="s">
        <v>23</v>
      </c>
      <c r="E45" t="s">
        <v>99</v>
      </c>
      <c r="F45" s="1">
        <v>45718</v>
      </c>
      <c r="G45" t="s">
        <v>211</v>
      </c>
      <c r="H45" t="s">
        <v>4</v>
      </c>
      <c r="I45" t="s">
        <v>38</v>
      </c>
      <c r="J45" t="s">
        <v>16</v>
      </c>
      <c r="K45" t="s">
        <v>58</v>
      </c>
      <c r="L45" t="s">
        <v>212</v>
      </c>
      <c r="M45" t="s">
        <v>82</v>
      </c>
      <c r="N45" t="s">
        <v>213</v>
      </c>
      <c r="O45" t="s">
        <v>214</v>
      </c>
      <c r="P45" t="s">
        <v>22</v>
      </c>
    </row>
    <row r="46" spans="1:16" x14ac:dyDescent="0.3">
      <c r="A46">
        <v>45</v>
      </c>
      <c r="B46">
        <v>14</v>
      </c>
      <c r="C46" t="s">
        <v>0</v>
      </c>
      <c r="D46" t="s">
        <v>23</v>
      </c>
      <c r="E46" t="s">
        <v>43</v>
      </c>
      <c r="F46" s="1">
        <v>45689</v>
      </c>
      <c r="G46" t="s">
        <v>215</v>
      </c>
      <c r="H46" t="s">
        <v>4</v>
      </c>
      <c r="I46" t="s">
        <v>5</v>
      </c>
      <c r="J46" t="s">
        <v>16</v>
      </c>
      <c r="K46" t="s">
        <v>39</v>
      </c>
      <c r="L46" t="s">
        <v>216</v>
      </c>
      <c r="M46" t="s">
        <v>189</v>
      </c>
      <c r="N46" t="s">
        <v>205</v>
      </c>
      <c r="O46" t="s">
        <v>217</v>
      </c>
      <c r="P46" t="s">
        <v>11</v>
      </c>
    </row>
    <row r="47" spans="1:16" x14ac:dyDescent="0.3">
      <c r="A47">
        <v>46</v>
      </c>
      <c r="B47">
        <v>19</v>
      </c>
      <c r="C47" t="s">
        <v>12</v>
      </c>
      <c r="D47" t="s">
        <v>23</v>
      </c>
      <c r="E47" t="s">
        <v>13</v>
      </c>
      <c r="F47" s="1">
        <v>45876</v>
      </c>
      <c r="G47" t="s">
        <v>218</v>
      </c>
      <c r="H47" t="s">
        <v>4</v>
      </c>
      <c r="I47" t="s">
        <v>38</v>
      </c>
      <c r="J47" t="s">
        <v>16</v>
      </c>
      <c r="K47" t="s">
        <v>58</v>
      </c>
      <c r="L47" t="s">
        <v>219</v>
      </c>
      <c r="M47" t="s">
        <v>170</v>
      </c>
      <c r="N47" t="s">
        <v>220</v>
      </c>
      <c r="O47" t="s">
        <v>221</v>
      </c>
      <c r="P47" t="s">
        <v>73</v>
      </c>
    </row>
    <row r="48" spans="1:16" x14ac:dyDescent="0.3">
      <c r="A48">
        <v>47</v>
      </c>
      <c r="B48">
        <v>16</v>
      </c>
      <c r="C48" t="s">
        <v>30</v>
      </c>
      <c r="D48" t="s">
        <v>1</v>
      </c>
      <c r="E48" t="s">
        <v>13</v>
      </c>
      <c r="F48" s="1">
        <v>45778</v>
      </c>
      <c r="G48" t="s">
        <v>222</v>
      </c>
      <c r="H48" t="s">
        <v>4</v>
      </c>
      <c r="I48" t="s">
        <v>15</v>
      </c>
      <c r="J48" t="s">
        <v>16</v>
      </c>
      <c r="K48" t="s">
        <v>45</v>
      </c>
      <c r="L48" t="s">
        <v>223</v>
      </c>
      <c r="M48" s="1">
        <v>45929</v>
      </c>
      <c r="N48" t="s">
        <v>117</v>
      </c>
      <c r="O48" t="s">
        <v>224</v>
      </c>
      <c r="P48" t="s">
        <v>11</v>
      </c>
    </row>
    <row r="49" spans="1:16" x14ac:dyDescent="0.3">
      <c r="A49">
        <v>48</v>
      </c>
      <c r="B49">
        <v>19</v>
      </c>
      <c r="C49" t="s">
        <v>0</v>
      </c>
      <c r="D49" t="s">
        <v>23</v>
      </c>
      <c r="E49" t="s">
        <v>31</v>
      </c>
      <c r="F49" s="1">
        <v>45876</v>
      </c>
      <c r="G49" t="s">
        <v>118</v>
      </c>
      <c r="H49" t="s">
        <v>4</v>
      </c>
      <c r="I49" t="s">
        <v>15</v>
      </c>
      <c r="J49" t="s">
        <v>4</v>
      </c>
      <c r="K49" t="s">
        <v>107</v>
      </c>
      <c r="L49" t="s">
        <v>225</v>
      </c>
      <c r="M49" t="s">
        <v>132</v>
      </c>
      <c r="N49" t="s">
        <v>132</v>
      </c>
      <c r="O49" t="s">
        <v>226</v>
      </c>
      <c r="P49" t="s">
        <v>227</v>
      </c>
    </row>
    <row r="50" spans="1:16" x14ac:dyDescent="0.3">
      <c r="A50">
        <v>49</v>
      </c>
      <c r="B50">
        <v>18</v>
      </c>
      <c r="C50" t="s">
        <v>0</v>
      </c>
      <c r="D50" t="s">
        <v>23</v>
      </c>
      <c r="E50" t="s">
        <v>2</v>
      </c>
      <c r="F50" s="1">
        <v>45717</v>
      </c>
      <c r="G50" t="s">
        <v>228</v>
      </c>
      <c r="H50" t="s">
        <v>4</v>
      </c>
      <c r="I50" t="s">
        <v>33</v>
      </c>
      <c r="J50" t="s">
        <v>4</v>
      </c>
      <c r="K50" t="s">
        <v>45</v>
      </c>
      <c r="L50" s="1">
        <v>45808</v>
      </c>
      <c r="M50" s="1">
        <v>45926</v>
      </c>
      <c r="N50" t="s">
        <v>229</v>
      </c>
      <c r="O50" t="s">
        <v>216</v>
      </c>
      <c r="P50" t="s">
        <v>42</v>
      </c>
    </row>
    <row r="51" spans="1:16" x14ac:dyDescent="0.3">
      <c r="A51">
        <v>50</v>
      </c>
      <c r="B51">
        <v>18</v>
      </c>
      <c r="C51" t="s">
        <v>0</v>
      </c>
      <c r="D51" t="s">
        <v>23</v>
      </c>
      <c r="E51" t="s">
        <v>2</v>
      </c>
      <c r="F51" t="s">
        <v>157</v>
      </c>
      <c r="G51" t="s">
        <v>27</v>
      </c>
      <c r="H51" t="s">
        <v>16</v>
      </c>
      <c r="I51" t="s">
        <v>38</v>
      </c>
      <c r="J51" t="s">
        <v>16</v>
      </c>
      <c r="K51" t="s">
        <v>45</v>
      </c>
      <c r="L51" t="s">
        <v>230</v>
      </c>
      <c r="M51" t="s">
        <v>211</v>
      </c>
      <c r="N51" t="s">
        <v>132</v>
      </c>
      <c r="O51" t="s">
        <v>84</v>
      </c>
      <c r="P51" t="s">
        <v>227</v>
      </c>
    </row>
    <row r="52" spans="1:16" x14ac:dyDescent="0.3">
      <c r="A52">
        <v>51</v>
      </c>
      <c r="B52">
        <v>18</v>
      </c>
      <c r="C52" t="s">
        <v>0</v>
      </c>
      <c r="D52" t="s">
        <v>1</v>
      </c>
      <c r="E52" t="s">
        <v>99</v>
      </c>
      <c r="F52" s="1">
        <v>45873</v>
      </c>
      <c r="G52" t="s">
        <v>91</v>
      </c>
      <c r="H52" t="s">
        <v>4</v>
      </c>
      <c r="I52" t="s">
        <v>15</v>
      </c>
      <c r="J52" t="s">
        <v>4</v>
      </c>
      <c r="K52" t="s">
        <v>17</v>
      </c>
      <c r="L52" t="s">
        <v>231</v>
      </c>
      <c r="M52" t="s">
        <v>232</v>
      </c>
      <c r="N52" t="s">
        <v>233</v>
      </c>
      <c r="O52" t="s">
        <v>234</v>
      </c>
      <c r="P52" t="s">
        <v>73</v>
      </c>
    </row>
    <row r="53" spans="1:16" x14ac:dyDescent="0.3">
      <c r="A53">
        <v>52</v>
      </c>
      <c r="B53">
        <v>15</v>
      </c>
      <c r="C53" t="s">
        <v>0</v>
      </c>
      <c r="D53" t="s">
        <v>23</v>
      </c>
      <c r="E53" t="s">
        <v>13</v>
      </c>
      <c r="F53" s="1">
        <v>45844</v>
      </c>
      <c r="G53" t="s">
        <v>235</v>
      </c>
      <c r="H53" t="s">
        <v>4</v>
      </c>
      <c r="I53" t="s">
        <v>33</v>
      </c>
      <c r="J53" t="s">
        <v>16</v>
      </c>
      <c r="K53" t="s">
        <v>6</v>
      </c>
      <c r="L53" t="s">
        <v>236</v>
      </c>
      <c r="M53" t="s">
        <v>237</v>
      </c>
      <c r="N53" t="s">
        <v>120</v>
      </c>
      <c r="O53" t="s">
        <v>165</v>
      </c>
      <c r="P53" t="s">
        <v>29</v>
      </c>
    </row>
    <row r="54" spans="1:16" x14ac:dyDescent="0.3">
      <c r="A54">
        <v>53</v>
      </c>
      <c r="B54">
        <v>16</v>
      </c>
      <c r="C54" t="s">
        <v>12</v>
      </c>
      <c r="D54" t="s">
        <v>1</v>
      </c>
      <c r="E54" t="s">
        <v>2</v>
      </c>
      <c r="F54" s="1">
        <v>45721</v>
      </c>
      <c r="G54" t="s">
        <v>238</v>
      </c>
      <c r="H54" t="s">
        <v>4</v>
      </c>
      <c r="I54" t="s">
        <v>33</v>
      </c>
      <c r="J54" t="s">
        <v>4</v>
      </c>
      <c r="K54" t="s">
        <v>6</v>
      </c>
      <c r="L54" t="s">
        <v>239</v>
      </c>
      <c r="M54" t="s">
        <v>81</v>
      </c>
      <c r="N54" t="s">
        <v>240</v>
      </c>
      <c r="O54" t="s">
        <v>241</v>
      </c>
      <c r="P54" t="s">
        <v>73</v>
      </c>
    </row>
    <row r="55" spans="1:16" x14ac:dyDescent="0.3">
      <c r="A55">
        <v>54</v>
      </c>
      <c r="B55">
        <v>16</v>
      </c>
      <c r="C55" t="s">
        <v>30</v>
      </c>
      <c r="D55" t="s">
        <v>1</v>
      </c>
      <c r="E55" t="s">
        <v>2</v>
      </c>
      <c r="F55" s="1">
        <v>45722</v>
      </c>
      <c r="G55" t="s">
        <v>242</v>
      </c>
      <c r="H55" t="s">
        <v>16</v>
      </c>
      <c r="I55" t="s">
        <v>15</v>
      </c>
      <c r="J55" t="s">
        <v>4</v>
      </c>
      <c r="K55" t="s">
        <v>45</v>
      </c>
      <c r="L55" t="s">
        <v>243</v>
      </c>
      <c r="M55" t="s">
        <v>244</v>
      </c>
      <c r="N55" t="s">
        <v>245</v>
      </c>
      <c r="O55" t="s">
        <v>246</v>
      </c>
      <c r="P55" t="s">
        <v>29</v>
      </c>
    </row>
    <row r="56" spans="1:16" x14ac:dyDescent="0.3">
      <c r="A56">
        <v>55</v>
      </c>
      <c r="B56">
        <v>16</v>
      </c>
      <c r="C56" t="s">
        <v>30</v>
      </c>
      <c r="D56" t="s">
        <v>23</v>
      </c>
      <c r="E56" t="s">
        <v>2</v>
      </c>
      <c r="F56" t="s">
        <v>202</v>
      </c>
      <c r="G56" t="s">
        <v>247</v>
      </c>
      <c r="H56" t="s">
        <v>4</v>
      </c>
      <c r="I56" t="s">
        <v>15</v>
      </c>
      <c r="J56" t="s">
        <v>4</v>
      </c>
      <c r="K56" t="s">
        <v>107</v>
      </c>
      <c r="L56" t="s">
        <v>248</v>
      </c>
      <c r="M56" t="s">
        <v>249</v>
      </c>
      <c r="N56" t="s">
        <v>132</v>
      </c>
      <c r="O56" t="s">
        <v>142</v>
      </c>
      <c r="P56" t="s">
        <v>29</v>
      </c>
    </row>
    <row r="57" spans="1:16" x14ac:dyDescent="0.3">
      <c r="A57">
        <v>56</v>
      </c>
      <c r="B57">
        <v>14</v>
      </c>
      <c r="C57" t="s">
        <v>30</v>
      </c>
      <c r="D57" t="s">
        <v>1</v>
      </c>
      <c r="E57" t="s">
        <v>13</v>
      </c>
      <c r="F57" s="1">
        <v>45779</v>
      </c>
      <c r="G57" t="s">
        <v>250</v>
      </c>
      <c r="H57" t="s">
        <v>4</v>
      </c>
      <c r="I57" t="s">
        <v>15</v>
      </c>
      <c r="J57" t="s">
        <v>16</v>
      </c>
      <c r="K57" t="s">
        <v>107</v>
      </c>
      <c r="L57" t="s">
        <v>126</v>
      </c>
      <c r="M57" s="1">
        <v>45713</v>
      </c>
      <c r="N57" t="s">
        <v>52</v>
      </c>
      <c r="O57" t="s">
        <v>251</v>
      </c>
      <c r="P57" t="s">
        <v>42</v>
      </c>
    </row>
    <row r="58" spans="1:16" x14ac:dyDescent="0.3">
      <c r="A58">
        <v>57</v>
      </c>
      <c r="B58">
        <v>17</v>
      </c>
      <c r="C58" t="s">
        <v>30</v>
      </c>
      <c r="D58" t="s">
        <v>1</v>
      </c>
      <c r="E58" t="s">
        <v>2</v>
      </c>
      <c r="F58" s="1">
        <v>45784</v>
      </c>
      <c r="G58" t="s">
        <v>121</v>
      </c>
      <c r="H58" t="s">
        <v>16</v>
      </c>
      <c r="I58" t="s">
        <v>15</v>
      </c>
      <c r="J58" t="s">
        <v>4</v>
      </c>
      <c r="K58" t="s">
        <v>17</v>
      </c>
      <c r="L58" t="s">
        <v>252</v>
      </c>
      <c r="M58" t="s">
        <v>253</v>
      </c>
      <c r="N58" t="s">
        <v>254</v>
      </c>
      <c r="O58" t="s">
        <v>255</v>
      </c>
      <c r="P58" t="s">
        <v>29</v>
      </c>
    </row>
    <row r="59" spans="1:16" x14ac:dyDescent="0.3">
      <c r="A59">
        <v>58</v>
      </c>
      <c r="B59">
        <v>14</v>
      </c>
      <c r="C59" t="s">
        <v>12</v>
      </c>
      <c r="D59" t="s">
        <v>23</v>
      </c>
      <c r="E59" t="s">
        <v>43</v>
      </c>
      <c r="F59" s="1">
        <v>45721</v>
      </c>
      <c r="G59" t="s">
        <v>256</v>
      </c>
      <c r="H59" t="s">
        <v>4</v>
      </c>
      <c r="I59" t="s">
        <v>33</v>
      </c>
      <c r="J59" t="s">
        <v>16</v>
      </c>
      <c r="K59" t="s">
        <v>107</v>
      </c>
      <c r="L59" t="s">
        <v>257</v>
      </c>
      <c r="M59" t="s">
        <v>253</v>
      </c>
      <c r="N59" t="s">
        <v>100</v>
      </c>
      <c r="O59" t="s">
        <v>96</v>
      </c>
      <c r="P59" t="s">
        <v>73</v>
      </c>
    </row>
    <row r="60" spans="1:16" x14ac:dyDescent="0.3">
      <c r="A60">
        <v>59</v>
      </c>
      <c r="B60">
        <v>18</v>
      </c>
      <c r="C60" t="s">
        <v>30</v>
      </c>
      <c r="D60" t="s">
        <v>1</v>
      </c>
      <c r="E60" t="s">
        <v>13</v>
      </c>
      <c r="F60" t="s">
        <v>258</v>
      </c>
      <c r="G60" t="s">
        <v>259</v>
      </c>
      <c r="H60" t="s">
        <v>4</v>
      </c>
      <c r="I60" t="s">
        <v>33</v>
      </c>
      <c r="J60" t="s">
        <v>16</v>
      </c>
      <c r="K60" t="s">
        <v>107</v>
      </c>
      <c r="L60" t="s">
        <v>179</v>
      </c>
      <c r="M60" t="s">
        <v>260</v>
      </c>
      <c r="N60" t="s">
        <v>261</v>
      </c>
      <c r="O60" t="s">
        <v>262</v>
      </c>
      <c r="P60" t="s">
        <v>11</v>
      </c>
    </row>
    <row r="61" spans="1:16" x14ac:dyDescent="0.3">
      <c r="A61">
        <v>60</v>
      </c>
      <c r="B61">
        <v>18</v>
      </c>
      <c r="C61" t="s">
        <v>0</v>
      </c>
      <c r="D61" t="s">
        <v>23</v>
      </c>
      <c r="E61" t="s">
        <v>31</v>
      </c>
      <c r="F61" s="1">
        <v>45871</v>
      </c>
      <c r="G61" t="s">
        <v>263</v>
      </c>
      <c r="H61" t="s">
        <v>4</v>
      </c>
      <c r="I61" t="s">
        <v>15</v>
      </c>
      <c r="J61" t="s">
        <v>4</v>
      </c>
      <c r="K61" t="s">
        <v>6</v>
      </c>
      <c r="L61" t="s">
        <v>264</v>
      </c>
      <c r="M61" t="s">
        <v>224</v>
      </c>
      <c r="N61" t="s">
        <v>57</v>
      </c>
      <c r="O61" t="s">
        <v>265</v>
      </c>
      <c r="P61" t="s">
        <v>11</v>
      </c>
    </row>
    <row r="62" spans="1:16" x14ac:dyDescent="0.3">
      <c r="A62">
        <v>61</v>
      </c>
      <c r="B62">
        <v>19</v>
      </c>
      <c r="C62" t="s">
        <v>30</v>
      </c>
      <c r="D62" t="s">
        <v>1</v>
      </c>
      <c r="E62" t="s">
        <v>63</v>
      </c>
      <c r="F62" s="1">
        <v>45781</v>
      </c>
      <c r="G62" t="s">
        <v>266</v>
      </c>
      <c r="H62" t="s">
        <v>4</v>
      </c>
      <c r="I62" t="s">
        <v>33</v>
      </c>
      <c r="J62" t="s">
        <v>16</v>
      </c>
      <c r="K62" t="s">
        <v>58</v>
      </c>
      <c r="L62" t="s">
        <v>267</v>
      </c>
      <c r="M62" t="s">
        <v>193</v>
      </c>
      <c r="N62" t="s">
        <v>268</v>
      </c>
      <c r="O62" t="s">
        <v>269</v>
      </c>
      <c r="P62" t="s">
        <v>22</v>
      </c>
    </row>
    <row r="63" spans="1:16" x14ac:dyDescent="0.3">
      <c r="A63">
        <v>62</v>
      </c>
      <c r="B63">
        <v>18</v>
      </c>
      <c r="C63" t="s">
        <v>0</v>
      </c>
      <c r="D63" t="s">
        <v>23</v>
      </c>
      <c r="E63" t="s">
        <v>2</v>
      </c>
      <c r="F63" s="1">
        <v>45664</v>
      </c>
      <c r="G63" t="s">
        <v>266</v>
      </c>
      <c r="H63" t="s">
        <v>4</v>
      </c>
      <c r="I63" t="s">
        <v>15</v>
      </c>
      <c r="J63" t="s">
        <v>16</v>
      </c>
      <c r="K63" t="s">
        <v>107</v>
      </c>
      <c r="L63" t="s">
        <v>270</v>
      </c>
      <c r="M63" t="s">
        <v>101</v>
      </c>
      <c r="N63" t="s">
        <v>271</v>
      </c>
      <c r="O63" t="s">
        <v>272</v>
      </c>
      <c r="P63" t="s">
        <v>29</v>
      </c>
    </row>
    <row r="64" spans="1:16" x14ac:dyDescent="0.3">
      <c r="A64">
        <v>63</v>
      </c>
      <c r="B64">
        <v>16</v>
      </c>
      <c r="C64" t="s">
        <v>30</v>
      </c>
      <c r="D64" t="s">
        <v>23</v>
      </c>
      <c r="E64" t="s">
        <v>43</v>
      </c>
      <c r="F64" s="1">
        <v>45783</v>
      </c>
      <c r="G64" t="s">
        <v>273</v>
      </c>
      <c r="H64" t="s">
        <v>4</v>
      </c>
      <c r="I64" t="s">
        <v>38</v>
      </c>
      <c r="J64" t="s">
        <v>4</v>
      </c>
      <c r="K64" t="s">
        <v>45</v>
      </c>
      <c r="L64" t="s">
        <v>97</v>
      </c>
      <c r="M64" t="s">
        <v>274</v>
      </c>
      <c r="N64" t="s">
        <v>124</v>
      </c>
      <c r="O64" t="s">
        <v>140</v>
      </c>
      <c r="P64" t="s">
        <v>73</v>
      </c>
    </row>
    <row r="65" spans="1:16" x14ac:dyDescent="0.3">
      <c r="A65">
        <v>64</v>
      </c>
      <c r="B65">
        <v>19</v>
      </c>
      <c r="C65" t="s">
        <v>0</v>
      </c>
      <c r="D65" t="s">
        <v>1</v>
      </c>
      <c r="E65" t="s">
        <v>2</v>
      </c>
      <c r="F65" s="1">
        <v>45871</v>
      </c>
      <c r="G65" t="s">
        <v>118</v>
      </c>
      <c r="H65" t="s">
        <v>4</v>
      </c>
      <c r="I65" t="s">
        <v>38</v>
      </c>
      <c r="J65" t="s">
        <v>4</v>
      </c>
      <c r="K65" t="s">
        <v>39</v>
      </c>
      <c r="L65" t="s">
        <v>275</v>
      </c>
      <c r="M65" t="s">
        <v>24</v>
      </c>
      <c r="N65" t="s">
        <v>276</v>
      </c>
      <c r="O65" t="s">
        <v>277</v>
      </c>
      <c r="P65" t="s">
        <v>11</v>
      </c>
    </row>
    <row r="66" spans="1:16" x14ac:dyDescent="0.3">
      <c r="A66">
        <v>65</v>
      </c>
      <c r="B66">
        <v>16</v>
      </c>
      <c r="C66" t="s">
        <v>0</v>
      </c>
      <c r="D66" t="s">
        <v>23</v>
      </c>
      <c r="E66" t="s">
        <v>31</v>
      </c>
      <c r="F66" s="1">
        <v>45843</v>
      </c>
      <c r="G66" t="s">
        <v>256</v>
      </c>
      <c r="H66" t="s">
        <v>4</v>
      </c>
      <c r="I66" t="s">
        <v>38</v>
      </c>
      <c r="J66" t="s">
        <v>16</v>
      </c>
      <c r="K66" t="s">
        <v>39</v>
      </c>
      <c r="L66" t="s">
        <v>278</v>
      </c>
      <c r="M66" t="s">
        <v>279</v>
      </c>
      <c r="N66" t="s">
        <v>178</v>
      </c>
      <c r="O66" t="s">
        <v>280</v>
      </c>
      <c r="P66" t="s">
        <v>73</v>
      </c>
    </row>
    <row r="67" spans="1:16" x14ac:dyDescent="0.3">
      <c r="A67">
        <v>66</v>
      </c>
      <c r="B67">
        <v>15</v>
      </c>
      <c r="C67" t="s">
        <v>12</v>
      </c>
      <c r="D67" t="s">
        <v>1</v>
      </c>
      <c r="E67" t="s">
        <v>2</v>
      </c>
      <c r="F67" t="s">
        <v>281</v>
      </c>
      <c r="G67" t="s">
        <v>282</v>
      </c>
      <c r="H67" t="s">
        <v>4</v>
      </c>
      <c r="I67" t="s">
        <v>15</v>
      </c>
      <c r="J67" t="s">
        <v>16</v>
      </c>
      <c r="K67" t="s">
        <v>6</v>
      </c>
      <c r="L67" t="s">
        <v>283</v>
      </c>
      <c r="M67" s="1">
        <v>45805</v>
      </c>
      <c r="N67" t="s">
        <v>284</v>
      </c>
      <c r="O67" t="s">
        <v>52</v>
      </c>
      <c r="P67" t="s">
        <v>42</v>
      </c>
    </row>
    <row r="68" spans="1:16" x14ac:dyDescent="0.3">
      <c r="A68">
        <v>67</v>
      </c>
      <c r="B68">
        <v>19</v>
      </c>
      <c r="C68" t="s">
        <v>30</v>
      </c>
      <c r="D68" t="s">
        <v>23</v>
      </c>
      <c r="E68" t="s">
        <v>2</v>
      </c>
      <c r="F68" t="s">
        <v>151</v>
      </c>
      <c r="G68" t="s">
        <v>285</v>
      </c>
      <c r="H68" t="s">
        <v>4</v>
      </c>
      <c r="I68" t="s">
        <v>5</v>
      </c>
      <c r="J68" t="s">
        <v>4</v>
      </c>
      <c r="K68" t="s">
        <v>6</v>
      </c>
      <c r="L68" t="s">
        <v>286</v>
      </c>
      <c r="M68" t="s">
        <v>187</v>
      </c>
      <c r="N68" t="s">
        <v>287</v>
      </c>
      <c r="O68" t="s">
        <v>182</v>
      </c>
      <c r="P68" t="s">
        <v>11</v>
      </c>
    </row>
    <row r="69" spans="1:16" x14ac:dyDescent="0.3">
      <c r="A69">
        <v>68</v>
      </c>
      <c r="B69">
        <v>16</v>
      </c>
      <c r="C69" t="s">
        <v>0</v>
      </c>
      <c r="D69" t="s">
        <v>1</v>
      </c>
      <c r="E69" t="s">
        <v>43</v>
      </c>
      <c r="F69" s="1">
        <v>45875</v>
      </c>
      <c r="G69" t="s">
        <v>288</v>
      </c>
      <c r="H69" t="s">
        <v>16</v>
      </c>
      <c r="I69" t="s">
        <v>5</v>
      </c>
      <c r="J69" t="s">
        <v>4</v>
      </c>
      <c r="K69" t="s">
        <v>107</v>
      </c>
      <c r="L69" t="s">
        <v>137</v>
      </c>
      <c r="M69" t="s">
        <v>132</v>
      </c>
      <c r="N69" t="s">
        <v>289</v>
      </c>
      <c r="O69" t="s">
        <v>192</v>
      </c>
      <c r="P69" t="s">
        <v>73</v>
      </c>
    </row>
    <row r="70" spans="1:16" x14ac:dyDescent="0.3">
      <c r="A70">
        <v>69</v>
      </c>
      <c r="B70">
        <v>14</v>
      </c>
      <c r="C70" t="s">
        <v>0</v>
      </c>
      <c r="D70" t="s">
        <v>23</v>
      </c>
      <c r="E70" t="s">
        <v>31</v>
      </c>
      <c r="F70" s="1">
        <v>45809</v>
      </c>
      <c r="G70" t="s">
        <v>290</v>
      </c>
      <c r="H70" t="s">
        <v>4</v>
      </c>
      <c r="I70" t="s">
        <v>33</v>
      </c>
      <c r="J70" t="s">
        <v>4</v>
      </c>
      <c r="K70" t="s">
        <v>39</v>
      </c>
      <c r="L70" t="s">
        <v>205</v>
      </c>
      <c r="M70" t="s">
        <v>291</v>
      </c>
      <c r="N70" t="s">
        <v>292</v>
      </c>
      <c r="O70" t="s">
        <v>293</v>
      </c>
      <c r="P70" t="s">
        <v>11</v>
      </c>
    </row>
    <row r="71" spans="1:16" x14ac:dyDescent="0.3">
      <c r="A71">
        <v>70</v>
      </c>
      <c r="B71">
        <v>16</v>
      </c>
      <c r="C71" t="s">
        <v>12</v>
      </c>
      <c r="D71" t="s">
        <v>23</v>
      </c>
      <c r="E71" t="s">
        <v>2</v>
      </c>
      <c r="F71" s="1">
        <v>45691</v>
      </c>
      <c r="G71" t="s">
        <v>294</v>
      </c>
      <c r="H71" t="s">
        <v>4</v>
      </c>
      <c r="I71" t="s">
        <v>33</v>
      </c>
      <c r="J71" t="s">
        <v>16</v>
      </c>
      <c r="K71" t="s">
        <v>6</v>
      </c>
      <c r="L71" t="s">
        <v>295</v>
      </c>
      <c r="M71" t="s">
        <v>108</v>
      </c>
      <c r="N71" t="s">
        <v>296</v>
      </c>
      <c r="O71" t="s">
        <v>103</v>
      </c>
      <c r="P71" t="s">
        <v>22</v>
      </c>
    </row>
    <row r="72" spans="1:16" x14ac:dyDescent="0.3">
      <c r="A72">
        <v>71</v>
      </c>
      <c r="B72">
        <v>18</v>
      </c>
      <c r="C72" t="s">
        <v>30</v>
      </c>
      <c r="D72" t="s">
        <v>1</v>
      </c>
      <c r="E72" t="s">
        <v>63</v>
      </c>
      <c r="F72" t="s">
        <v>281</v>
      </c>
      <c r="G72" t="s">
        <v>76</v>
      </c>
      <c r="H72" t="s">
        <v>16</v>
      </c>
      <c r="I72" t="s">
        <v>33</v>
      </c>
      <c r="J72" t="s">
        <v>16</v>
      </c>
      <c r="K72" t="s">
        <v>39</v>
      </c>
      <c r="L72" t="s">
        <v>297</v>
      </c>
      <c r="M72" s="1">
        <v>45930</v>
      </c>
      <c r="N72" t="s">
        <v>298</v>
      </c>
      <c r="O72" s="1">
        <v>45832</v>
      </c>
      <c r="P72" t="s">
        <v>42</v>
      </c>
    </row>
    <row r="73" spans="1:16" x14ac:dyDescent="0.3">
      <c r="A73">
        <v>72</v>
      </c>
      <c r="B73">
        <v>15</v>
      </c>
      <c r="C73" t="s">
        <v>30</v>
      </c>
      <c r="D73" t="s">
        <v>1</v>
      </c>
      <c r="E73" t="s">
        <v>63</v>
      </c>
      <c r="F73" t="s">
        <v>299</v>
      </c>
      <c r="G73" t="s">
        <v>300</v>
      </c>
      <c r="H73" t="s">
        <v>4</v>
      </c>
      <c r="I73" t="s">
        <v>5</v>
      </c>
      <c r="J73" t="s">
        <v>4</v>
      </c>
      <c r="K73" t="s">
        <v>39</v>
      </c>
      <c r="L73" t="s">
        <v>138</v>
      </c>
      <c r="M73" t="s">
        <v>301</v>
      </c>
      <c r="N73" s="1">
        <v>45892</v>
      </c>
      <c r="O73" t="s">
        <v>86</v>
      </c>
      <c r="P73" t="s">
        <v>11</v>
      </c>
    </row>
    <row r="74" spans="1:16" x14ac:dyDescent="0.3">
      <c r="A74">
        <v>73</v>
      </c>
      <c r="B74">
        <v>16</v>
      </c>
      <c r="C74" t="s">
        <v>12</v>
      </c>
      <c r="D74" t="s">
        <v>23</v>
      </c>
      <c r="E74" t="s">
        <v>43</v>
      </c>
      <c r="F74" s="1">
        <v>45809</v>
      </c>
      <c r="G74" t="s">
        <v>302</v>
      </c>
      <c r="H74" t="s">
        <v>4</v>
      </c>
      <c r="I74" t="s">
        <v>38</v>
      </c>
      <c r="J74" t="s">
        <v>4</v>
      </c>
      <c r="K74" t="s">
        <v>45</v>
      </c>
      <c r="L74" t="s">
        <v>303</v>
      </c>
      <c r="M74" t="s">
        <v>304</v>
      </c>
      <c r="N74" s="1">
        <v>45868</v>
      </c>
      <c r="O74" t="s">
        <v>305</v>
      </c>
      <c r="P74" t="s">
        <v>42</v>
      </c>
    </row>
    <row r="75" spans="1:16" x14ac:dyDescent="0.3">
      <c r="A75">
        <v>74</v>
      </c>
      <c r="B75">
        <v>14</v>
      </c>
      <c r="C75" t="s">
        <v>12</v>
      </c>
      <c r="D75" t="s">
        <v>23</v>
      </c>
      <c r="E75" t="s">
        <v>2</v>
      </c>
      <c r="F75" s="1">
        <v>45717</v>
      </c>
      <c r="G75" t="s">
        <v>306</v>
      </c>
      <c r="H75" t="s">
        <v>4</v>
      </c>
      <c r="I75" t="s">
        <v>5</v>
      </c>
      <c r="J75" t="s">
        <v>4</v>
      </c>
      <c r="K75" t="s">
        <v>39</v>
      </c>
      <c r="L75" t="s">
        <v>10</v>
      </c>
      <c r="M75" t="s">
        <v>77</v>
      </c>
      <c r="N75" t="s">
        <v>60</v>
      </c>
      <c r="O75" t="s">
        <v>60</v>
      </c>
      <c r="P75" t="s">
        <v>22</v>
      </c>
    </row>
    <row r="76" spans="1:16" x14ac:dyDescent="0.3">
      <c r="A76">
        <v>75</v>
      </c>
      <c r="B76">
        <v>18</v>
      </c>
      <c r="C76" t="s">
        <v>12</v>
      </c>
      <c r="D76" t="s">
        <v>23</v>
      </c>
      <c r="E76" t="s">
        <v>43</v>
      </c>
      <c r="F76" s="1">
        <v>45692</v>
      </c>
      <c r="G76" t="s">
        <v>183</v>
      </c>
      <c r="H76" t="s">
        <v>16</v>
      </c>
      <c r="I76" t="s">
        <v>38</v>
      </c>
      <c r="J76" t="s">
        <v>4</v>
      </c>
      <c r="K76" t="s">
        <v>39</v>
      </c>
      <c r="L76" t="s">
        <v>307</v>
      </c>
      <c r="M76" t="s">
        <v>308</v>
      </c>
      <c r="N76" t="s">
        <v>309</v>
      </c>
      <c r="O76" t="s">
        <v>46</v>
      </c>
      <c r="P76" t="s">
        <v>11</v>
      </c>
    </row>
    <row r="77" spans="1:16" x14ac:dyDescent="0.3">
      <c r="A77">
        <v>76</v>
      </c>
      <c r="B77">
        <v>16</v>
      </c>
      <c r="C77" t="s">
        <v>30</v>
      </c>
      <c r="D77" t="s">
        <v>1</v>
      </c>
      <c r="E77" t="s">
        <v>31</v>
      </c>
      <c r="F77" s="1">
        <v>45723</v>
      </c>
      <c r="G77" t="s">
        <v>310</v>
      </c>
      <c r="H77" t="s">
        <v>4</v>
      </c>
      <c r="I77" t="s">
        <v>15</v>
      </c>
      <c r="J77" t="s">
        <v>4</v>
      </c>
      <c r="K77" t="s">
        <v>107</v>
      </c>
      <c r="L77" t="s">
        <v>311</v>
      </c>
      <c r="M77" t="s">
        <v>132</v>
      </c>
      <c r="N77" t="s">
        <v>312</v>
      </c>
      <c r="O77" t="s">
        <v>313</v>
      </c>
      <c r="P77" t="s">
        <v>227</v>
      </c>
    </row>
    <row r="78" spans="1:16" x14ac:dyDescent="0.3">
      <c r="A78">
        <v>77</v>
      </c>
      <c r="B78">
        <v>15</v>
      </c>
      <c r="C78" t="s">
        <v>0</v>
      </c>
      <c r="D78" t="s">
        <v>23</v>
      </c>
      <c r="E78" t="s">
        <v>63</v>
      </c>
      <c r="F78" s="1">
        <v>45658</v>
      </c>
      <c r="G78" t="s">
        <v>101</v>
      </c>
      <c r="H78" t="s">
        <v>16</v>
      </c>
      <c r="I78" t="s">
        <v>15</v>
      </c>
      <c r="J78" t="s">
        <v>4</v>
      </c>
      <c r="K78" t="s">
        <v>39</v>
      </c>
      <c r="L78" t="s">
        <v>314</v>
      </c>
      <c r="M78" t="s">
        <v>315</v>
      </c>
      <c r="N78" s="1">
        <v>45861</v>
      </c>
      <c r="O78" t="s">
        <v>297</v>
      </c>
      <c r="P78" t="s">
        <v>42</v>
      </c>
    </row>
    <row r="79" spans="1:16" x14ac:dyDescent="0.3">
      <c r="A79">
        <v>78</v>
      </c>
      <c r="B79">
        <v>15</v>
      </c>
      <c r="C79" t="s">
        <v>0</v>
      </c>
      <c r="D79" t="s">
        <v>1</v>
      </c>
      <c r="E79" t="s">
        <v>2</v>
      </c>
      <c r="F79" t="s">
        <v>157</v>
      </c>
      <c r="G79" t="s">
        <v>56</v>
      </c>
      <c r="H79" t="s">
        <v>4</v>
      </c>
      <c r="I79" t="s">
        <v>5</v>
      </c>
      <c r="J79" t="s">
        <v>4</v>
      </c>
      <c r="K79" t="s">
        <v>39</v>
      </c>
      <c r="L79" t="s">
        <v>316</v>
      </c>
      <c r="M79" t="s">
        <v>317</v>
      </c>
      <c r="N79" t="s">
        <v>318</v>
      </c>
      <c r="O79" t="s">
        <v>319</v>
      </c>
      <c r="P79" t="s">
        <v>73</v>
      </c>
    </row>
    <row r="80" spans="1:16" x14ac:dyDescent="0.3">
      <c r="A80">
        <v>79</v>
      </c>
      <c r="B80">
        <v>17</v>
      </c>
      <c r="C80" t="s">
        <v>0</v>
      </c>
      <c r="D80" t="s">
        <v>23</v>
      </c>
      <c r="E80" t="s">
        <v>63</v>
      </c>
      <c r="F80" s="1">
        <v>45782</v>
      </c>
      <c r="G80" t="s">
        <v>320</v>
      </c>
      <c r="H80" t="s">
        <v>4</v>
      </c>
      <c r="I80" t="s">
        <v>5</v>
      </c>
      <c r="J80" t="s">
        <v>4</v>
      </c>
      <c r="K80" t="s">
        <v>39</v>
      </c>
      <c r="L80" t="s">
        <v>321</v>
      </c>
      <c r="M80" t="s">
        <v>322</v>
      </c>
      <c r="N80" t="s">
        <v>132</v>
      </c>
      <c r="O80" t="s">
        <v>323</v>
      </c>
      <c r="P80" t="s">
        <v>29</v>
      </c>
    </row>
    <row r="81" spans="1:16" x14ac:dyDescent="0.3">
      <c r="A81">
        <v>80</v>
      </c>
      <c r="B81">
        <v>18</v>
      </c>
      <c r="C81" t="s">
        <v>0</v>
      </c>
      <c r="D81" t="s">
        <v>23</v>
      </c>
      <c r="E81" t="s">
        <v>99</v>
      </c>
      <c r="F81" s="1">
        <v>45870</v>
      </c>
      <c r="G81" t="s">
        <v>324</v>
      </c>
      <c r="H81" t="s">
        <v>16</v>
      </c>
      <c r="I81" t="s">
        <v>33</v>
      </c>
      <c r="J81" t="s">
        <v>16</v>
      </c>
      <c r="K81" t="s">
        <v>58</v>
      </c>
      <c r="L81" s="1">
        <v>45905</v>
      </c>
      <c r="M81" t="s">
        <v>325</v>
      </c>
      <c r="N81" s="1">
        <v>45881</v>
      </c>
      <c r="O81" t="s">
        <v>40</v>
      </c>
      <c r="P81" t="s">
        <v>42</v>
      </c>
    </row>
    <row r="82" spans="1:16" x14ac:dyDescent="0.3">
      <c r="A82">
        <v>81</v>
      </c>
      <c r="B82">
        <v>19</v>
      </c>
      <c r="C82" t="s">
        <v>12</v>
      </c>
      <c r="D82" t="s">
        <v>23</v>
      </c>
      <c r="E82" t="s">
        <v>13</v>
      </c>
      <c r="F82" s="1">
        <v>45840</v>
      </c>
      <c r="G82" t="s">
        <v>27</v>
      </c>
      <c r="H82" t="s">
        <v>4</v>
      </c>
      <c r="I82" t="s">
        <v>38</v>
      </c>
      <c r="J82" t="s">
        <v>4</v>
      </c>
      <c r="K82" t="s">
        <v>17</v>
      </c>
      <c r="L82" t="s">
        <v>326</v>
      </c>
      <c r="M82" t="s">
        <v>288</v>
      </c>
      <c r="N82" t="s">
        <v>327</v>
      </c>
      <c r="O82" t="s">
        <v>328</v>
      </c>
      <c r="P82" t="s">
        <v>22</v>
      </c>
    </row>
    <row r="83" spans="1:16" x14ac:dyDescent="0.3">
      <c r="A83">
        <v>82</v>
      </c>
      <c r="B83">
        <v>16</v>
      </c>
      <c r="C83" t="s">
        <v>30</v>
      </c>
      <c r="D83" t="s">
        <v>1</v>
      </c>
      <c r="E83" t="s">
        <v>31</v>
      </c>
      <c r="F83" t="s">
        <v>258</v>
      </c>
      <c r="G83" t="s">
        <v>329</v>
      </c>
      <c r="H83" t="s">
        <v>4</v>
      </c>
      <c r="I83" t="s">
        <v>33</v>
      </c>
      <c r="J83" t="s">
        <v>16</v>
      </c>
      <c r="K83" t="s">
        <v>58</v>
      </c>
      <c r="L83" t="s">
        <v>330</v>
      </c>
      <c r="M83" t="s">
        <v>331</v>
      </c>
      <c r="N83" t="s">
        <v>205</v>
      </c>
      <c r="O83" t="s">
        <v>332</v>
      </c>
      <c r="P83" t="s">
        <v>22</v>
      </c>
    </row>
    <row r="84" spans="1:16" x14ac:dyDescent="0.3">
      <c r="A84">
        <v>83</v>
      </c>
      <c r="B84">
        <v>14</v>
      </c>
      <c r="C84" t="s">
        <v>12</v>
      </c>
      <c r="D84" t="s">
        <v>1</v>
      </c>
      <c r="E84" t="s">
        <v>31</v>
      </c>
      <c r="F84" s="1">
        <v>45753</v>
      </c>
      <c r="G84" t="s">
        <v>152</v>
      </c>
      <c r="H84" t="s">
        <v>4</v>
      </c>
      <c r="I84" t="s">
        <v>5</v>
      </c>
      <c r="J84" t="s">
        <v>16</v>
      </c>
      <c r="K84" t="s">
        <v>58</v>
      </c>
      <c r="L84" t="s">
        <v>333</v>
      </c>
      <c r="M84" t="s">
        <v>132</v>
      </c>
      <c r="N84" t="s">
        <v>334</v>
      </c>
      <c r="O84" t="s">
        <v>335</v>
      </c>
      <c r="P84" t="s">
        <v>73</v>
      </c>
    </row>
    <row r="85" spans="1:16" x14ac:dyDescent="0.3">
      <c r="A85">
        <v>84</v>
      </c>
      <c r="B85">
        <v>18</v>
      </c>
      <c r="C85" t="s">
        <v>12</v>
      </c>
      <c r="D85" t="s">
        <v>23</v>
      </c>
      <c r="E85" t="s">
        <v>2</v>
      </c>
      <c r="F85" s="1">
        <v>45905</v>
      </c>
      <c r="G85" t="s">
        <v>173</v>
      </c>
      <c r="H85" t="s">
        <v>16</v>
      </c>
      <c r="I85" t="s">
        <v>5</v>
      </c>
      <c r="J85" t="s">
        <v>16</v>
      </c>
      <c r="K85" t="s">
        <v>39</v>
      </c>
      <c r="L85" t="s">
        <v>336</v>
      </c>
      <c r="M85" t="s">
        <v>62</v>
      </c>
      <c r="N85" t="s">
        <v>337</v>
      </c>
      <c r="O85" t="s">
        <v>338</v>
      </c>
      <c r="P85" t="s">
        <v>22</v>
      </c>
    </row>
    <row r="86" spans="1:16" x14ac:dyDescent="0.3">
      <c r="A86">
        <v>85</v>
      </c>
      <c r="B86">
        <v>17</v>
      </c>
      <c r="C86" t="s">
        <v>0</v>
      </c>
      <c r="D86" t="s">
        <v>1</v>
      </c>
      <c r="E86" t="s">
        <v>63</v>
      </c>
      <c r="F86" s="1">
        <v>45871</v>
      </c>
      <c r="G86" t="s">
        <v>339</v>
      </c>
      <c r="H86" t="s">
        <v>4</v>
      </c>
      <c r="I86" t="s">
        <v>5</v>
      </c>
      <c r="J86" t="s">
        <v>4</v>
      </c>
      <c r="K86" t="s">
        <v>6</v>
      </c>
      <c r="L86" t="s">
        <v>200</v>
      </c>
      <c r="M86" t="s">
        <v>340</v>
      </c>
      <c r="N86" t="s">
        <v>268</v>
      </c>
      <c r="O86" t="s">
        <v>193</v>
      </c>
      <c r="P86" t="s">
        <v>22</v>
      </c>
    </row>
    <row r="87" spans="1:16" x14ac:dyDescent="0.3">
      <c r="A87">
        <v>86</v>
      </c>
      <c r="B87">
        <v>18</v>
      </c>
      <c r="C87" t="s">
        <v>12</v>
      </c>
      <c r="D87" t="s">
        <v>1</v>
      </c>
      <c r="E87" t="s">
        <v>13</v>
      </c>
      <c r="F87" t="s">
        <v>105</v>
      </c>
      <c r="G87" t="s">
        <v>192</v>
      </c>
      <c r="H87" t="s">
        <v>4</v>
      </c>
      <c r="I87" t="s">
        <v>15</v>
      </c>
      <c r="J87" t="s">
        <v>16</v>
      </c>
      <c r="K87" t="s">
        <v>107</v>
      </c>
      <c r="L87" t="s">
        <v>341</v>
      </c>
      <c r="M87" t="s">
        <v>342</v>
      </c>
      <c r="N87" t="s">
        <v>343</v>
      </c>
      <c r="O87" t="s">
        <v>344</v>
      </c>
      <c r="P87" t="s">
        <v>11</v>
      </c>
    </row>
    <row r="88" spans="1:16" x14ac:dyDescent="0.3">
      <c r="A88">
        <v>87</v>
      </c>
      <c r="B88">
        <v>14</v>
      </c>
      <c r="C88" t="s">
        <v>0</v>
      </c>
      <c r="D88" t="s">
        <v>1</v>
      </c>
      <c r="E88" t="s">
        <v>63</v>
      </c>
      <c r="F88" s="1">
        <v>45870</v>
      </c>
      <c r="G88" t="s">
        <v>133</v>
      </c>
      <c r="H88" t="s">
        <v>4</v>
      </c>
      <c r="I88" t="s">
        <v>15</v>
      </c>
      <c r="J88" t="s">
        <v>4</v>
      </c>
      <c r="K88" t="s">
        <v>107</v>
      </c>
      <c r="L88" t="s">
        <v>345</v>
      </c>
      <c r="M88" t="s">
        <v>346</v>
      </c>
      <c r="N88" t="s">
        <v>347</v>
      </c>
      <c r="O88" t="s">
        <v>21</v>
      </c>
      <c r="P88" t="s">
        <v>22</v>
      </c>
    </row>
    <row r="89" spans="1:16" x14ac:dyDescent="0.3">
      <c r="A89">
        <v>88</v>
      </c>
      <c r="B89">
        <v>15</v>
      </c>
      <c r="C89" t="s">
        <v>30</v>
      </c>
      <c r="D89" t="s">
        <v>23</v>
      </c>
      <c r="E89" t="s">
        <v>31</v>
      </c>
      <c r="F89" s="1">
        <v>45693</v>
      </c>
      <c r="G89" t="s">
        <v>246</v>
      </c>
      <c r="H89" t="s">
        <v>16</v>
      </c>
      <c r="I89" t="s">
        <v>15</v>
      </c>
      <c r="J89" t="s">
        <v>4</v>
      </c>
      <c r="K89" t="s">
        <v>17</v>
      </c>
      <c r="L89" t="s">
        <v>348</v>
      </c>
      <c r="M89" t="s">
        <v>169</v>
      </c>
      <c r="N89" t="s">
        <v>349</v>
      </c>
      <c r="O89" t="s">
        <v>350</v>
      </c>
      <c r="P89" t="s">
        <v>73</v>
      </c>
    </row>
    <row r="90" spans="1:16" x14ac:dyDescent="0.3">
      <c r="A90">
        <v>89</v>
      </c>
      <c r="B90">
        <v>18</v>
      </c>
      <c r="C90" t="s">
        <v>12</v>
      </c>
      <c r="D90" t="s">
        <v>1</v>
      </c>
      <c r="E90" t="s">
        <v>13</v>
      </c>
      <c r="F90" s="1">
        <v>45689</v>
      </c>
      <c r="G90" t="s">
        <v>204</v>
      </c>
      <c r="H90" t="s">
        <v>16</v>
      </c>
      <c r="I90" t="s">
        <v>38</v>
      </c>
      <c r="J90" t="s">
        <v>4</v>
      </c>
      <c r="K90" t="s">
        <v>6</v>
      </c>
      <c r="L90" t="s">
        <v>351</v>
      </c>
      <c r="M90" t="s">
        <v>352</v>
      </c>
      <c r="N90" t="s">
        <v>175</v>
      </c>
      <c r="O90" t="s">
        <v>57</v>
      </c>
      <c r="P90" t="s">
        <v>11</v>
      </c>
    </row>
    <row r="91" spans="1:16" x14ac:dyDescent="0.3">
      <c r="A91">
        <v>90</v>
      </c>
      <c r="B91">
        <v>18</v>
      </c>
      <c r="C91" t="s">
        <v>12</v>
      </c>
      <c r="D91" t="s">
        <v>23</v>
      </c>
      <c r="E91" t="s">
        <v>31</v>
      </c>
      <c r="F91" s="1">
        <v>45781</v>
      </c>
      <c r="G91" t="s">
        <v>254</v>
      </c>
      <c r="H91" t="s">
        <v>4</v>
      </c>
      <c r="I91" t="s">
        <v>5</v>
      </c>
      <c r="J91" t="s">
        <v>16</v>
      </c>
      <c r="K91" t="s">
        <v>39</v>
      </c>
      <c r="L91" t="s">
        <v>9</v>
      </c>
      <c r="M91" t="s">
        <v>353</v>
      </c>
      <c r="N91" t="s">
        <v>354</v>
      </c>
      <c r="O91" t="s">
        <v>150</v>
      </c>
      <c r="P91" t="s">
        <v>22</v>
      </c>
    </row>
    <row r="92" spans="1:16" x14ac:dyDescent="0.3">
      <c r="A92">
        <v>91</v>
      </c>
      <c r="B92">
        <v>16</v>
      </c>
      <c r="C92" t="s">
        <v>30</v>
      </c>
      <c r="D92" t="s">
        <v>1</v>
      </c>
      <c r="E92" t="s">
        <v>99</v>
      </c>
      <c r="F92" s="1">
        <v>45662</v>
      </c>
      <c r="G92" t="s">
        <v>355</v>
      </c>
      <c r="H92" t="s">
        <v>4</v>
      </c>
      <c r="I92" t="s">
        <v>38</v>
      </c>
      <c r="J92" t="s">
        <v>16</v>
      </c>
      <c r="K92" t="s">
        <v>39</v>
      </c>
      <c r="L92" t="s">
        <v>356</v>
      </c>
      <c r="M92" t="s">
        <v>183</v>
      </c>
      <c r="N92" t="s">
        <v>101</v>
      </c>
      <c r="O92" t="s">
        <v>261</v>
      </c>
      <c r="P92" t="s">
        <v>22</v>
      </c>
    </row>
    <row r="93" spans="1:16" x14ac:dyDescent="0.3">
      <c r="A93">
        <v>92</v>
      </c>
      <c r="B93">
        <v>18</v>
      </c>
      <c r="C93" t="s">
        <v>0</v>
      </c>
      <c r="D93" t="s">
        <v>23</v>
      </c>
      <c r="E93" t="s">
        <v>2</v>
      </c>
      <c r="F93" s="1">
        <v>45843</v>
      </c>
      <c r="G93" t="s">
        <v>357</v>
      </c>
      <c r="H93" t="s">
        <v>4</v>
      </c>
      <c r="I93" t="s">
        <v>38</v>
      </c>
      <c r="J93" t="s">
        <v>4</v>
      </c>
      <c r="K93" t="s">
        <v>17</v>
      </c>
      <c r="L93" t="s">
        <v>81</v>
      </c>
      <c r="M93" t="s">
        <v>255</v>
      </c>
      <c r="N93" t="s">
        <v>358</v>
      </c>
      <c r="O93" t="s">
        <v>359</v>
      </c>
      <c r="P93" t="s">
        <v>73</v>
      </c>
    </row>
    <row r="94" spans="1:16" x14ac:dyDescent="0.3">
      <c r="A94">
        <v>93</v>
      </c>
      <c r="B94">
        <v>19</v>
      </c>
      <c r="C94" t="s">
        <v>12</v>
      </c>
      <c r="D94" t="s">
        <v>1</v>
      </c>
      <c r="E94" t="s">
        <v>2</v>
      </c>
      <c r="F94" s="1">
        <v>45748</v>
      </c>
      <c r="G94" t="s">
        <v>323</v>
      </c>
      <c r="H94" t="s">
        <v>4</v>
      </c>
      <c r="I94" t="s">
        <v>38</v>
      </c>
      <c r="J94" t="s">
        <v>4</v>
      </c>
      <c r="K94" t="s">
        <v>39</v>
      </c>
      <c r="L94" t="s">
        <v>315</v>
      </c>
      <c r="M94" t="s">
        <v>360</v>
      </c>
      <c r="N94" t="s">
        <v>136</v>
      </c>
      <c r="O94" t="s">
        <v>128</v>
      </c>
      <c r="P94" t="s">
        <v>11</v>
      </c>
    </row>
    <row r="95" spans="1:16" x14ac:dyDescent="0.3">
      <c r="A95">
        <v>94</v>
      </c>
      <c r="B95">
        <v>16</v>
      </c>
      <c r="C95" t="s">
        <v>12</v>
      </c>
      <c r="D95" t="s">
        <v>1</v>
      </c>
      <c r="E95" t="s">
        <v>31</v>
      </c>
      <c r="F95" s="1">
        <v>45903</v>
      </c>
      <c r="G95" t="s">
        <v>361</v>
      </c>
      <c r="H95" t="s">
        <v>16</v>
      </c>
      <c r="I95" t="s">
        <v>38</v>
      </c>
      <c r="J95" t="s">
        <v>16</v>
      </c>
      <c r="K95" t="s">
        <v>107</v>
      </c>
      <c r="L95" t="s">
        <v>137</v>
      </c>
      <c r="M95" t="s">
        <v>362</v>
      </c>
      <c r="N95" t="s">
        <v>35</v>
      </c>
      <c r="O95" t="s">
        <v>60</v>
      </c>
      <c r="P95" t="s">
        <v>22</v>
      </c>
    </row>
    <row r="96" spans="1:16" x14ac:dyDescent="0.3">
      <c r="A96">
        <v>95</v>
      </c>
      <c r="B96">
        <v>19</v>
      </c>
      <c r="C96" t="s">
        <v>0</v>
      </c>
      <c r="D96" t="s">
        <v>23</v>
      </c>
      <c r="E96" t="s">
        <v>43</v>
      </c>
      <c r="F96" t="s">
        <v>74</v>
      </c>
      <c r="G96" t="s">
        <v>363</v>
      </c>
      <c r="H96" t="s">
        <v>4</v>
      </c>
      <c r="I96" t="s">
        <v>5</v>
      </c>
      <c r="J96" t="s">
        <v>16</v>
      </c>
      <c r="K96" t="s">
        <v>39</v>
      </c>
      <c r="L96" t="s">
        <v>364</v>
      </c>
      <c r="M96" t="s">
        <v>363</v>
      </c>
      <c r="N96" t="s">
        <v>365</v>
      </c>
      <c r="O96" t="s">
        <v>366</v>
      </c>
      <c r="P96" t="s">
        <v>73</v>
      </c>
    </row>
    <row r="97" spans="1:16" x14ac:dyDescent="0.3">
      <c r="A97">
        <v>96</v>
      </c>
      <c r="B97">
        <v>15</v>
      </c>
      <c r="C97" t="s">
        <v>0</v>
      </c>
      <c r="D97" t="s">
        <v>1</v>
      </c>
      <c r="E97" t="s">
        <v>43</v>
      </c>
      <c r="F97" s="1">
        <v>45875</v>
      </c>
      <c r="G97" t="s">
        <v>115</v>
      </c>
      <c r="H97" t="s">
        <v>4</v>
      </c>
      <c r="I97" t="s">
        <v>38</v>
      </c>
      <c r="J97" t="s">
        <v>16</v>
      </c>
      <c r="K97" t="s">
        <v>6</v>
      </c>
      <c r="L97" t="s">
        <v>145</v>
      </c>
      <c r="M97" t="s">
        <v>240</v>
      </c>
      <c r="N97" t="s">
        <v>178</v>
      </c>
      <c r="O97" t="s">
        <v>367</v>
      </c>
      <c r="P97" t="s">
        <v>29</v>
      </c>
    </row>
    <row r="98" spans="1:16" x14ac:dyDescent="0.3">
      <c r="A98">
        <v>97</v>
      </c>
      <c r="B98">
        <v>15</v>
      </c>
      <c r="C98" t="s">
        <v>0</v>
      </c>
      <c r="D98" t="s">
        <v>1</v>
      </c>
      <c r="E98" t="s">
        <v>99</v>
      </c>
      <c r="F98" t="s">
        <v>74</v>
      </c>
      <c r="G98" t="s">
        <v>368</v>
      </c>
      <c r="H98" t="s">
        <v>4</v>
      </c>
      <c r="I98" t="s">
        <v>15</v>
      </c>
      <c r="J98" t="s">
        <v>4</v>
      </c>
      <c r="K98" t="s">
        <v>39</v>
      </c>
      <c r="L98" t="s">
        <v>369</v>
      </c>
      <c r="M98" t="s">
        <v>350</v>
      </c>
      <c r="N98" t="s">
        <v>370</v>
      </c>
      <c r="O98" t="s">
        <v>371</v>
      </c>
      <c r="P98" t="s">
        <v>22</v>
      </c>
    </row>
    <row r="99" spans="1:16" x14ac:dyDescent="0.3">
      <c r="A99">
        <v>98</v>
      </c>
      <c r="B99">
        <v>18</v>
      </c>
      <c r="C99" t="s">
        <v>0</v>
      </c>
      <c r="D99" t="s">
        <v>23</v>
      </c>
      <c r="E99" t="s">
        <v>99</v>
      </c>
      <c r="F99" s="1">
        <v>45811</v>
      </c>
      <c r="G99" t="s">
        <v>340</v>
      </c>
      <c r="H99" t="s">
        <v>4</v>
      </c>
      <c r="I99" t="s">
        <v>33</v>
      </c>
      <c r="J99" t="s">
        <v>16</v>
      </c>
      <c r="K99" t="s">
        <v>39</v>
      </c>
      <c r="L99" t="s">
        <v>217</v>
      </c>
      <c r="M99" t="s">
        <v>372</v>
      </c>
      <c r="N99" t="s">
        <v>373</v>
      </c>
      <c r="O99" t="s">
        <v>265</v>
      </c>
      <c r="P99" t="s">
        <v>11</v>
      </c>
    </row>
    <row r="100" spans="1:16" x14ac:dyDescent="0.3">
      <c r="A100">
        <v>99</v>
      </c>
      <c r="B100">
        <v>17</v>
      </c>
      <c r="C100" t="s">
        <v>30</v>
      </c>
      <c r="D100" t="s">
        <v>23</v>
      </c>
      <c r="E100" t="s">
        <v>2</v>
      </c>
      <c r="F100" s="1">
        <v>45748</v>
      </c>
      <c r="G100" t="s">
        <v>374</v>
      </c>
      <c r="H100" t="s">
        <v>4</v>
      </c>
      <c r="I100" t="s">
        <v>33</v>
      </c>
      <c r="J100" t="s">
        <v>16</v>
      </c>
      <c r="K100" t="s">
        <v>45</v>
      </c>
      <c r="L100" t="s">
        <v>375</v>
      </c>
      <c r="M100" t="s">
        <v>376</v>
      </c>
      <c r="N100" t="s">
        <v>307</v>
      </c>
      <c r="O100" t="s">
        <v>377</v>
      </c>
      <c r="P100" t="s">
        <v>42</v>
      </c>
    </row>
    <row r="101" spans="1:16" x14ac:dyDescent="0.3">
      <c r="A101">
        <v>100</v>
      </c>
      <c r="B101">
        <v>14</v>
      </c>
      <c r="C101" t="s">
        <v>0</v>
      </c>
      <c r="D101" t="s">
        <v>23</v>
      </c>
      <c r="E101" t="s">
        <v>13</v>
      </c>
      <c r="F101" s="1">
        <v>45843</v>
      </c>
      <c r="G101" t="s">
        <v>65</v>
      </c>
      <c r="H101" t="s">
        <v>16</v>
      </c>
      <c r="I101" t="s">
        <v>5</v>
      </c>
      <c r="J101" t="s">
        <v>16</v>
      </c>
      <c r="K101" t="s">
        <v>39</v>
      </c>
      <c r="L101" t="s">
        <v>257</v>
      </c>
      <c r="M101" t="s">
        <v>9</v>
      </c>
      <c r="N101" t="s">
        <v>378</v>
      </c>
      <c r="O101" t="s">
        <v>231</v>
      </c>
      <c r="P101" t="s">
        <v>22</v>
      </c>
    </row>
    <row r="102" spans="1:16" x14ac:dyDescent="0.3">
      <c r="A102">
        <v>101</v>
      </c>
      <c r="B102">
        <v>18</v>
      </c>
      <c r="C102" t="s">
        <v>0</v>
      </c>
      <c r="D102" t="s">
        <v>1</v>
      </c>
      <c r="E102" t="s">
        <v>31</v>
      </c>
      <c r="F102" s="1">
        <v>45662</v>
      </c>
      <c r="G102" t="s">
        <v>173</v>
      </c>
      <c r="H102" t="s">
        <v>4</v>
      </c>
      <c r="I102" t="s">
        <v>38</v>
      </c>
      <c r="J102" t="s">
        <v>4</v>
      </c>
      <c r="K102" t="s">
        <v>17</v>
      </c>
      <c r="L102" t="s">
        <v>366</v>
      </c>
      <c r="M102" t="s">
        <v>235</v>
      </c>
      <c r="N102" t="s">
        <v>379</v>
      </c>
      <c r="O102" t="s">
        <v>266</v>
      </c>
      <c r="P102" t="s">
        <v>22</v>
      </c>
    </row>
    <row r="103" spans="1:16" x14ac:dyDescent="0.3">
      <c r="A103">
        <v>102</v>
      </c>
      <c r="B103">
        <v>15</v>
      </c>
      <c r="C103" t="s">
        <v>30</v>
      </c>
      <c r="D103" t="s">
        <v>23</v>
      </c>
      <c r="E103" t="s">
        <v>2</v>
      </c>
      <c r="F103" s="1">
        <v>45905</v>
      </c>
      <c r="G103" t="s">
        <v>172</v>
      </c>
      <c r="H103" t="s">
        <v>4</v>
      </c>
      <c r="I103" t="s">
        <v>5</v>
      </c>
      <c r="J103" t="s">
        <v>4</v>
      </c>
      <c r="K103" t="s">
        <v>45</v>
      </c>
      <c r="L103" t="s">
        <v>380</v>
      </c>
      <c r="M103" t="s">
        <v>381</v>
      </c>
      <c r="N103" t="s">
        <v>238</v>
      </c>
      <c r="O103" t="s">
        <v>19</v>
      </c>
      <c r="P103" t="s">
        <v>22</v>
      </c>
    </row>
    <row r="104" spans="1:16" x14ac:dyDescent="0.3">
      <c r="A104">
        <v>103</v>
      </c>
      <c r="B104">
        <v>18</v>
      </c>
      <c r="C104" t="s">
        <v>12</v>
      </c>
      <c r="D104" t="s">
        <v>1</v>
      </c>
      <c r="E104" t="s">
        <v>13</v>
      </c>
      <c r="F104" s="1">
        <v>45752</v>
      </c>
      <c r="G104" t="s">
        <v>231</v>
      </c>
      <c r="H104" t="s">
        <v>4</v>
      </c>
      <c r="I104" t="s">
        <v>38</v>
      </c>
      <c r="J104" t="s">
        <v>4</v>
      </c>
      <c r="K104" t="s">
        <v>58</v>
      </c>
      <c r="L104" t="s">
        <v>250</v>
      </c>
      <c r="M104" t="s">
        <v>380</v>
      </c>
      <c r="N104" t="s">
        <v>20</v>
      </c>
      <c r="O104" t="s">
        <v>158</v>
      </c>
      <c r="P104" t="s">
        <v>73</v>
      </c>
    </row>
    <row r="105" spans="1:16" x14ac:dyDescent="0.3">
      <c r="A105">
        <v>104</v>
      </c>
      <c r="B105">
        <v>14</v>
      </c>
      <c r="C105" t="s">
        <v>30</v>
      </c>
      <c r="D105" t="s">
        <v>23</v>
      </c>
      <c r="E105" t="s">
        <v>13</v>
      </c>
      <c r="F105" s="1">
        <v>45664</v>
      </c>
      <c r="G105" t="s">
        <v>382</v>
      </c>
      <c r="H105" t="s">
        <v>4</v>
      </c>
      <c r="I105" t="s">
        <v>38</v>
      </c>
      <c r="J105" t="s">
        <v>16</v>
      </c>
      <c r="K105" t="s">
        <v>107</v>
      </c>
      <c r="L105" t="s">
        <v>239</v>
      </c>
      <c r="M105" t="s">
        <v>383</v>
      </c>
      <c r="N105" t="s">
        <v>228</v>
      </c>
      <c r="O105" t="s">
        <v>384</v>
      </c>
      <c r="P105" t="s">
        <v>73</v>
      </c>
    </row>
    <row r="106" spans="1:16" x14ac:dyDescent="0.3">
      <c r="A106">
        <v>105</v>
      </c>
      <c r="B106">
        <v>18</v>
      </c>
      <c r="C106" t="s">
        <v>30</v>
      </c>
      <c r="D106" t="s">
        <v>23</v>
      </c>
      <c r="E106" t="s">
        <v>43</v>
      </c>
      <c r="F106" s="1">
        <v>45664</v>
      </c>
      <c r="G106" t="s">
        <v>101</v>
      </c>
      <c r="H106" t="s">
        <v>4</v>
      </c>
      <c r="I106" t="s">
        <v>33</v>
      </c>
      <c r="J106" t="s">
        <v>4</v>
      </c>
      <c r="K106" t="s">
        <v>6</v>
      </c>
      <c r="L106" t="s">
        <v>132</v>
      </c>
      <c r="M106" t="s">
        <v>385</v>
      </c>
      <c r="N106" t="s">
        <v>386</v>
      </c>
      <c r="O106" t="s">
        <v>361</v>
      </c>
      <c r="P106" t="s">
        <v>29</v>
      </c>
    </row>
    <row r="107" spans="1:16" x14ac:dyDescent="0.3">
      <c r="A107">
        <v>106</v>
      </c>
      <c r="B107">
        <v>18</v>
      </c>
      <c r="C107" t="s">
        <v>0</v>
      </c>
      <c r="D107" t="s">
        <v>23</v>
      </c>
      <c r="E107" t="s">
        <v>13</v>
      </c>
      <c r="F107" s="1">
        <v>45871</v>
      </c>
      <c r="G107" t="s">
        <v>32</v>
      </c>
      <c r="H107" t="s">
        <v>4</v>
      </c>
      <c r="I107" t="s">
        <v>33</v>
      </c>
      <c r="J107" t="s">
        <v>16</v>
      </c>
      <c r="K107" t="s">
        <v>39</v>
      </c>
      <c r="L107" t="s">
        <v>387</v>
      </c>
      <c r="M107" t="s">
        <v>77</v>
      </c>
      <c r="N107" s="1">
        <v>45739</v>
      </c>
      <c r="O107" t="s">
        <v>126</v>
      </c>
      <c r="P107" t="s">
        <v>42</v>
      </c>
    </row>
    <row r="108" spans="1:16" x14ac:dyDescent="0.3">
      <c r="A108">
        <v>107</v>
      </c>
      <c r="B108">
        <v>18</v>
      </c>
      <c r="C108" t="s">
        <v>12</v>
      </c>
      <c r="D108" t="s">
        <v>23</v>
      </c>
      <c r="E108" t="s">
        <v>2</v>
      </c>
      <c r="F108" s="1">
        <v>45901</v>
      </c>
      <c r="G108" t="s">
        <v>166</v>
      </c>
      <c r="H108" t="s">
        <v>4</v>
      </c>
      <c r="I108" t="s">
        <v>5</v>
      </c>
      <c r="J108" t="s">
        <v>4</v>
      </c>
      <c r="K108" t="s">
        <v>17</v>
      </c>
      <c r="L108" t="s">
        <v>126</v>
      </c>
      <c r="M108" t="s">
        <v>330</v>
      </c>
      <c r="N108" t="s">
        <v>7</v>
      </c>
      <c r="O108" t="s">
        <v>388</v>
      </c>
      <c r="P108" t="s">
        <v>11</v>
      </c>
    </row>
    <row r="109" spans="1:16" x14ac:dyDescent="0.3">
      <c r="A109">
        <v>108</v>
      </c>
      <c r="B109">
        <v>17</v>
      </c>
      <c r="C109" t="s">
        <v>0</v>
      </c>
      <c r="D109" t="s">
        <v>23</v>
      </c>
      <c r="E109" t="s">
        <v>2</v>
      </c>
      <c r="F109" s="1">
        <v>45754</v>
      </c>
      <c r="G109" t="s">
        <v>21</v>
      </c>
      <c r="H109" t="s">
        <v>16</v>
      </c>
      <c r="I109" t="s">
        <v>38</v>
      </c>
      <c r="J109" t="s">
        <v>4</v>
      </c>
      <c r="K109" t="s">
        <v>17</v>
      </c>
      <c r="L109" t="s">
        <v>389</v>
      </c>
      <c r="M109" t="s">
        <v>390</v>
      </c>
      <c r="N109" t="s">
        <v>231</v>
      </c>
      <c r="O109" t="s">
        <v>391</v>
      </c>
      <c r="P109" t="s">
        <v>73</v>
      </c>
    </row>
    <row r="110" spans="1:16" x14ac:dyDescent="0.3">
      <c r="A110">
        <v>109</v>
      </c>
      <c r="B110">
        <v>16</v>
      </c>
      <c r="C110" t="s">
        <v>12</v>
      </c>
      <c r="D110" t="s">
        <v>1</v>
      </c>
      <c r="E110" t="s">
        <v>43</v>
      </c>
      <c r="F110" s="1">
        <v>45874</v>
      </c>
      <c r="G110" t="s">
        <v>91</v>
      </c>
      <c r="H110" t="s">
        <v>4</v>
      </c>
      <c r="I110" t="s">
        <v>5</v>
      </c>
      <c r="J110" t="s">
        <v>16</v>
      </c>
      <c r="K110" t="s">
        <v>58</v>
      </c>
      <c r="L110" t="s">
        <v>392</v>
      </c>
      <c r="M110" t="s">
        <v>118</v>
      </c>
      <c r="N110" t="s">
        <v>245</v>
      </c>
      <c r="O110" t="s">
        <v>324</v>
      </c>
      <c r="P110" t="s">
        <v>22</v>
      </c>
    </row>
    <row r="111" spans="1:16" x14ac:dyDescent="0.3">
      <c r="A111">
        <v>110</v>
      </c>
      <c r="B111">
        <v>18</v>
      </c>
      <c r="C111" t="s">
        <v>30</v>
      </c>
      <c r="D111" t="s">
        <v>23</v>
      </c>
      <c r="E111" t="s">
        <v>43</v>
      </c>
      <c r="F111" s="1">
        <v>45876</v>
      </c>
      <c r="G111" t="s">
        <v>338</v>
      </c>
      <c r="H111" t="s">
        <v>16</v>
      </c>
      <c r="I111" t="s">
        <v>38</v>
      </c>
      <c r="J111" t="s">
        <v>16</v>
      </c>
      <c r="K111" t="s">
        <v>107</v>
      </c>
      <c r="L111" t="s">
        <v>393</v>
      </c>
      <c r="M111" t="s">
        <v>394</v>
      </c>
      <c r="N111" t="s">
        <v>395</v>
      </c>
      <c r="O111" t="s">
        <v>192</v>
      </c>
      <c r="P111" t="s">
        <v>73</v>
      </c>
    </row>
    <row r="112" spans="1:16" x14ac:dyDescent="0.3">
      <c r="A112">
        <v>111</v>
      </c>
      <c r="B112">
        <v>15</v>
      </c>
      <c r="C112" t="s">
        <v>30</v>
      </c>
      <c r="D112" t="s">
        <v>23</v>
      </c>
      <c r="E112" t="s">
        <v>99</v>
      </c>
      <c r="F112" s="1">
        <v>45692</v>
      </c>
      <c r="G112" t="s">
        <v>396</v>
      </c>
      <c r="H112" t="s">
        <v>4</v>
      </c>
      <c r="I112" t="s">
        <v>38</v>
      </c>
      <c r="J112" t="s">
        <v>4</v>
      </c>
      <c r="K112" t="s">
        <v>107</v>
      </c>
      <c r="L112" t="s">
        <v>77</v>
      </c>
      <c r="M112" t="s">
        <v>316</v>
      </c>
      <c r="N112" t="s">
        <v>341</v>
      </c>
      <c r="O112" t="s">
        <v>100</v>
      </c>
      <c r="P112" t="s">
        <v>22</v>
      </c>
    </row>
    <row r="113" spans="1:16" x14ac:dyDescent="0.3">
      <c r="A113">
        <v>112</v>
      </c>
      <c r="B113">
        <v>18</v>
      </c>
      <c r="C113" t="s">
        <v>30</v>
      </c>
      <c r="D113" t="s">
        <v>23</v>
      </c>
      <c r="E113" t="s">
        <v>31</v>
      </c>
      <c r="F113" s="1">
        <v>45845</v>
      </c>
      <c r="G113" t="s">
        <v>397</v>
      </c>
      <c r="H113" t="s">
        <v>4</v>
      </c>
      <c r="I113" t="s">
        <v>38</v>
      </c>
      <c r="J113" t="s">
        <v>4</v>
      </c>
      <c r="K113" t="s">
        <v>107</v>
      </c>
      <c r="L113" t="s">
        <v>334</v>
      </c>
      <c r="M113" t="s">
        <v>225</v>
      </c>
      <c r="N113" t="s">
        <v>124</v>
      </c>
      <c r="O113" t="s">
        <v>398</v>
      </c>
      <c r="P113" t="s">
        <v>29</v>
      </c>
    </row>
    <row r="114" spans="1:16" x14ac:dyDescent="0.3">
      <c r="A114">
        <v>113</v>
      </c>
      <c r="B114">
        <v>17</v>
      </c>
      <c r="C114" t="s">
        <v>0</v>
      </c>
      <c r="D114" t="s">
        <v>1</v>
      </c>
      <c r="E114" t="s">
        <v>63</v>
      </c>
      <c r="F114" s="1">
        <v>45748</v>
      </c>
      <c r="G114" t="s">
        <v>399</v>
      </c>
      <c r="H114" t="s">
        <v>4</v>
      </c>
      <c r="I114" t="s">
        <v>15</v>
      </c>
      <c r="J114" t="s">
        <v>16</v>
      </c>
      <c r="K114" t="s">
        <v>39</v>
      </c>
      <c r="L114" s="1">
        <v>45678</v>
      </c>
      <c r="M114" t="s">
        <v>400</v>
      </c>
      <c r="N114" t="s">
        <v>301</v>
      </c>
      <c r="O114" t="s">
        <v>401</v>
      </c>
      <c r="P114" t="s">
        <v>42</v>
      </c>
    </row>
    <row r="115" spans="1:16" x14ac:dyDescent="0.3">
      <c r="A115">
        <v>114</v>
      </c>
      <c r="B115">
        <v>16</v>
      </c>
      <c r="C115" t="s">
        <v>0</v>
      </c>
      <c r="D115" t="s">
        <v>23</v>
      </c>
      <c r="E115" t="s">
        <v>13</v>
      </c>
      <c r="F115" s="1">
        <v>45904</v>
      </c>
      <c r="G115" t="s">
        <v>28</v>
      </c>
      <c r="H115" t="s">
        <v>4</v>
      </c>
      <c r="I115" t="s">
        <v>38</v>
      </c>
      <c r="J115" t="s">
        <v>4</v>
      </c>
      <c r="K115" t="s">
        <v>39</v>
      </c>
      <c r="L115" t="s">
        <v>402</v>
      </c>
      <c r="M115" t="s">
        <v>214</v>
      </c>
      <c r="N115" t="s">
        <v>348</v>
      </c>
      <c r="O115" t="s">
        <v>403</v>
      </c>
      <c r="P115" t="s">
        <v>73</v>
      </c>
    </row>
    <row r="116" spans="1:16" x14ac:dyDescent="0.3">
      <c r="A116">
        <v>115</v>
      </c>
      <c r="B116">
        <v>17</v>
      </c>
      <c r="C116" t="s">
        <v>12</v>
      </c>
      <c r="D116" t="s">
        <v>1</v>
      </c>
      <c r="E116" t="s">
        <v>63</v>
      </c>
      <c r="F116" s="1">
        <v>45692</v>
      </c>
      <c r="G116" t="s">
        <v>20</v>
      </c>
      <c r="H116" t="s">
        <v>4</v>
      </c>
      <c r="I116" t="s">
        <v>33</v>
      </c>
      <c r="J116" t="s">
        <v>4</v>
      </c>
      <c r="K116" t="s">
        <v>58</v>
      </c>
      <c r="L116" t="s">
        <v>98</v>
      </c>
      <c r="M116" t="s">
        <v>404</v>
      </c>
      <c r="N116" t="s">
        <v>405</v>
      </c>
      <c r="O116" t="s">
        <v>21</v>
      </c>
      <c r="P116" t="s">
        <v>22</v>
      </c>
    </row>
    <row r="117" spans="1:16" x14ac:dyDescent="0.3">
      <c r="A117">
        <v>116</v>
      </c>
      <c r="B117">
        <v>17</v>
      </c>
      <c r="C117" t="s">
        <v>0</v>
      </c>
      <c r="D117" t="s">
        <v>23</v>
      </c>
      <c r="E117" t="s">
        <v>99</v>
      </c>
      <c r="F117" t="s">
        <v>281</v>
      </c>
      <c r="G117" t="s">
        <v>326</v>
      </c>
      <c r="H117" t="s">
        <v>4</v>
      </c>
      <c r="I117" t="s">
        <v>5</v>
      </c>
      <c r="J117" t="s">
        <v>16</v>
      </c>
      <c r="K117" t="s">
        <v>17</v>
      </c>
      <c r="L117" t="s">
        <v>34</v>
      </c>
      <c r="M117" t="s">
        <v>406</v>
      </c>
      <c r="N117" s="1">
        <v>45677</v>
      </c>
      <c r="O117" t="s">
        <v>305</v>
      </c>
      <c r="P117" t="s">
        <v>42</v>
      </c>
    </row>
    <row r="118" spans="1:16" x14ac:dyDescent="0.3">
      <c r="A118">
        <v>117</v>
      </c>
      <c r="B118">
        <v>14</v>
      </c>
      <c r="C118" t="s">
        <v>12</v>
      </c>
      <c r="D118" t="s">
        <v>23</v>
      </c>
      <c r="E118" t="s">
        <v>99</v>
      </c>
      <c r="F118" s="1">
        <v>45901</v>
      </c>
      <c r="G118" t="s">
        <v>89</v>
      </c>
      <c r="H118" t="s">
        <v>4</v>
      </c>
      <c r="I118" t="s">
        <v>33</v>
      </c>
      <c r="J118" t="s">
        <v>16</v>
      </c>
      <c r="K118" t="s">
        <v>58</v>
      </c>
      <c r="L118" t="s">
        <v>9</v>
      </c>
      <c r="M118" t="s">
        <v>407</v>
      </c>
      <c r="N118" t="s">
        <v>214</v>
      </c>
      <c r="O118" t="s">
        <v>408</v>
      </c>
      <c r="P118" t="s">
        <v>11</v>
      </c>
    </row>
    <row r="119" spans="1:16" x14ac:dyDescent="0.3">
      <c r="A119">
        <v>118</v>
      </c>
      <c r="B119">
        <v>14</v>
      </c>
      <c r="C119" t="s">
        <v>30</v>
      </c>
      <c r="D119" t="s">
        <v>23</v>
      </c>
      <c r="E119" t="s">
        <v>63</v>
      </c>
      <c r="F119" s="1">
        <v>45839</v>
      </c>
      <c r="G119" t="s">
        <v>183</v>
      </c>
      <c r="H119" t="s">
        <v>16</v>
      </c>
      <c r="I119" t="s">
        <v>38</v>
      </c>
      <c r="J119" t="s">
        <v>4</v>
      </c>
      <c r="K119" t="s">
        <v>45</v>
      </c>
      <c r="L119" t="s">
        <v>52</v>
      </c>
      <c r="M119" s="1">
        <v>45881</v>
      </c>
      <c r="N119" t="s">
        <v>260</v>
      </c>
      <c r="O119" t="s">
        <v>283</v>
      </c>
      <c r="P119" t="s">
        <v>42</v>
      </c>
    </row>
    <row r="120" spans="1:16" x14ac:dyDescent="0.3">
      <c r="A120">
        <v>119</v>
      </c>
      <c r="B120">
        <v>15</v>
      </c>
      <c r="C120" t="s">
        <v>0</v>
      </c>
      <c r="D120" t="s">
        <v>23</v>
      </c>
      <c r="E120" t="s">
        <v>31</v>
      </c>
      <c r="F120" t="s">
        <v>409</v>
      </c>
      <c r="G120" t="s">
        <v>410</v>
      </c>
      <c r="H120" t="s">
        <v>4</v>
      </c>
      <c r="I120" t="s">
        <v>33</v>
      </c>
      <c r="J120" t="s">
        <v>4</v>
      </c>
      <c r="K120" t="s">
        <v>58</v>
      </c>
      <c r="L120" t="s">
        <v>302</v>
      </c>
      <c r="M120" t="s">
        <v>297</v>
      </c>
      <c r="N120" t="s">
        <v>51</v>
      </c>
      <c r="O120" t="s">
        <v>180</v>
      </c>
      <c r="P120" t="s">
        <v>42</v>
      </c>
    </row>
    <row r="121" spans="1:16" x14ac:dyDescent="0.3">
      <c r="A121">
        <v>120</v>
      </c>
      <c r="B121">
        <v>14</v>
      </c>
      <c r="C121" t="s">
        <v>30</v>
      </c>
      <c r="D121" t="s">
        <v>1</v>
      </c>
      <c r="E121" t="s">
        <v>99</v>
      </c>
      <c r="F121" s="1">
        <v>45815</v>
      </c>
      <c r="G121" t="s">
        <v>352</v>
      </c>
      <c r="H121" t="s">
        <v>4</v>
      </c>
      <c r="I121" t="s">
        <v>33</v>
      </c>
      <c r="J121" t="s">
        <v>16</v>
      </c>
      <c r="K121" t="s">
        <v>107</v>
      </c>
      <c r="L121" t="s">
        <v>374</v>
      </c>
      <c r="M121" t="s">
        <v>294</v>
      </c>
      <c r="N121" t="s">
        <v>411</v>
      </c>
      <c r="O121" t="s">
        <v>384</v>
      </c>
      <c r="P121" t="s">
        <v>73</v>
      </c>
    </row>
    <row r="122" spans="1:16" x14ac:dyDescent="0.3">
      <c r="A122">
        <v>121</v>
      </c>
      <c r="B122">
        <v>16</v>
      </c>
      <c r="C122" t="s">
        <v>30</v>
      </c>
      <c r="D122" t="s">
        <v>1</v>
      </c>
      <c r="E122" t="s">
        <v>2</v>
      </c>
      <c r="F122" s="1">
        <v>45845</v>
      </c>
      <c r="G122" t="s">
        <v>220</v>
      </c>
      <c r="H122" t="s">
        <v>4</v>
      </c>
      <c r="I122" t="s">
        <v>38</v>
      </c>
      <c r="J122" t="s">
        <v>16</v>
      </c>
      <c r="K122" t="s">
        <v>39</v>
      </c>
      <c r="L122" t="s">
        <v>412</v>
      </c>
      <c r="M122" t="s">
        <v>212</v>
      </c>
      <c r="N122" t="s">
        <v>413</v>
      </c>
      <c r="O122" t="s">
        <v>414</v>
      </c>
      <c r="P122" t="s">
        <v>29</v>
      </c>
    </row>
    <row r="123" spans="1:16" x14ac:dyDescent="0.3">
      <c r="A123">
        <v>122</v>
      </c>
      <c r="B123">
        <v>18</v>
      </c>
      <c r="C123" t="s">
        <v>30</v>
      </c>
      <c r="D123" t="s">
        <v>1</v>
      </c>
      <c r="E123" t="s">
        <v>2</v>
      </c>
      <c r="F123" s="1">
        <v>45695</v>
      </c>
      <c r="G123" t="s">
        <v>386</v>
      </c>
      <c r="H123" t="s">
        <v>4</v>
      </c>
      <c r="I123" t="s">
        <v>5</v>
      </c>
      <c r="J123" t="s">
        <v>16</v>
      </c>
      <c r="K123" t="s">
        <v>6</v>
      </c>
      <c r="L123" t="s">
        <v>132</v>
      </c>
      <c r="M123" t="s">
        <v>392</v>
      </c>
      <c r="N123" t="s">
        <v>252</v>
      </c>
      <c r="O123" t="s">
        <v>415</v>
      </c>
      <c r="P123" t="s">
        <v>29</v>
      </c>
    </row>
    <row r="124" spans="1:16" x14ac:dyDescent="0.3">
      <c r="A124">
        <v>123</v>
      </c>
      <c r="B124">
        <v>17</v>
      </c>
      <c r="C124" t="s">
        <v>0</v>
      </c>
      <c r="D124" t="s">
        <v>23</v>
      </c>
      <c r="E124" t="s">
        <v>63</v>
      </c>
      <c r="F124" s="1">
        <v>45907</v>
      </c>
      <c r="G124" t="s">
        <v>416</v>
      </c>
      <c r="H124" t="s">
        <v>4</v>
      </c>
      <c r="I124" t="s">
        <v>15</v>
      </c>
      <c r="J124" t="s">
        <v>4</v>
      </c>
      <c r="K124" t="s">
        <v>45</v>
      </c>
      <c r="L124" t="s">
        <v>417</v>
      </c>
      <c r="M124" t="s">
        <v>132</v>
      </c>
      <c r="N124" t="s">
        <v>243</v>
      </c>
      <c r="O124" t="s">
        <v>418</v>
      </c>
      <c r="P124" t="s">
        <v>227</v>
      </c>
    </row>
    <row r="125" spans="1:16" x14ac:dyDescent="0.3">
      <c r="A125">
        <v>124</v>
      </c>
      <c r="B125">
        <v>16</v>
      </c>
      <c r="C125" t="s">
        <v>0</v>
      </c>
      <c r="D125" t="s">
        <v>23</v>
      </c>
      <c r="E125" t="s">
        <v>63</v>
      </c>
      <c r="F125" s="1">
        <v>45844</v>
      </c>
      <c r="G125" t="s">
        <v>37</v>
      </c>
      <c r="H125" t="s">
        <v>4</v>
      </c>
      <c r="I125" t="s">
        <v>15</v>
      </c>
      <c r="J125" t="s">
        <v>16</v>
      </c>
      <c r="K125" t="s">
        <v>39</v>
      </c>
      <c r="L125" t="s">
        <v>88</v>
      </c>
      <c r="M125" t="s">
        <v>255</v>
      </c>
      <c r="N125" t="s">
        <v>419</v>
      </c>
      <c r="O125" t="s">
        <v>14</v>
      </c>
      <c r="P125" t="s">
        <v>29</v>
      </c>
    </row>
    <row r="126" spans="1:16" x14ac:dyDescent="0.3">
      <c r="A126">
        <v>125</v>
      </c>
      <c r="B126">
        <v>19</v>
      </c>
      <c r="C126" t="s">
        <v>0</v>
      </c>
      <c r="D126" t="s">
        <v>23</v>
      </c>
      <c r="E126" t="s">
        <v>31</v>
      </c>
      <c r="F126" s="1">
        <v>45784</v>
      </c>
      <c r="G126" t="s">
        <v>420</v>
      </c>
      <c r="H126" t="s">
        <v>16</v>
      </c>
      <c r="I126" t="s">
        <v>5</v>
      </c>
      <c r="J126" t="s">
        <v>16</v>
      </c>
      <c r="K126" t="s">
        <v>58</v>
      </c>
      <c r="L126" t="s">
        <v>132</v>
      </c>
      <c r="M126" t="s">
        <v>132</v>
      </c>
      <c r="N126" t="s">
        <v>96</v>
      </c>
      <c r="O126" t="s">
        <v>236</v>
      </c>
      <c r="P126" t="s">
        <v>29</v>
      </c>
    </row>
    <row r="127" spans="1:16" x14ac:dyDescent="0.3">
      <c r="A127">
        <v>126</v>
      </c>
      <c r="B127">
        <v>17</v>
      </c>
      <c r="C127" t="s">
        <v>0</v>
      </c>
      <c r="D127" t="s">
        <v>23</v>
      </c>
      <c r="E127" t="s">
        <v>63</v>
      </c>
      <c r="F127" t="s">
        <v>258</v>
      </c>
      <c r="G127" t="s">
        <v>238</v>
      </c>
      <c r="H127" t="s">
        <v>16</v>
      </c>
      <c r="I127" t="s">
        <v>15</v>
      </c>
      <c r="J127" t="s">
        <v>16</v>
      </c>
      <c r="K127" t="s">
        <v>39</v>
      </c>
      <c r="L127" t="s">
        <v>275</v>
      </c>
      <c r="M127" t="s">
        <v>388</v>
      </c>
      <c r="N127" t="s">
        <v>405</v>
      </c>
      <c r="O127" t="s">
        <v>10</v>
      </c>
      <c r="P127" t="s">
        <v>11</v>
      </c>
    </row>
    <row r="128" spans="1:16" x14ac:dyDescent="0.3">
      <c r="A128">
        <v>127</v>
      </c>
      <c r="B128">
        <v>14</v>
      </c>
      <c r="C128" t="s">
        <v>0</v>
      </c>
      <c r="D128" t="s">
        <v>23</v>
      </c>
      <c r="E128" t="s">
        <v>13</v>
      </c>
      <c r="F128" s="1">
        <v>45749</v>
      </c>
      <c r="G128" t="s">
        <v>256</v>
      </c>
      <c r="H128" t="s">
        <v>16</v>
      </c>
      <c r="I128" t="s">
        <v>38</v>
      </c>
      <c r="J128" t="s">
        <v>16</v>
      </c>
      <c r="K128" t="s">
        <v>6</v>
      </c>
      <c r="L128" t="s">
        <v>421</v>
      </c>
      <c r="M128" t="s">
        <v>422</v>
      </c>
      <c r="N128" t="s">
        <v>423</v>
      </c>
      <c r="O128" t="s">
        <v>424</v>
      </c>
      <c r="P128" t="s">
        <v>11</v>
      </c>
    </row>
    <row r="129" spans="1:16" x14ac:dyDescent="0.3">
      <c r="A129">
        <v>128</v>
      </c>
      <c r="B129">
        <v>18</v>
      </c>
      <c r="C129" t="s">
        <v>12</v>
      </c>
      <c r="D129" t="s">
        <v>1</v>
      </c>
      <c r="E129" t="s">
        <v>43</v>
      </c>
      <c r="F129" t="s">
        <v>157</v>
      </c>
      <c r="G129" t="s">
        <v>228</v>
      </c>
      <c r="H129" t="s">
        <v>4</v>
      </c>
      <c r="I129" t="s">
        <v>15</v>
      </c>
      <c r="J129" t="s">
        <v>16</v>
      </c>
      <c r="K129" t="s">
        <v>58</v>
      </c>
      <c r="L129" t="s">
        <v>425</v>
      </c>
      <c r="M129" t="s">
        <v>426</v>
      </c>
      <c r="N129" t="s">
        <v>316</v>
      </c>
      <c r="O129" t="s">
        <v>160</v>
      </c>
      <c r="P129" t="s">
        <v>73</v>
      </c>
    </row>
    <row r="130" spans="1:16" x14ac:dyDescent="0.3">
      <c r="A130">
        <v>129</v>
      </c>
      <c r="B130">
        <v>17</v>
      </c>
      <c r="C130" t="s">
        <v>0</v>
      </c>
      <c r="D130" t="s">
        <v>23</v>
      </c>
      <c r="E130" t="s">
        <v>13</v>
      </c>
      <c r="F130" s="1">
        <v>45661</v>
      </c>
      <c r="G130" t="s">
        <v>348</v>
      </c>
      <c r="H130" t="s">
        <v>4</v>
      </c>
      <c r="I130" t="s">
        <v>15</v>
      </c>
      <c r="J130" t="s">
        <v>16</v>
      </c>
      <c r="K130" t="s">
        <v>107</v>
      </c>
      <c r="L130" t="s">
        <v>380</v>
      </c>
      <c r="M130" t="s">
        <v>159</v>
      </c>
      <c r="N130" t="s">
        <v>231</v>
      </c>
      <c r="O130" t="s">
        <v>78</v>
      </c>
      <c r="P130" t="s">
        <v>22</v>
      </c>
    </row>
    <row r="131" spans="1:16" x14ac:dyDescent="0.3">
      <c r="A131">
        <v>130</v>
      </c>
      <c r="B131">
        <v>17</v>
      </c>
      <c r="C131" t="s">
        <v>0</v>
      </c>
      <c r="D131" t="s">
        <v>23</v>
      </c>
      <c r="E131" t="s">
        <v>13</v>
      </c>
      <c r="F131" s="1">
        <v>45905</v>
      </c>
      <c r="G131" t="s">
        <v>350</v>
      </c>
      <c r="H131" t="s">
        <v>4</v>
      </c>
      <c r="I131" t="s">
        <v>33</v>
      </c>
      <c r="J131" t="s">
        <v>4</v>
      </c>
      <c r="K131" t="s">
        <v>17</v>
      </c>
      <c r="L131" t="s">
        <v>427</v>
      </c>
      <c r="M131" t="s">
        <v>266</v>
      </c>
      <c r="N131" t="s">
        <v>142</v>
      </c>
      <c r="O131" t="s">
        <v>402</v>
      </c>
      <c r="P131" t="s">
        <v>73</v>
      </c>
    </row>
    <row r="132" spans="1:16" x14ac:dyDescent="0.3">
      <c r="A132">
        <v>131</v>
      </c>
      <c r="B132">
        <v>17</v>
      </c>
      <c r="C132" t="s">
        <v>30</v>
      </c>
      <c r="D132" t="s">
        <v>1</v>
      </c>
      <c r="E132" t="s">
        <v>99</v>
      </c>
      <c r="F132" s="1">
        <v>45842</v>
      </c>
      <c r="G132" t="s">
        <v>427</v>
      </c>
      <c r="H132" t="s">
        <v>4</v>
      </c>
      <c r="I132" t="s">
        <v>15</v>
      </c>
      <c r="J132" t="s">
        <v>4</v>
      </c>
      <c r="K132" t="s">
        <v>107</v>
      </c>
      <c r="L132" t="s">
        <v>428</v>
      </c>
      <c r="M132" t="s">
        <v>198</v>
      </c>
      <c r="N132" t="s">
        <v>429</v>
      </c>
      <c r="O132" t="s">
        <v>111</v>
      </c>
      <c r="P132" t="s">
        <v>73</v>
      </c>
    </row>
    <row r="133" spans="1:16" x14ac:dyDescent="0.3">
      <c r="A133">
        <v>132</v>
      </c>
      <c r="B133">
        <v>17</v>
      </c>
      <c r="C133" t="s">
        <v>30</v>
      </c>
      <c r="D133" t="s">
        <v>23</v>
      </c>
      <c r="E133" t="s">
        <v>43</v>
      </c>
      <c r="F133" s="1">
        <v>45871</v>
      </c>
      <c r="G133" t="s">
        <v>49</v>
      </c>
      <c r="H133" t="s">
        <v>4</v>
      </c>
      <c r="I133" t="s">
        <v>15</v>
      </c>
      <c r="J133" t="s">
        <v>16</v>
      </c>
      <c r="K133" t="s">
        <v>58</v>
      </c>
      <c r="L133" s="1">
        <v>45804</v>
      </c>
      <c r="M133" t="s">
        <v>430</v>
      </c>
      <c r="N133" t="s">
        <v>51</v>
      </c>
      <c r="O133" t="s">
        <v>431</v>
      </c>
      <c r="P133" t="s">
        <v>11</v>
      </c>
    </row>
    <row r="134" spans="1:16" x14ac:dyDescent="0.3">
      <c r="A134">
        <v>133</v>
      </c>
      <c r="B134">
        <v>14</v>
      </c>
      <c r="C134" t="s">
        <v>30</v>
      </c>
      <c r="D134" t="s">
        <v>23</v>
      </c>
      <c r="E134" t="s">
        <v>31</v>
      </c>
      <c r="F134" s="1">
        <v>45810</v>
      </c>
      <c r="G134" t="s">
        <v>432</v>
      </c>
      <c r="H134" t="s">
        <v>4</v>
      </c>
      <c r="I134" t="s">
        <v>38</v>
      </c>
      <c r="J134" t="s">
        <v>4</v>
      </c>
      <c r="K134" t="s">
        <v>39</v>
      </c>
      <c r="L134" t="s">
        <v>110</v>
      </c>
      <c r="M134" t="s">
        <v>377</v>
      </c>
      <c r="N134" t="s">
        <v>129</v>
      </c>
      <c r="O134" t="s">
        <v>433</v>
      </c>
      <c r="P134" t="s">
        <v>11</v>
      </c>
    </row>
    <row r="135" spans="1:16" x14ac:dyDescent="0.3">
      <c r="A135">
        <v>134</v>
      </c>
      <c r="B135">
        <v>17</v>
      </c>
      <c r="C135" t="s">
        <v>0</v>
      </c>
      <c r="D135" t="s">
        <v>23</v>
      </c>
      <c r="E135" t="s">
        <v>63</v>
      </c>
      <c r="F135" s="1">
        <v>45663</v>
      </c>
      <c r="G135" t="s">
        <v>175</v>
      </c>
      <c r="H135" t="s">
        <v>4</v>
      </c>
      <c r="I135" t="s">
        <v>33</v>
      </c>
      <c r="J135" t="s">
        <v>16</v>
      </c>
      <c r="K135" t="s">
        <v>39</v>
      </c>
      <c r="L135" t="s">
        <v>434</v>
      </c>
      <c r="M135" t="s">
        <v>253</v>
      </c>
      <c r="N135" t="s">
        <v>435</v>
      </c>
      <c r="O135" t="s">
        <v>47</v>
      </c>
      <c r="P135" t="s">
        <v>73</v>
      </c>
    </row>
    <row r="136" spans="1:16" x14ac:dyDescent="0.3">
      <c r="A136">
        <v>135</v>
      </c>
      <c r="B136">
        <v>18</v>
      </c>
      <c r="C136" t="s">
        <v>12</v>
      </c>
      <c r="D136" t="s">
        <v>23</v>
      </c>
      <c r="E136" t="s">
        <v>99</v>
      </c>
      <c r="F136" s="1">
        <v>45781</v>
      </c>
      <c r="G136" t="s">
        <v>402</v>
      </c>
      <c r="H136" t="s">
        <v>4</v>
      </c>
      <c r="I136" t="s">
        <v>5</v>
      </c>
      <c r="J136" t="s">
        <v>16</v>
      </c>
      <c r="K136" t="s">
        <v>45</v>
      </c>
      <c r="L136" t="s">
        <v>140</v>
      </c>
      <c r="M136" t="s">
        <v>436</v>
      </c>
      <c r="N136" t="s">
        <v>318</v>
      </c>
      <c r="O136" t="s">
        <v>393</v>
      </c>
      <c r="P136" t="s">
        <v>73</v>
      </c>
    </row>
    <row r="137" spans="1:16" x14ac:dyDescent="0.3">
      <c r="A137">
        <v>136</v>
      </c>
      <c r="B137">
        <v>15</v>
      </c>
      <c r="C137" t="s">
        <v>12</v>
      </c>
      <c r="D137" t="s">
        <v>23</v>
      </c>
      <c r="E137" t="s">
        <v>31</v>
      </c>
      <c r="F137" s="1">
        <v>45691</v>
      </c>
      <c r="G137" t="s">
        <v>108</v>
      </c>
      <c r="H137" t="s">
        <v>4</v>
      </c>
      <c r="I137" t="s">
        <v>33</v>
      </c>
      <c r="J137" t="s">
        <v>4</v>
      </c>
      <c r="K137" t="s">
        <v>58</v>
      </c>
      <c r="L137" t="s">
        <v>147</v>
      </c>
      <c r="M137" t="s">
        <v>117</v>
      </c>
      <c r="N137" t="s">
        <v>49</v>
      </c>
      <c r="O137" t="s">
        <v>437</v>
      </c>
      <c r="P137" t="s">
        <v>11</v>
      </c>
    </row>
    <row r="138" spans="1:16" x14ac:dyDescent="0.3">
      <c r="A138">
        <v>137</v>
      </c>
      <c r="B138">
        <v>17</v>
      </c>
      <c r="C138" t="s">
        <v>0</v>
      </c>
      <c r="D138" t="s">
        <v>1</v>
      </c>
      <c r="E138" t="s">
        <v>99</v>
      </c>
      <c r="F138" s="1">
        <v>45662</v>
      </c>
      <c r="G138" t="s">
        <v>438</v>
      </c>
      <c r="H138" t="s">
        <v>16</v>
      </c>
      <c r="I138" t="s">
        <v>33</v>
      </c>
      <c r="J138" t="s">
        <v>4</v>
      </c>
      <c r="K138" t="s">
        <v>17</v>
      </c>
      <c r="L138" t="s">
        <v>131</v>
      </c>
      <c r="M138" t="s">
        <v>280</v>
      </c>
      <c r="N138" t="s">
        <v>365</v>
      </c>
      <c r="O138" t="s">
        <v>50</v>
      </c>
      <c r="P138" t="s">
        <v>73</v>
      </c>
    </row>
    <row r="139" spans="1:16" x14ac:dyDescent="0.3">
      <c r="A139">
        <v>138</v>
      </c>
      <c r="B139">
        <v>14</v>
      </c>
      <c r="C139" t="s">
        <v>30</v>
      </c>
      <c r="D139" t="s">
        <v>1</v>
      </c>
      <c r="E139" t="s">
        <v>99</v>
      </c>
      <c r="F139" s="1">
        <v>45811</v>
      </c>
      <c r="G139" t="s">
        <v>439</v>
      </c>
      <c r="H139" t="s">
        <v>16</v>
      </c>
      <c r="I139" t="s">
        <v>33</v>
      </c>
      <c r="J139" t="s">
        <v>16</v>
      </c>
      <c r="K139" t="s">
        <v>45</v>
      </c>
      <c r="L139" t="s">
        <v>301</v>
      </c>
      <c r="M139" t="s">
        <v>198</v>
      </c>
      <c r="N139" t="s">
        <v>376</v>
      </c>
      <c r="O139" t="s">
        <v>440</v>
      </c>
      <c r="P139" t="s">
        <v>11</v>
      </c>
    </row>
    <row r="140" spans="1:16" x14ac:dyDescent="0.3">
      <c r="A140">
        <v>139</v>
      </c>
      <c r="B140">
        <v>16</v>
      </c>
      <c r="C140" t="s">
        <v>12</v>
      </c>
      <c r="D140" t="s">
        <v>23</v>
      </c>
      <c r="E140" t="s">
        <v>43</v>
      </c>
      <c r="F140" s="1">
        <v>45661</v>
      </c>
      <c r="G140" t="s">
        <v>374</v>
      </c>
      <c r="H140" t="s">
        <v>4</v>
      </c>
      <c r="I140" t="s">
        <v>15</v>
      </c>
      <c r="J140" t="s">
        <v>16</v>
      </c>
      <c r="K140" t="s">
        <v>17</v>
      </c>
      <c r="L140" t="s">
        <v>439</v>
      </c>
      <c r="M140" t="s">
        <v>356</v>
      </c>
      <c r="N140" t="s">
        <v>441</v>
      </c>
      <c r="O140" t="s">
        <v>442</v>
      </c>
      <c r="P140" t="s">
        <v>22</v>
      </c>
    </row>
    <row r="141" spans="1:16" x14ac:dyDescent="0.3">
      <c r="A141">
        <v>140</v>
      </c>
      <c r="B141">
        <v>16</v>
      </c>
      <c r="C141" t="s">
        <v>30</v>
      </c>
      <c r="D141" t="s">
        <v>1</v>
      </c>
      <c r="E141" t="s">
        <v>63</v>
      </c>
      <c r="F141" s="1">
        <v>45813</v>
      </c>
      <c r="G141" t="s">
        <v>294</v>
      </c>
      <c r="H141" t="s">
        <v>4</v>
      </c>
      <c r="I141" t="s">
        <v>38</v>
      </c>
      <c r="J141" t="s">
        <v>4</v>
      </c>
      <c r="K141" t="s">
        <v>58</v>
      </c>
      <c r="L141" t="s">
        <v>204</v>
      </c>
      <c r="M141" t="s">
        <v>96</v>
      </c>
      <c r="N141" t="s">
        <v>212</v>
      </c>
      <c r="O141" t="s">
        <v>161</v>
      </c>
      <c r="P141" t="s">
        <v>29</v>
      </c>
    </row>
    <row r="142" spans="1:16" x14ac:dyDescent="0.3">
      <c r="A142">
        <v>141</v>
      </c>
      <c r="B142">
        <v>19</v>
      </c>
      <c r="C142" t="s">
        <v>0</v>
      </c>
      <c r="D142" t="s">
        <v>23</v>
      </c>
      <c r="E142" t="s">
        <v>31</v>
      </c>
      <c r="F142" s="1">
        <v>45903</v>
      </c>
      <c r="G142" t="s">
        <v>356</v>
      </c>
      <c r="H142" t="s">
        <v>4</v>
      </c>
      <c r="I142" t="s">
        <v>33</v>
      </c>
      <c r="J142" t="s">
        <v>16</v>
      </c>
      <c r="K142" t="s">
        <v>58</v>
      </c>
      <c r="L142" t="s">
        <v>443</v>
      </c>
      <c r="M142" t="s">
        <v>444</v>
      </c>
      <c r="N142" t="s">
        <v>440</v>
      </c>
      <c r="O142" t="s">
        <v>445</v>
      </c>
      <c r="P142" t="s">
        <v>11</v>
      </c>
    </row>
    <row r="143" spans="1:16" x14ac:dyDescent="0.3">
      <c r="A143">
        <v>142</v>
      </c>
      <c r="B143">
        <v>15</v>
      </c>
      <c r="C143" t="s">
        <v>12</v>
      </c>
      <c r="D143" t="s">
        <v>1</v>
      </c>
      <c r="E143" t="s">
        <v>63</v>
      </c>
      <c r="F143" s="1">
        <v>45815</v>
      </c>
      <c r="G143" t="s">
        <v>374</v>
      </c>
      <c r="H143" t="s">
        <v>4</v>
      </c>
      <c r="I143" t="s">
        <v>5</v>
      </c>
      <c r="J143" t="s">
        <v>4</v>
      </c>
      <c r="K143" t="s">
        <v>39</v>
      </c>
      <c r="L143" t="s">
        <v>158</v>
      </c>
      <c r="M143" t="s">
        <v>132</v>
      </c>
      <c r="N143" t="s">
        <v>144</v>
      </c>
      <c r="O143" t="s">
        <v>446</v>
      </c>
      <c r="P143" t="s">
        <v>29</v>
      </c>
    </row>
    <row r="144" spans="1:16" x14ac:dyDescent="0.3">
      <c r="A144">
        <v>143</v>
      </c>
      <c r="B144">
        <v>15</v>
      </c>
      <c r="C144" t="s">
        <v>0</v>
      </c>
      <c r="D144" t="s">
        <v>23</v>
      </c>
      <c r="E144" t="s">
        <v>99</v>
      </c>
      <c r="F144" s="1">
        <v>45661</v>
      </c>
      <c r="G144" t="s">
        <v>447</v>
      </c>
      <c r="H144" t="s">
        <v>4</v>
      </c>
      <c r="I144" t="s">
        <v>38</v>
      </c>
      <c r="J144" t="s">
        <v>4</v>
      </c>
      <c r="K144" t="s">
        <v>107</v>
      </c>
      <c r="L144" t="s">
        <v>332</v>
      </c>
      <c r="M144" t="s">
        <v>448</v>
      </c>
      <c r="N144" t="s">
        <v>197</v>
      </c>
      <c r="O144" t="s">
        <v>76</v>
      </c>
      <c r="P144" t="s">
        <v>22</v>
      </c>
    </row>
    <row r="145" spans="1:16" x14ac:dyDescent="0.3">
      <c r="A145">
        <v>144</v>
      </c>
      <c r="B145">
        <v>16</v>
      </c>
      <c r="C145" t="s">
        <v>30</v>
      </c>
      <c r="D145" t="s">
        <v>23</v>
      </c>
      <c r="E145" t="s">
        <v>63</v>
      </c>
      <c r="F145" s="1">
        <v>45845</v>
      </c>
      <c r="G145" t="s">
        <v>449</v>
      </c>
      <c r="H145" t="s">
        <v>4</v>
      </c>
      <c r="I145" t="s">
        <v>5</v>
      </c>
      <c r="J145" t="s">
        <v>16</v>
      </c>
      <c r="K145" t="s">
        <v>58</v>
      </c>
      <c r="L145" t="s">
        <v>294</v>
      </c>
      <c r="M145" t="s">
        <v>191</v>
      </c>
      <c r="N145" t="s">
        <v>414</v>
      </c>
      <c r="O145" t="s">
        <v>390</v>
      </c>
      <c r="P145" t="s">
        <v>73</v>
      </c>
    </row>
    <row r="146" spans="1:16" x14ac:dyDescent="0.3">
      <c r="A146">
        <v>145</v>
      </c>
      <c r="B146">
        <v>19</v>
      </c>
      <c r="C146" t="s">
        <v>12</v>
      </c>
      <c r="D146" t="s">
        <v>23</v>
      </c>
      <c r="E146" t="s">
        <v>13</v>
      </c>
      <c r="F146" s="1">
        <v>45906</v>
      </c>
      <c r="G146" t="s">
        <v>425</v>
      </c>
      <c r="H146" t="s">
        <v>16</v>
      </c>
      <c r="I146" t="s">
        <v>38</v>
      </c>
      <c r="J146" t="s">
        <v>16</v>
      </c>
      <c r="K146" t="s">
        <v>39</v>
      </c>
      <c r="L146" t="s">
        <v>312</v>
      </c>
      <c r="M146" t="s">
        <v>132</v>
      </c>
      <c r="N146" t="s">
        <v>75</v>
      </c>
      <c r="O146" t="s">
        <v>450</v>
      </c>
      <c r="P146" t="s">
        <v>227</v>
      </c>
    </row>
    <row r="147" spans="1:16" x14ac:dyDescent="0.3">
      <c r="A147">
        <v>146</v>
      </c>
      <c r="B147">
        <v>19</v>
      </c>
      <c r="C147" t="s">
        <v>0</v>
      </c>
      <c r="D147" t="s">
        <v>1</v>
      </c>
      <c r="E147" t="s">
        <v>43</v>
      </c>
      <c r="F147" s="1">
        <v>45695</v>
      </c>
      <c r="G147" t="s">
        <v>238</v>
      </c>
      <c r="H147" t="s">
        <v>4</v>
      </c>
      <c r="I147" t="s">
        <v>33</v>
      </c>
      <c r="J147" t="s">
        <v>4</v>
      </c>
      <c r="K147" t="s">
        <v>17</v>
      </c>
      <c r="L147" t="s">
        <v>451</v>
      </c>
      <c r="M147" t="s">
        <v>452</v>
      </c>
      <c r="N147" t="s">
        <v>453</v>
      </c>
      <c r="O147" t="s">
        <v>454</v>
      </c>
      <c r="P147" t="s">
        <v>29</v>
      </c>
    </row>
    <row r="148" spans="1:16" x14ac:dyDescent="0.3">
      <c r="A148">
        <v>147</v>
      </c>
      <c r="B148">
        <v>14</v>
      </c>
      <c r="C148" t="s">
        <v>0</v>
      </c>
      <c r="D148" t="s">
        <v>23</v>
      </c>
      <c r="E148" t="s">
        <v>13</v>
      </c>
      <c r="F148" s="1">
        <v>45694</v>
      </c>
      <c r="G148" t="s">
        <v>455</v>
      </c>
      <c r="H148" t="s">
        <v>16</v>
      </c>
      <c r="I148" t="s">
        <v>38</v>
      </c>
      <c r="J148" t="s">
        <v>4</v>
      </c>
      <c r="K148" t="s">
        <v>58</v>
      </c>
      <c r="L148" t="s">
        <v>244</v>
      </c>
      <c r="M148" t="s">
        <v>456</v>
      </c>
      <c r="N148" t="s">
        <v>233</v>
      </c>
      <c r="O148" t="s">
        <v>457</v>
      </c>
      <c r="P148" t="s">
        <v>73</v>
      </c>
    </row>
    <row r="149" spans="1:16" x14ac:dyDescent="0.3">
      <c r="A149">
        <v>148</v>
      </c>
      <c r="B149">
        <v>15</v>
      </c>
      <c r="C149" t="s">
        <v>12</v>
      </c>
      <c r="D149" t="s">
        <v>23</v>
      </c>
      <c r="E149" t="s">
        <v>63</v>
      </c>
      <c r="F149" t="s">
        <v>93</v>
      </c>
      <c r="G149" t="s">
        <v>416</v>
      </c>
      <c r="H149" t="s">
        <v>4</v>
      </c>
      <c r="I149" t="s">
        <v>33</v>
      </c>
      <c r="J149" t="s">
        <v>4</v>
      </c>
      <c r="K149" t="s">
        <v>45</v>
      </c>
      <c r="L149" t="s">
        <v>32</v>
      </c>
      <c r="M149" t="s">
        <v>168</v>
      </c>
      <c r="N149" t="s">
        <v>143</v>
      </c>
      <c r="O149" t="s">
        <v>159</v>
      </c>
      <c r="P149" t="s">
        <v>73</v>
      </c>
    </row>
    <row r="150" spans="1:16" x14ac:dyDescent="0.3">
      <c r="A150">
        <v>149</v>
      </c>
      <c r="B150">
        <v>18</v>
      </c>
      <c r="C150" t="s">
        <v>0</v>
      </c>
      <c r="D150" t="s">
        <v>1</v>
      </c>
      <c r="E150" t="s">
        <v>99</v>
      </c>
      <c r="F150" s="1">
        <v>45781</v>
      </c>
      <c r="G150" t="s">
        <v>160</v>
      </c>
      <c r="H150" t="s">
        <v>4</v>
      </c>
      <c r="I150" t="s">
        <v>5</v>
      </c>
      <c r="J150" t="s">
        <v>4</v>
      </c>
      <c r="K150" t="s">
        <v>17</v>
      </c>
      <c r="L150" t="s">
        <v>458</v>
      </c>
      <c r="M150" t="s">
        <v>77</v>
      </c>
      <c r="N150" t="s">
        <v>459</v>
      </c>
      <c r="O150" t="s">
        <v>250</v>
      </c>
      <c r="P150" t="s">
        <v>22</v>
      </c>
    </row>
    <row r="151" spans="1:16" x14ac:dyDescent="0.3">
      <c r="A151">
        <v>150</v>
      </c>
      <c r="B151">
        <v>14</v>
      </c>
      <c r="C151" t="s">
        <v>0</v>
      </c>
      <c r="D151" t="s">
        <v>23</v>
      </c>
      <c r="E151" t="s">
        <v>2</v>
      </c>
      <c r="F151" s="1">
        <v>45812</v>
      </c>
      <c r="G151" t="s">
        <v>77</v>
      </c>
      <c r="H151" t="s">
        <v>4</v>
      </c>
      <c r="I151" t="s">
        <v>33</v>
      </c>
      <c r="J151" t="s">
        <v>16</v>
      </c>
      <c r="K151" t="s">
        <v>39</v>
      </c>
      <c r="L151" t="s">
        <v>460</v>
      </c>
      <c r="M151" t="s">
        <v>352</v>
      </c>
      <c r="N151" t="s">
        <v>137</v>
      </c>
      <c r="O151" t="s">
        <v>274</v>
      </c>
      <c r="P151" t="s">
        <v>22</v>
      </c>
    </row>
    <row r="152" spans="1:16" x14ac:dyDescent="0.3">
      <c r="A152">
        <v>151</v>
      </c>
      <c r="B152">
        <v>19</v>
      </c>
      <c r="C152" t="s">
        <v>30</v>
      </c>
      <c r="D152" t="s">
        <v>1</v>
      </c>
      <c r="E152" t="s">
        <v>31</v>
      </c>
      <c r="F152" t="s">
        <v>258</v>
      </c>
      <c r="G152" t="s">
        <v>71</v>
      </c>
      <c r="H152" t="s">
        <v>4</v>
      </c>
      <c r="I152" t="s">
        <v>38</v>
      </c>
      <c r="J152" t="s">
        <v>16</v>
      </c>
      <c r="K152" t="s">
        <v>39</v>
      </c>
      <c r="L152" t="s">
        <v>461</v>
      </c>
      <c r="M152" s="1">
        <v>45899</v>
      </c>
      <c r="N152" t="s">
        <v>462</v>
      </c>
      <c r="O152" t="s">
        <v>463</v>
      </c>
      <c r="P152" t="s">
        <v>42</v>
      </c>
    </row>
    <row r="153" spans="1:16" x14ac:dyDescent="0.3">
      <c r="A153">
        <v>152</v>
      </c>
      <c r="B153">
        <v>15</v>
      </c>
      <c r="C153" t="s">
        <v>30</v>
      </c>
      <c r="D153" t="s">
        <v>23</v>
      </c>
      <c r="E153" t="s">
        <v>13</v>
      </c>
      <c r="F153" s="1">
        <v>45659</v>
      </c>
      <c r="G153" t="s">
        <v>72</v>
      </c>
      <c r="H153" t="s">
        <v>4</v>
      </c>
      <c r="I153" t="s">
        <v>38</v>
      </c>
      <c r="J153" t="s">
        <v>16</v>
      </c>
      <c r="K153" t="s">
        <v>39</v>
      </c>
      <c r="L153" t="s">
        <v>405</v>
      </c>
      <c r="M153" t="s">
        <v>464</v>
      </c>
      <c r="N153" t="s">
        <v>465</v>
      </c>
      <c r="O153" t="s">
        <v>126</v>
      </c>
      <c r="P153" t="s">
        <v>42</v>
      </c>
    </row>
    <row r="154" spans="1:16" x14ac:dyDescent="0.3">
      <c r="A154">
        <v>153</v>
      </c>
      <c r="B154">
        <v>19</v>
      </c>
      <c r="C154" t="s">
        <v>12</v>
      </c>
      <c r="D154" t="s">
        <v>1</v>
      </c>
      <c r="E154" t="s">
        <v>63</v>
      </c>
      <c r="F154" t="s">
        <v>466</v>
      </c>
      <c r="G154" t="s">
        <v>467</v>
      </c>
      <c r="H154" t="s">
        <v>4</v>
      </c>
      <c r="I154" t="s">
        <v>15</v>
      </c>
      <c r="J154" t="s">
        <v>16</v>
      </c>
      <c r="K154" t="s">
        <v>6</v>
      </c>
      <c r="L154" s="1">
        <v>45881</v>
      </c>
      <c r="M154" s="1">
        <v>45714</v>
      </c>
      <c r="N154" s="1">
        <v>45852</v>
      </c>
      <c r="O154" s="1">
        <v>45830</v>
      </c>
      <c r="P154" t="s">
        <v>42</v>
      </c>
    </row>
    <row r="155" spans="1:16" x14ac:dyDescent="0.3">
      <c r="A155">
        <v>154</v>
      </c>
      <c r="B155">
        <v>15</v>
      </c>
      <c r="C155" t="s">
        <v>30</v>
      </c>
      <c r="D155" t="s">
        <v>23</v>
      </c>
      <c r="E155" t="s">
        <v>63</v>
      </c>
      <c r="F155" s="1">
        <v>45663</v>
      </c>
      <c r="G155" t="s">
        <v>468</v>
      </c>
      <c r="H155" t="s">
        <v>4</v>
      </c>
      <c r="I155" t="s">
        <v>5</v>
      </c>
      <c r="J155" t="s">
        <v>4</v>
      </c>
      <c r="K155" t="s">
        <v>58</v>
      </c>
      <c r="L155" t="s">
        <v>132</v>
      </c>
      <c r="M155" t="s">
        <v>310</v>
      </c>
      <c r="N155" t="s">
        <v>469</v>
      </c>
      <c r="O155" t="s">
        <v>317</v>
      </c>
      <c r="P155" t="s">
        <v>29</v>
      </c>
    </row>
    <row r="156" spans="1:16" x14ac:dyDescent="0.3">
      <c r="A156">
        <v>155</v>
      </c>
      <c r="B156">
        <v>16</v>
      </c>
      <c r="C156" t="s">
        <v>12</v>
      </c>
      <c r="D156" t="s">
        <v>23</v>
      </c>
      <c r="E156" t="s">
        <v>63</v>
      </c>
      <c r="F156" s="1">
        <v>45748</v>
      </c>
      <c r="G156" t="s">
        <v>161</v>
      </c>
      <c r="H156" t="s">
        <v>4</v>
      </c>
      <c r="I156" t="s">
        <v>38</v>
      </c>
      <c r="J156" t="s">
        <v>4</v>
      </c>
      <c r="K156" t="s">
        <v>58</v>
      </c>
      <c r="L156" t="s">
        <v>470</v>
      </c>
      <c r="M156" t="s">
        <v>305</v>
      </c>
      <c r="N156" t="s">
        <v>471</v>
      </c>
      <c r="O156" t="s">
        <v>472</v>
      </c>
      <c r="P156" t="s">
        <v>11</v>
      </c>
    </row>
    <row r="157" spans="1:16" x14ac:dyDescent="0.3">
      <c r="A157">
        <v>156</v>
      </c>
      <c r="B157">
        <v>17</v>
      </c>
      <c r="C157" t="s">
        <v>0</v>
      </c>
      <c r="D157" t="s">
        <v>23</v>
      </c>
      <c r="E157" t="s">
        <v>2</v>
      </c>
      <c r="F157" s="1">
        <v>45904</v>
      </c>
      <c r="G157" t="s">
        <v>89</v>
      </c>
      <c r="H157" t="s">
        <v>4</v>
      </c>
      <c r="I157" t="s">
        <v>38</v>
      </c>
      <c r="J157" t="s">
        <v>16</v>
      </c>
      <c r="K157" t="s">
        <v>45</v>
      </c>
      <c r="L157" t="s">
        <v>322</v>
      </c>
      <c r="M157" t="s">
        <v>346</v>
      </c>
      <c r="N157" t="s">
        <v>122</v>
      </c>
      <c r="O157" t="s">
        <v>72</v>
      </c>
      <c r="P157" t="s">
        <v>73</v>
      </c>
    </row>
    <row r="158" spans="1:16" x14ac:dyDescent="0.3">
      <c r="A158">
        <v>157</v>
      </c>
      <c r="B158">
        <v>14</v>
      </c>
      <c r="C158" t="s">
        <v>30</v>
      </c>
      <c r="D158" t="s">
        <v>23</v>
      </c>
      <c r="E158" t="s">
        <v>31</v>
      </c>
      <c r="F158" s="1">
        <v>45778</v>
      </c>
      <c r="G158" t="s">
        <v>449</v>
      </c>
      <c r="H158" t="s">
        <v>4</v>
      </c>
      <c r="I158" t="s">
        <v>5</v>
      </c>
      <c r="J158" t="s">
        <v>16</v>
      </c>
      <c r="K158" t="s">
        <v>45</v>
      </c>
      <c r="L158" t="s">
        <v>473</v>
      </c>
      <c r="M158" s="1">
        <v>45767</v>
      </c>
      <c r="N158" t="s">
        <v>474</v>
      </c>
      <c r="O158" s="1">
        <v>45803</v>
      </c>
      <c r="P158" t="s">
        <v>42</v>
      </c>
    </row>
    <row r="159" spans="1:16" x14ac:dyDescent="0.3">
      <c r="A159">
        <v>158</v>
      </c>
      <c r="B159">
        <v>17</v>
      </c>
      <c r="C159" t="s">
        <v>0</v>
      </c>
      <c r="D159" t="s">
        <v>23</v>
      </c>
      <c r="E159" t="s">
        <v>43</v>
      </c>
      <c r="F159" t="s">
        <v>409</v>
      </c>
      <c r="G159" t="s">
        <v>88</v>
      </c>
      <c r="H159" t="s">
        <v>16</v>
      </c>
      <c r="I159" t="s">
        <v>33</v>
      </c>
      <c r="J159" t="s">
        <v>16</v>
      </c>
      <c r="K159" t="s">
        <v>58</v>
      </c>
      <c r="L159" t="s">
        <v>179</v>
      </c>
      <c r="M159" t="s">
        <v>475</v>
      </c>
      <c r="N159" s="1">
        <v>45927</v>
      </c>
      <c r="O159" t="s">
        <v>476</v>
      </c>
      <c r="P159" t="s">
        <v>42</v>
      </c>
    </row>
    <row r="160" spans="1:16" x14ac:dyDescent="0.3">
      <c r="A160">
        <v>159</v>
      </c>
      <c r="B160">
        <v>17</v>
      </c>
      <c r="C160" t="s">
        <v>30</v>
      </c>
      <c r="D160" t="s">
        <v>23</v>
      </c>
      <c r="E160" t="s">
        <v>31</v>
      </c>
      <c r="F160" s="1">
        <v>45781</v>
      </c>
      <c r="G160" t="s">
        <v>389</v>
      </c>
      <c r="H160" t="s">
        <v>4</v>
      </c>
      <c r="I160" t="s">
        <v>5</v>
      </c>
      <c r="J160" t="s">
        <v>16</v>
      </c>
      <c r="K160" t="s">
        <v>45</v>
      </c>
      <c r="L160" t="s">
        <v>57</v>
      </c>
      <c r="M160" t="s">
        <v>257</v>
      </c>
      <c r="N160" t="s">
        <v>351</v>
      </c>
      <c r="O160" t="s">
        <v>32</v>
      </c>
      <c r="P160" t="s">
        <v>22</v>
      </c>
    </row>
    <row r="161" spans="1:16" x14ac:dyDescent="0.3">
      <c r="A161">
        <v>160</v>
      </c>
      <c r="B161">
        <v>18</v>
      </c>
      <c r="C161" t="s">
        <v>12</v>
      </c>
      <c r="D161" t="s">
        <v>1</v>
      </c>
      <c r="E161" t="s">
        <v>2</v>
      </c>
      <c r="F161" t="s">
        <v>157</v>
      </c>
      <c r="G161" t="s">
        <v>477</v>
      </c>
      <c r="H161" t="s">
        <v>4</v>
      </c>
      <c r="I161" t="s">
        <v>5</v>
      </c>
      <c r="J161" t="s">
        <v>4</v>
      </c>
      <c r="K161" t="s">
        <v>39</v>
      </c>
      <c r="L161" t="s">
        <v>70</v>
      </c>
      <c r="M161" t="s">
        <v>159</v>
      </c>
      <c r="N161" t="s">
        <v>241</v>
      </c>
      <c r="O161" t="s">
        <v>163</v>
      </c>
      <c r="P161" t="s">
        <v>29</v>
      </c>
    </row>
    <row r="162" spans="1:16" x14ac:dyDescent="0.3">
      <c r="A162">
        <v>161</v>
      </c>
      <c r="B162">
        <v>19</v>
      </c>
      <c r="C162" t="s">
        <v>0</v>
      </c>
      <c r="D162" t="s">
        <v>23</v>
      </c>
      <c r="E162" t="s">
        <v>31</v>
      </c>
      <c r="F162" s="1">
        <v>45691</v>
      </c>
      <c r="G162" t="s">
        <v>234</v>
      </c>
      <c r="H162" t="s">
        <v>16</v>
      </c>
      <c r="I162" t="s">
        <v>33</v>
      </c>
      <c r="J162" t="s">
        <v>16</v>
      </c>
      <c r="K162" t="s">
        <v>39</v>
      </c>
      <c r="L162" t="s">
        <v>478</v>
      </c>
      <c r="M162" t="s">
        <v>479</v>
      </c>
      <c r="N162" t="s">
        <v>440</v>
      </c>
      <c r="O162" t="s">
        <v>331</v>
      </c>
      <c r="P162" t="s">
        <v>11</v>
      </c>
    </row>
    <row r="163" spans="1:16" x14ac:dyDescent="0.3">
      <c r="A163">
        <v>162</v>
      </c>
      <c r="B163">
        <v>17</v>
      </c>
      <c r="C163" t="s">
        <v>0</v>
      </c>
      <c r="D163" t="s">
        <v>1</v>
      </c>
      <c r="E163" t="s">
        <v>43</v>
      </c>
      <c r="F163" s="1">
        <v>45754</v>
      </c>
      <c r="G163" t="s">
        <v>237</v>
      </c>
      <c r="H163" t="s">
        <v>4</v>
      </c>
      <c r="I163" t="s">
        <v>5</v>
      </c>
      <c r="J163" t="s">
        <v>16</v>
      </c>
      <c r="K163" t="s">
        <v>107</v>
      </c>
      <c r="L163" t="s">
        <v>295</v>
      </c>
      <c r="M163" t="s">
        <v>92</v>
      </c>
      <c r="N163" t="s">
        <v>274</v>
      </c>
      <c r="O163" t="s">
        <v>163</v>
      </c>
      <c r="P163" t="s">
        <v>29</v>
      </c>
    </row>
    <row r="164" spans="1:16" x14ac:dyDescent="0.3">
      <c r="A164">
        <v>163</v>
      </c>
      <c r="B164">
        <v>16</v>
      </c>
      <c r="C164" t="s">
        <v>30</v>
      </c>
      <c r="D164" t="s">
        <v>23</v>
      </c>
      <c r="E164" t="s">
        <v>63</v>
      </c>
      <c r="F164" t="s">
        <v>185</v>
      </c>
      <c r="G164" t="s">
        <v>131</v>
      </c>
      <c r="H164" t="s">
        <v>4</v>
      </c>
      <c r="I164" t="s">
        <v>38</v>
      </c>
      <c r="J164" t="s">
        <v>4</v>
      </c>
      <c r="K164" t="s">
        <v>39</v>
      </c>
      <c r="L164" t="s">
        <v>433</v>
      </c>
      <c r="M164" s="1">
        <v>45913</v>
      </c>
      <c r="N164" t="s">
        <v>480</v>
      </c>
      <c r="O164" t="s">
        <v>481</v>
      </c>
      <c r="P164" t="s">
        <v>42</v>
      </c>
    </row>
    <row r="165" spans="1:16" x14ac:dyDescent="0.3">
      <c r="A165">
        <v>164</v>
      </c>
      <c r="B165">
        <v>16</v>
      </c>
      <c r="C165" t="s">
        <v>30</v>
      </c>
      <c r="D165" t="s">
        <v>23</v>
      </c>
      <c r="E165" t="s">
        <v>99</v>
      </c>
      <c r="F165" t="s">
        <v>74</v>
      </c>
      <c r="G165" t="s">
        <v>414</v>
      </c>
      <c r="H165" t="s">
        <v>4</v>
      </c>
      <c r="I165" t="s">
        <v>5</v>
      </c>
      <c r="J165" t="s">
        <v>4</v>
      </c>
      <c r="K165" t="s">
        <v>17</v>
      </c>
      <c r="L165" t="s">
        <v>441</v>
      </c>
      <c r="M165" t="s">
        <v>363</v>
      </c>
      <c r="N165" t="s">
        <v>482</v>
      </c>
      <c r="O165" t="s">
        <v>65</v>
      </c>
      <c r="P165" t="s">
        <v>73</v>
      </c>
    </row>
    <row r="166" spans="1:16" x14ac:dyDescent="0.3">
      <c r="A166">
        <v>165</v>
      </c>
      <c r="B166">
        <v>16</v>
      </c>
      <c r="C166" t="s">
        <v>12</v>
      </c>
      <c r="D166" t="s">
        <v>23</v>
      </c>
      <c r="E166" t="s">
        <v>99</v>
      </c>
      <c r="F166" s="1">
        <v>45809</v>
      </c>
      <c r="G166" t="s">
        <v>483</v>
      </c>
      <c r="H166" t="s">
        <v>16</v>
      </c>
      <c r="I166" t="s">
        <v>5</v>
      </c>
      <c r="J166" t="s">
        <v>4</v>
      </c>
      <c r="K166" t="s">
        <v>45</v>
      </c>
      <c r="L166" t="s">
        <v>484</v>
      </c>
      <c r="M166" t="s">
        <v>476</v>
      </c>
      <c r="N166" t="s">
        <v>473</v>
      </c>
      <c r="O166" t="s">
        <v>485</v>
      </c>
      <c r="P166" t="s">
        <v>11</v>
      </c>
    </row>
    <row r="167" spans="1:16" x14ac:dyDescent="0.3">
      <c r="A167">
        <v>166</v>
      </c>
      <c r="B167">
        <v>18</v>
      </c>
      <c r="C167" t="s">
        <v>0</v>
      </c>
      <c r="D167" t="s">
        <v>1</v>
      </c>
      <c r="E167" t="s">
        <v>99</v>
      </c>
      <c r="F167" s="1">
        <v>45902</v>
      </c>
      <c r="G167" t="s">
        <v>66</v>
      </c>
      <c r="H167" t="s">
        <v>4</v>
      </c>
      <c r="I167" t="s">
        <v>15</v>
      </c>
      <c r="J167" t="s">
        <v>16</v>
      </c>
      <c r="K167" t="s">
        <v>39</v>
      </c>
      <c r="L167" t="s">
        <v>59</v>
      </c>
      <c r="M167" t="s">
        <v>261</v>
      </c>
      <c r="N167" t="s">
        <v>436</v>
      </c>
      <c r="O167" t="s">
        <v>114</v>
      </c>
      <c r="P167" t="s">
        <v>22</v>
      </c>
    </row>
    <row r="168" spans="1:16" x14ac:dyDescent="0.3">
      <c r="A168">
        <v>167</v>
      </c>
      <c r="B168">
        <v>15</v>
      </c>
      <c r="C168" t="s">
        <v>30</v>
      </c>
      <c r="D168" t="s">
        <v>1</v>
      </c>
      <c r="E168" t="s">
        <v>2</v>
      </c>
      <c r="F168" t="s">
        <v>299</v>
      </c>
      <c r="G168" t="s">
        <v>150</v>
      </c>
      <c r="H168" t="s">
        <v>4</v>
      </c>
      <c r="I168" t="s">
        <v>38</v>
      </c>
      <c r="J168" t="s">
        <v>16</v>
      </c>
      <c r="K168" t="s">
        <v>39</v>
      </c>
      <c r="L168" t="s">
        <v>486</v>
      </c>
      <c r="M168" t="s">
        <v>487</v>
      </c>
      <c r="N168" t="s">
        <v>488</v>
      </c>
      <c r="O168" t="s">
        <v>481</v>
      </c>
      <c r="P168" t="s">
        <v>42</v>
      </c>
    </row>
    <row r="169" spans="1:16" x14ac:dyDescent="0.3">
      <c r="A169">
        <v>168</v>
      </c>
      <c r="B169">
        <v>15</v>
      </c>
      <c r="C169" t="s">
        <v>30</v>
      </c>
      <c r="D169" t="s">
        <v>23</v>
      </c>
      <c r="E169" t="s">
        <v>2</v>
      </c>
      <c r="F169" t="s">
        <v>466</v>
      </c>
      <c r="G169" t="s">
        <v>489</v>
      </c>
      <c r="H169" t="s">
        <v>4</v>
      </c>
      <c r="I169" t="s">
        <v>33</v>
      </c>
      <c r="J169" t="s">
        <v>16</v>
      </c>
      <c r="K169" t="s">
        <v>6</v>
      </c>
      <c r="L169" s="1">
        <v>45837</v>
      </c>
      <c r="M169" t="s">
        <v>355</v>
      </c>
      <c r="N169" s="1">
        <v>45896</v>
      </c>
      <c r="O169" t="s">
        <v>490</v>
      </c>
      <c r="P169" t="s">
        <v>42</v>
      </c>
    </row>
    <row r="170" spans="1:16" x14ac:dyDescent="0.3">
      <c r="A170">
        <v>169</v>
      </c>
      <c r="B170">
        <v>16</v>
      </c>
      <c r="C170" t="s">
        <v>12</v>
      </c>
      <c r="D170" t="s">
        <v>23</v>
      </c>
      <c r="E170" t="s">
        <v>2</v>
      </c>
      <c r="F170" s="1">
        <v>45874</v>
      </c>
      <c r="G170" t="s">
        <v>441</v>
      </c>
      <c r="H170" t="s">
        <v>4</v>
      </c>
      <c r="I170" t="s">
        <v>15</v>
      </c>
      <c r="J170" t="s">
        <v>4</v>
      </c>
      <c r="K170" t="s">
        <v>17</v>
      </c>
      <c r="L170" t="s">
        <v>66</v>
      </c>
      <c r="M170" t="s">
        <v>404</v>
      </c>
      <c r="N170" t="s">
        <v>491</v>
      </c>
      <c r="O170" t="s">
        <v>492</v>
      </c>
      <c r="P170" t="s">
        <v>22</v>
      </c>
    </row>
    <row r="171" spans="1:16" x14ac:dyDescent="0.3">
      <c r="A171">
        <v>170</v>
      </c>
      <c r="B171">
        <v>14</v>
      </c>
      <c r="C171" t="s">
        <v>12</v>
      </c>
      <c r="D171" t="s">
        <v>1</v>
      </c>
      <c r="E171" t="s">
        <v>43</v>
      </c>
      <c r="F171" s="1">
        <v>45752</v>
      </c>
      <c r="G171" t="s">
        <v>493</v>
      </c>
      <c r="H171" t="s">
        <v>4</v>
      </c>
      <c r="I171" t="s">
        <v>15</v>
      </c>
      <c r="J171" t="s">
        <v>16</v>
      </c>
      <c r="K171" t="s">
        <v>39</v>
      </c>
      <c r="L171" t="s">
        <v>494</v>
      </c>
      <c r="M171" t="s">
        <v>316</v>
      </c>
      <c r="N171" t="s">
        <v>295</v>
      </c>
      <c r="O171" t="s">
        <v>495</v>
      </c>
      <c r="P171" t="s">
        <v>73</v>
      </c>
    </row>
    <row r="172" spans="1:16" x14ac:dyDescent="0.3">
      <c r="A172">
        <v>171</v>
      </c>
      <c r="B172">
        <v>14</v>
      </c>
      <c r="C172" t="s">
        <v>30</v>
      </c>
      <c r="D172" t="s">
        <v>1</v>
      </c>
      <c r="E172" t="s">
        <v>63</v>
      </c>
      <c r="F172" s="1">
        <v>45659</v>
      </c>
      <c r="G172" t="s">
        <v>234</v>
      </c>
      <c r="H172" t="s">
        <v>16</v>
      </c>
      <c r="I172" t="s">
        <v>5</v>
      </c>
      <c r="J172" t="s">
        <v>16</v>
      </c>
      <c r="K172" t="s">
        <v>58</v>
      </c>
      <c r="L172" t="s">
        <v>408</v>
      </c>
      <c r="M172" t="s">
        <v>130</v>
      </c>
      <c r="N172" t="s">
        <v>496</v>
      </c>
      <c r="O172" t="s">
        <v>180</v>
      </c>
      <c r="P172" t="s">
        <v>42</v>
      </c>
    </row>
    <row r="173" spans="1:16" x14ac:dyDescent="0.3">
      <c r="A173">
        <v>172</v>
      </c>
      <c r="B173">
        <v>14</v>
      </c>
      <c r="C173" t="s">
        <v>12</v>
      </c>
      <c r="D173" t="s">
        <v>23</v>
      </c>
      <c r="E173" t="s">
        <v>13</v>
      </c>
      <c r="F173" s="1">
        <v>45723</v>
      </c>
      <c r="G173" t="s">
        <v>497</v>
      </c>
      <c r="H173" t="s">
        <v>4</v>
      </c>
      <c r="I173" t="s">
        <v>33</v>
      </c>
      <c r="J173" t="s">
        <v>4</v>
      </c>
      <c r="K173" t="s">
        <v>39</v>
      </c>
      <c r="L173" t="s">
        <v>145</v>
      </c>
      <c r="M173" t="s">
        <v>498</v>
      </c>
      <c r="N173" t="s">
        <v>499</v>
      </c>
      <c r="O173" t="s">
        <v>452</v>
      </c>
      <c r="P173" t="s">
        <v>29</v>
      </c>
    </row>
    <row r="174" spans="1:16" x14ac:dyDescent="0.3">
      <c r="A174">
        <v>173</v>
      </c>
      <c r="B174">
        <v>18</v>
      </c>
      <c r="C174" t="s">
        <v>0</v>
      </c>
      <c r="D174" t="s">
        <v>23</v>
      </c>
      <c r="E174" t="s">
        <v>63</v>
      </c>
      <c r="F174" s="1">
        <v>45843</v>
      </c>
      <c r="G174" t="s">
        <v>98</v>
      </c>
      <c r="H174" t="s">
        <v>4</v>
      </c>
      <c r="I174" t="s">
        <v>38</v>
      </c>
      <c r="J174" t="s">
        <v>16</v>
      </c>
      <c r="K174" t="s">
        <v>45</v>
      </c>
      <c r="L174" t="s">
        <v>319</v>
      </c>
      <c r="M174" t="s">
        <v>500</v>
      </c>
      <c r="N174" t="s">
        <v>79</v>
      </c>
      <c r="O174" t="s">
        <v>501</v>
      </c>
      <c r="P174" t="s">
        <v>73</v>
      </c>
    </row>
    <row r="175" spans="1:16" x14ac:dyDescent="0.3">
      <c r="A175">
        <v>174</v>
      </c>
      <c r="B175">
        <v>18</v>
      </c>
      <c r="C175" t="s">
        <v>0</v>
      </c>
      <c r="D175" t="s">
        <v>1</v>
      </c>
      <c r="E175" t="s">
        <v>2</v>
      </c>
      <c r="F175" t="s">
        <v>151</v>
      </c>
      <c r="G175" t="s">
        <v>369</v>
      </c>
      <c r="H175" t="s">
        <v>4</v>
      </c>
      <c r="I175" t="s">
        <v>5</v>
      </c>
      <c r="J175" t="s">
        <v>4</v>
      </c>
      <c r="K175" t="s">
        <v>107</v>
      </c>
      <c r="L175" t="s">
        <v>400</v>
      </c>
      <c r="M175" t="s">
        <v>109</v>
      </c>
      <c r="N175" t="s">
        <v>179</v>
      </c>
      <c r="O175" t="s">
        <v>109</v>
      </c>
      <c r="P175" t="s">
        <v>11</v>
      </c>
    </row>
    <row r="176" spans="1:16" x14ac:dyDescent="0.3">
      <c r="A176">
        <v>175</v>
      </c>
      <c r="B176">
        <v>18</v>
      </c>
      <c r="C176" t="s">
        <v>12</v>
      </c>
      <c r="D176" t="s">
        <v>1</v>
      </c>
      <c r="E176" t="s">
        <v>99</v>
      </c>
      <c r="F176" s="1">
        <v>45811</v>
      </c>
      <c r="G176" t="s">
        <v>353</v>
      </c>
      <c r="H176" t="s">
        <v>4</v>
      </c>
      <c r="I176" t="s">
        <v>38</v>
      </c>
      <c r="J176" t="s">
        <v>16</v>
      </c>
      <c r="K176" t="s">
        <v>58</v>
      </c>
      <c r="L176" t="s">
        <v>502</v>
      </c>
      <c r="M176" t="s">
        <v>190</v>
      </c>
      <c r="N176" t="s">
        <v>481</v>
      </c>
      <c r="O176" t="s">
        <v>479</v>
      </c>
      <c r="P176" t="s">
        <v>11</v>
      </c>
    </row>
    <row r="177" spans="1:16" x14ac:dyDescent="0.3">
      <c r="A177">
        <v>176</v>
      </c>
      <c r="B177">
        <v>16</v>
      </c>
      <c r="C177" t="s">
        <v>30</v>
      </c>
      <c r="D177" t="s">
        <v>23</v>
      </c>
      <c r="E177" t="s">
        <v>13</v>
      </c>
      <c r="F177" s="1">
        <v>45840</v>
      </c>
      <c r="G177" t="s">
        <v>254</v>
      </c>
      <c r="H177" t="s">
        <v>4</v>
      </c>
      <c r="I177" t="s">
        <v>5</v>
      </c>
      <c r="J177" t="s">
        <v>16</v>
      </c>
      <c r="K177" t="s">
        <v>6</v>
      </c>
      <c r="L177" t="s">
        <v>503</v>
      </c>
      <c r="M177" t="s">
        <v>504</v>
      </c>
      <c r="N177" t="s">
        <v>167</v>
      </c>
      <c r="O177" t="s">
        <v>150</v>
      </c>
      <c r="P177" t="s">
        <v>22</v>
      </c>
    </row>
    <row r="178" spans="1:16" x14ac:dyDescent="0.3">
      <c r="A178">
        <v>177</v>
      </c>
      <c r="B178">
        <v>18</v>
      </c>
      <c r="C178" t="s">
        <v>30</v>
      </c>
      <c r="D178" t="s">
        <v>1</v>
      </c>
      <c r="E178" t="s">
        <v>43</v>
      </c>
      <c r="F178" s="1">
        <v>45844</v>
      </c>
      <c r="G178" t="s">
        <v>385</v>
      </c>
      <c r="H178" t="s">
        <v>4</v>
      </c>
      <c r="I178" t="s">
        <v>15</v>
      </c>
      <c r="J178" t="s">
        <v>16</v>
      </c>
      <c r="K178" t="s">
        <v>39</v>
      </c>
      <c r="L178" t="s">
        <v>219</v>
      </c>
      <c r="M178" t="s">
        <v>132</v>
      </c>
      <c r="N178" t="s">
        <v>120</v>
      </c>
      <c r="O178" t="s">
        <v>413</v>
      </c>
      <c r="P178" t="s">
        <v>29</v>
      </c>
    </row>
    <row r="179" spans="1:16" x14ac:dyDescent="0.3">
      <c r="A179">
        <v>178</v>
      </c>
      <c r="B179">
        <v>14</v>
      </c>
      <c r="C179" t="s">
        <v>12</v>
      </c>
      <c r="D179" t="s">
        <v>1</v>
      </c>
      <c r="E179" t="s">
        <v>63</v>
      </c>
      <c r="F179" s="1">
        <v>45692</v>
      </c>
      <c r="G179" t="s">
        <v>349</v>
      </c>
      <c r="H179" t="s">
        <v>4</v>
      </c>
      <c r="I179" t="s">
        <v>33</v>
      </c>
      <c r="J179" t="s">
        <v>4</v>
      </c>
      <c r="K179" t="s">
        <v>107</v>
      </c>
      <c r="L179" t="s">
        <v>505</v>
      </c>
      <c r="M179" t="s">
        <v>275</v>
      </c>
      <c r="N179" t="s">
        <v>506</v>
      </c>
      <c r="O179" t="s">
        <v>101</v>
      </c>
      <c r="P179" t="s">
        <v>22</v>
      </c>
    </row>
    <row r="180" spans="1:16" x14ac:dyDescent="0.3">
      <c r="A180">
        <v>179</v>
      </c>
      <c r="B180">
        <v>19</v>
      </c>
      <c r="C180" t="s">
        <v>0</v>
      </c>
      <c r="D180" t="s">
        <v>1</v>
      </c>
      <c r="E180" t="s">
        <v>31</v>
      </c>
      <c r="F180" s="1">
        <v>45778</v>
      </c>
      <c r="G180" t="s">
        <v>193</v>
      </c>
      <c r="H180" t="s">
        <v>4</v>
      </c>
      <c r="I180" t="s">
        <v>38</v>
      </c>
      <c r="J180" t="s">
        <v>16</v>
      </c>
      <c r="K180" t="s">
        <v>17</v>
      </c>
      <c r="L180" t="s">
        <v>507</v>
      </c>
      <c r="M180" t="s">
        <v>508</v>
      </c>
      <c r="N180" t="s">
        <v>509</v>
      </c>
      <c r="O180" t="s">
        <v>463</v>
      </c>
      <c r="P180" t="s">
        <v>42</v>
      </c>
    </row>
    <row r="181" spans="1:16" x14ac:dyDescent="0.3">
      <c r="A181">
        <v>180</v>
      </c>
      <c r="B181">
        <v>17</v>
      </c>
      <c r="C181" t="s">
        <v>12</v>
      </c>
      <c r="D181" t="s">
        <v>23</v>
      </c>
      <c r="E181" t="s">
        <v>63</v>
      </c>
      <c r="F181" t="s">
        <v>258</v>
      </c>
      <c r="G181" t="s">
        <v>159</v>
      </c>
      <c r="H181" t="s">
        <v>4</v>
      </c>
      <c r="I181" t="s">
        <v>15</v>
      </c>
      <c r="J181" t="s">
        <v>4</v>
      </c>
      <c r="K181" t="s">
        <v>17</v>
      </c>
      <c r="L181" t="s">
        <v>342</v>
      </c>
      <c r="M181" s="1">
        <v>45740</v>
      </c>
      <c r="N181" t="s">
        <v>421</v>
      </c>
      <c r="O181" t="s">
        <v>400</v>
      </c>
      <c r="P181" t="s">
        <v>11</v>
      </c>
    </row>
    <row r="182" spans="1:16" x14ac:dyDescent="0.3">
      <c r="A182">
        <v>181</v>
      </c>
      <c r="B182">
        <v>19</v>
      </c>
      <c r="C182" t="s">
        <v>0</v>
      </c>
      <c r="D182" t="s">
        <v>1</v>
      </c>
      <c r="E182" t="s">
        <v>31</v>
      </c>
      <c r="F182" s="1">
        <v>45840</v>
      </c>
      <c r="G182" t="s">
        <v>122</v>
      </c>
      <c r="H182" t="s">
        <v>4</v>
      </c>
      <c r="I182" t="s">
        <v>38</v>
      </c>
      <c r="J182" t="s">
        <v>4</v>
      </c>
      <c r="K182" t="s">
        <v>45</v>
      </c>
      <c r="L182" t="s">
        <v>284</v>
      </c>
      <c r="M182" t="s">
        <v>46</v>
      </c>
      <c r="N182" t="s">
        <v>147</v>
      </c>
      <c r="O182" t="s">
        <v>510</v>
      </c>
      <c r="P182" t="s">
        <v>11</v>
      </c>
    </row>
    <row r="183" spans="1:16" x14ac:dyDescent="0.3">
      <c r="A183">
        <v>182</v>
      </c>
      <c r="B183">
        <v>14</v>
      </c>
      <c r="C183" t="s">
        <v>12</v>
      </c>
      <c r="D183" t="s">
        <v>1</v>
      </c>
      <c r="E183" t="s">
        <v>43</v>
      </c>
      <c r="F183" s="1">
        <v>45780</v>
      </c>
      <c r="G183" t="s">
        <v>511</v>
      </c>
      <c r="H183" t="s">
        <v>4</v>
      </c>
      <c r="I183" t="s">
        <v>38</v>
      </c>
      <c r="J183" t="s">
        <v>4</v>
      </c>
      <c r="K183" t="s">
        <v>107</v>
      </c>
      <c r="L183" t="s">
        <v>116</v>
      </c>
      <c r="M183" t="s">
        <v>290</v>
      </c>
      <c r="N183" t="s">
        <v>512</v>
      </c>
      <c r="O183" t="s">
        <v>60</v>
      </c>
      <c r="P183" t="s">
        <v>22</v>
      </c>
    </row>
    <row r="184" spans="1:16" x14ac:dyDescent="0.3">
      <c r="A184">
        <v>183</v>
      </c>
      <c r="B184">
        <v>16</v>
      </c>
      <c r="C184" t="s">
        <v>12</v>
      </c>
      <c r="D184" t="s">
        <v>1</v>
      </c>
      <c r="E184" t="s">
        <v>31</v>
      </c>
      <c r="F184" s="1">
        <v>45904</v>
      </c>
      <c r="G184" t="s">
        <v>147</v>
      </c>
      <c r="H184" t="s">
        <v>4</v>
      </c>
      <c r="I184" t="s">
        <v>15</v>
      </c>
      <c r="J184" t="s">
        <v>16</v>
      </c>
      <c r="K184" t="s">
        <v>45</v>
      </c>
      <c r="L184" t="s">
        <v>390</v>
      </c>
      <c r="M184" t="s">
        <v>368</v>
      </c>
      <c r="N184" t="s">
        <v>384</v>
      </c>
      <c r="O184" t="s">
        <v>235</v>
      </c>
      <c r="P184" t="s">
        <v>73</v>
      </c>
    </row>
    <row r="185" spans="1:16" x14ac:dyDescent="0.3">
      <c r="A185">
        <v>184</v>
      </c>
      <c r="B185">
        <v>18</v>
      </c>
      <c r="C185" t="s">
        <v>30</v>
      </c>
      <c r="D185" t="s">
        <v>23</v>
      </c>
      <c r="E185" t="s">
        <v>63</v>
      </c>
      <c r="F185" s="1">
        <v>45845</v>
      </c>
      <c r="G185" t="s">
        <v>513</v>
      </c>
      <c r="H185" t="s">
        <v>4</v>
      </c>
      <c r="I185" t="s">
        <v>38</v>
      </c>
      <c r="J185" t="s">
        <v>16</v>
      </c>
      <c r="K185" t="s">
        <v>17</v>
      </c>
      <c r="L185" t="s">
        <v>294</v>
      </c>
      <c r="M185" t="s">
        <v>514</v>
      </c>
      <c r="N185" t="s">
        <v>515</v>
      </c>
      <c r="O185" t="s">
        <v>253</v>
      </c>
      <c r="P185" t="s">
        <v>73</v>
      </c>
    </row>
    <row r="186" spans="1:16" x14ac:dyDescent="0.3">
      <c r="A186">
        <v>185</v>
      </c>
      <c r="B186">
        <v>16</v>
      </c>
      <c r="C186" t="s">
        <v>30</v>
      </c>
      <c r="D186" t="s">
        <v>23</v>
      </c>
      <c r="E186" t="s">
        <v>43</v>
      </c>
      <c r="F186" s="1">
        <v>45779</v>
      </c>
      <c r="G186" t="s">
        <v>516</v>
      </c>
      <c r="H186" t="s">
        <v>4</v>
      </c>
      <c r="I186" t="s">
        <v>33</v>
      </c>
      <c r="J186" t="s">
        <v>16</v>
      </c>
      <c r="K186" t="s">
        <v>58</v>
      </c>
      <c r="L186" t="s">
        <v>355</v>
      </c>
      <c r="M186" t="s">
        <v>517</v>
      </c>
      <c r="N186" t="s">
        <v>407</v>
      </c>
      <c r="O186" t="s">
        <v>439</v>
      </c>
      <c r="P186" t="s">
        <v>22</v>
      </c>
    </row>
    <row r="187" spans="1:16" x14ac:dyDescent="0.3">
      <c r="A187">
        <v>186</v>
      </c>
      <c r="B187">
        <v>16</v>
      </c>
      <c r="C187" t="s">
        <v>30</v>
      </c>
      <c r="D187" t="s">
        <v>1</v>
      </c>
      <c r="E187" t="s">
        <v>43</v>
      </c>
      <c r="F187" t="s">
        <v>151</v>
      </c>
      <c r="G187" t="s">
        <v>137</v>
      </c>
      <c r="H187" t="s">
        <v>16</v>
      </c>
      <c r="I187" t="s">
        <v>33</v>
      </c>
      <c r="J187" t="s">
        <v>4</v>
      </c>
      <c r="K187" t="s">
        <v>6</v>
      </c>
      <c r="L187" t="s">
        <v>518</v>
      </c>
      <c r="M187" t="s">
        <v>180</v>
      </c>
      <c r="N187" t="s">
        <v>36</v>
      </c>
      <c r="O187" t="s">
        <v>519</v>
      </c>
      <c r="P187" t="s">
        <v>42</v>
      </c>
    </row>
    <row r="188" spans="1:16" x14ac:dyDescent="0.3">
      <c r="A188">
        <v>187</v>
      </c>
      <c r="B188">
        <v>14</v>
      </c>
      <c r="C188" t="s">
        <v>0</v>
      </c>
      <c r="D188" t="s">
        <v>23</v>
      </c>
      <c r="E188" t="s">
        <v>31</v>
      </c>
      <c r="F188" t="s">
        <v>299</v>
      </c>
      <c r="G188" t="s">
        <v>520</v>
      </c>
      <c r="H188" t="s">
        <v>4</v>
      </c>
      <c r="I188" t="s">
        <v>38</v>
      </c>
      <c r="J188" t="s">
        <v>16</v>
      </c>
      <c r="K188" t="s">
        <v>45</v>
      </c>
      <c r="L188" t="s">
        <v>521</v>
      </c>
      <c r="M188" t="s">
        <v>522</v>
      </c>
      <c r="N188" t="s">
        <v>102</v>
      </c>
      <c r="O188" t="s">
        <v>523</v>
      </c>
      <c r="P188" t="s">
        <v>11</v>
      </c>
    </row>
    <row r="189" spans="1:16" x14ac:dyDescent="0.3">
      <c r="A189">
        <v>188</v>
      </c>
      <c r="B189">
        <v>16</v>
      </c>
      <c r="C189" t="s">
        <v>30</v>
      </c>
      <c r="D189" t="s">
        <v>23</v>
      </c>
      <c r="E189" t="s">
        <v>13</v>
      </c>
      <c r="F189" s="1">
        <v>45719</v>
      </c>
      <c r="G189" t="s">
        <v>240</v>
      </c>
      <c r="H189" t="s">
        <v>4</v>
      </c>
      <c r="I189" t="s">
        <v>33</v>
      </c>
      <c r="J189" t="s">
        <v>4</v>
      </c>
      <c r="K189" t="s">
        <v>58</v>
      </c>
      <c r="L189" t="s">
        <v>399</v>
      </c>
      <c r="M189" t="s">
        <v>512</v>
      </c>
      <c r="N189" t="s">
        <v>327</v>
      </c>
      <c r="O189" t="s">
        <v>524</v>
      </c>
      <c r="P189" t="s">
        <v>22</v>
      </c>
    </row>
    <row r="190" spans="1:16" x14ac:dyDescent="0.3">
      <c r="A190">
        <v>189</v>
      </c>
      <c r="B190">
        <v>15</v>
      </c>
      <c r="C190" t="s">
        <v>0</v>
      </c>
      <c r="D190" t="s">
        <v>23</v>
      </c>
      <c r="E190" t="s">
        <v>13</v>
      </c>
      <c r="F190" s="1">
        <v>45813</v>
      </c>
      <c r="G190" t="s">
        <v>143</v>
      </c>
      <c r="H190" t="s">
        <v>4</v>
      </c>
      <c r="I190" t="s">
        <v>5</v>
      </c>
      <c r="J190" t="s">
        <v>16</v>
      </c>
      <c r="K190" t="s">
        <v>6</v>
      </c>
      <c r="L190" t="s">
        <v>66</v>
      </c>
      <c r="M190" t="s">
        <v>176</v>
      </c>
      <c r="N190" t="s">
        <v>8</v>
      </c>
      <c r="O190" t="s">
        <v>289</v>
      </c>
      <c r="P190" t="s">
        <v>73</v>
      </c>
    </row>
    <row r="191" spans="1:16" x14ac:dyDescent="0.3">
      <c r="A191">
        <v>190</v>
      </c>
      <c r="B191">
        <v>15</v>
      </c>
      <c r="C191" t="s">
        <v>12</v>
      </c>
      <c r="D191" t="s">
        <v>23</v>
      </c>
      <c r="E191" t="s">
        <v>63</v>
      </c>
      <c r="F191" s="1">
        <v>45845</v>
      </c>
      <c r="G191" t="s">
        <v>54</v>
      </c>
      <c r="H191" t="s">
        <v>4</v>
      </c>
      <c r="I191" t="s">
        <v>38</v>
      </c>
      <c r="J191" t="s">
        <v>16</v>
      </c>
      <c r="K191" t="s">
        <v>39</v>
      </c>
      <c r="L191" t="s">
        <v>24</v>
      </c>
      <c r="M191" t="s">
        <v>393</v>
      </c>
      <c r="N191" t="s">
        <v>122</v>
      </c>
      <c r="O191" t="s">
        <v>97</v>
      </c>
      <c r="P191" t="s">
        <v>73</v>
      </c>
    </row>
    <row r="192" spans="1:16" x14ac:dyDescent="0.3">
      <c r="A192">
        <v>191</v>
      </c>
      <c r="B192">
        <v>18</v>
      </c>
      <c r="C192" t="s">
        <v>30</v>
      </c>
      <c r="D192" t="s">
        <v>1</v>
      </c>
      <c r="E192" t="s">
        <v>13</v>
      </c>
      <c r="F192" s="1">
        <v>45663</v>
      </c>
      <c r="G192" t="s">
        <v>525</v>
      </c>
      <c r="H192" t="s">
        <v>4</v>
      </c>
      <c r="I192" t="s">
        <v>38</v>
      </c>
      <c r="J192" t="s">
        <v>16</v>
      </c>
      <c r="K192" t="s">
        <v>39</v>
      </c>
      <c r="L192" t="s">
        <v>350</v>
      </c>
      <c r="M192" t="s">
        <v>447</v>
      </c>
      <c r="N192" t="s">
        <v>364</v>
      </c>
      <c r="O192" t="s">
        <v>230</v>
      </c>
      <c r="P192" t="s">
        <v>29</v>
      </c>
    </row>
    <row r="193" spans="1:16" x14ac:dyDescent="0.3">
      <c r="A193">
        <v>192</v>
      </c>
      <c r="B193">
        <v>17</v>
      </c>
      <c r="C193" t="s">
        <v>30</v>
      </c>
      <c r="D193" t="s">
        <v>23</v>
      </c>
      <c r="E193" t="s">
        <v>31</v>
      </c>
      <c r="F193" s="1">
        <v>45748</v>
      </c>
      <c r="G193" t="s">
        <v>526</v>
      </c>
      <c r="H193" t="s">
        <v>4</v>
      </c>
      <c r="I193" t="s">
        <v>38</v>
      </c>
      <c r="J193" t="s">
        <v>16</v>
      </c>
      <c r="K193" t="s">
        <v>107</v>
      </c>
      <c r="L193" s="1">
        <v>45815</v>
      </c>
      <c r="M193" t="s">
        <v>462</v>
      </c>
      <c r="N193" s="1">
        <v>45854</v>
      </c>
      <c r="O193" s="1">
        <v>45802</v>
      </c>
      <c r="P193" t="s">
        <v>42</v>
      </c>
    </row>
    <row r="194" spans="1:16" x14ac:dyDescent="0.3">
      <c r="A194">
        <v>193</v>
      </c>
      <c r="B194">
        <v>17</v>
      </c>
      <c r="C194" t="s">
        <v>12</v>
      </c>
      <c r="D194" t="s">
        <v>23</v>
      </c>
      <c r="E194" t="s">
        <v>2</v>
      </c>
      <c r="F194" s="1">
        <v>45695</v>
      </c>
      <c r="G194" t="s">
        <v>370</v>
      </c>
      <c r="H194" t="s">
        <v>4</v>
      </c>
      <c r="I194" t="s">
        <v>33</v>
      </c>
      <c r="J194" t="s">
        <v>4</v>
      </c>
      <c r="K194" t="s">
        <v>17</v>
      </c>
      <c r="L194" t="s">
        <v>527</v>
      </c>
      <c r="M194" t="s">
        <v>62</v>
      </c>
      <c r="N194" t="s">
        <v>528</v>
      </c>
      <c r="O194" t="s">
        <v>295</v>
      </c>
      <c r="P194" t="s">
        <v>73</v>
      </c>
    </row>
    <row r="195" spans="1:16" x14ac:dyDescent="0.3">
      <c r="A195">
        <v>194</v>
      </c>
      <c r="B195">
        <v>16</v>
      </c>
      <c r="C195" t="s">
        <v>0</v>
      </c>
      <c r="D195" t="s">
        <v>23</v>
      </c>
      <c r="E195" t="s">
        <v>43</v>
      </c>
      <c r="F195" s="1">
        <v>45875</v>
      </c>
      <c r="G195" t="s">
        <v>489</v>
      </c>
      <c r="H195" t="s">
        <v>4</v>
      </c>
      <c r="I195" t="s">
        <v>5</v>
      </c>
      <c r="J195" t="s">
        <v>16</v>
      </c>
      <c r="K195" t="s">
        <v>58</v>
      </c>
      <c r="L195" t="s">
        <v>165</v>
      </c>
      <c r="M195" t="s">
        <v>529</v>
      </c>
      <c r="N195" t="s">
        <v>191</v>
      </c>
      <c r="O195" t="s">
        <v>278</v>
      </c>
      <c r="P195" t="s">
        <v>73</v>
      </c>
    </row>
    <row r="196" spans="1:16" x14ac:dyDescent="0.3">
      <c r="A196">
        <v>195</v>
      </c>
      <c r="B196">
        <v>19</v>
      </c>
      <c r="C196" t="s">
        <v>12</v>
      </c>
      <c r="D196" t="s">
        <v>23</v>
      </c>
      <c r="E196" t="s">
        <v>43</v>
      </c>
      <c r="F196" s="1">
        <v>45901</v>
      </c>
      <c r="G196" t="s">
        <v>530</v>
      </c>
      <c r="H196" t="s">
        <v>4</v>
      </c>
      <c r="I196" t="s">
        <v>5</v>
      </c>
      <c r="J196" t="s">
        <v>4</v>
      </c>
      <c r="K196" t="s">
        <v>107</v>
      </c>
      <c r="L196" s="1">
        <v>45862</v>
      </c>
      <c r="M196" t="s">
        <v>463</v>
      </c>
      <c r="N196" t="s">
        <v>531</v>
      </c>
      <c r="O196" t="s">
        <v>518</v>
      </c>
      <c r="P196" t="s">
        <v>42</v>
      </c>
    </row>
    <row r="197" spans="1:16" x14ac:dyDescent="0.3">
      <c r="A197">
        <v>196</v>
      </c>
      <c r="B197">
        <v>14</v>
      </c>
      <c r="C197" t="s">
        <v>30</v>
      </c>
      <c r="D197" t="s">
        <v>23</v>
      </c>
      <c r="E197" t="s">
        <v>99</v>
      </c>
      <c r="F197" s="1">
        <v>45784</v>
      </c>
      <c r="G197" t="s">
        <v>532</v>
      </c>
      <c r="H197" t="s">
        <v>4</v>
      </c>
      <c r="I197" t="s">
        <v>38</v>
      </c>
      <c r="J197" t="s">
        <v>16</v>
      </c>
      <c r="K197" t="s">
        <v>45</v>
      </c>
      <c r="L197" t="s">
        <v>233</v>
      </c>
      <c r="M197" t="s">
        <v>132</v>
      </c>
      <c r="N197" t="s">
        <v>516</v>
      </c>
      <c r="O197" t="s">
        <v>525</v>
      </c>
      <c r="P197" t="s">
        <v>29</v>
      </c>
    </row>
    <row r="198" spans="1:16" x14ac:dyDescent="0.3">
      <c r="A198">
        <v>197</v>
      </c>
      <c r="B198">
        <v>16</v>
      </c>
      <c r="C198" t="s">
        <v>12</v>
      </c>
      <c r="D198" t="s">
        <v>23</v>
      </c>
      <c r="E198" t="s">
        <v>63</v>
      </c>
      <c r="F198" s="1">
        <v>45905</v>
      </c>
      <c r="G198" t="s">
        <v>118</v>
      </c>
      <c r="H198" t="s">
        <v>4</v>
      </c>
      <c r="I198" t="s">
        <v>5</v>
      </c>
      <c r="J198" t="s">
        <v>4</v>
      </c>
      <c r="K198" t="s">
        <v>58</v>
      </c>
      <c r="L198" t="s">
        <v>354</v>
      </c>
      <c r="M198" t="s">
        <v>270</v>
      </c>
      <c r="N198" t="s">
        <v>456</v>
      </c>
      <c r="O198" t="s">
        <v>65</v>
      </c>
      <c r="P198" t="s">
        <v>73</v>
      </c>
    </row>
    <row r="199" spans="1:16" x14ac:dyDescent="0.3">
      <c r="A199">
        <v>198</v>
      </c>
      <c r="B199">
        <v>14</v>
      </c>
      <c r="C199" t="s">
        <v>12</v>
      </c>
      <c r="D199" t="s">
        <v>23</v>
      </c>
      <c r="E199" t="s">
        <v>13</v>
      </c>
      <c r="F199" s="1">
        <v>45753</v>
      </c>
      <c r="G199" t="s">
        <v>419</v>
      </c>
      <c r="H199" t="s">
        <v>4</v>
      </c>
      <c r="I199" t="s">
        <v>38</v>
      </c>
      <c r="J199" t="s">
        <v>4</v>
      </c>
      <c r="K199" t="s">
        <v>45</v>
      </c>
      <c r="L199" t="s">
        <v>435</v>
      </c>
      <c r="M199" t="s">
        <v>533</v>
      </c>
      <c r="N199" t="s">
        <v>321</v>
      </c>
      <c r="O199" t="s">
        <v>247</v>
      </c>
      <c r="P199" t="s">
        <v>29</v>
      </c>
    </row>
    <row r="200" spans="1:16" x14ac:dyDescent="0.3">
      <c r="A200">
        <v>199</v>
      </c>
      <c r="B200">
        <v>16</v>
      </c>
      <c r="C200" t="s">
        <v>12</v>
      </c>
      <c r="D200" t="s">
        <v>1</v>
      </c>
      <c r="E200" t="s">
        <v>63</v>
      </c>
      <c r="F200" s="1">
        <v>45903</v>
      </c>
      <c r="G200" t="s">
        <v>255</v>
      </c>
      <c r="H200" t="s">
        <v>4</v>
      </c>
      <c r="I200" t="s">
        <v>5</v>
      </c>
      <c r="J200" t="s">
        <v>4</v>
      </c>
      <c r="K200" t="s">
        <v>58</v>
      </c>
      <c r="L200" t="s">
        <v>356</v>
      </c>
      <c r="M200" t="s">
        <v>534</v>
      </c>
      <c r="N200" t="s">
        <v>267</v>
      </c>
      <c r="O200" t="s">
        <v>535</v>
      </c>
      <c r="P200" t="s">
        <v>22</v>
      </c>
    </row>
    <row r="201" spans="1:16" x14ac:dyDescent="0.3">
      <c r="A201">
        <v>200</v>
      </c>
      <c r="B201">
        <v>19</v>
      </c>
      <c r="C201" t="s">
        <v>12</v>
      </c>
      <c r="D201" t="s">
        <v>1</v>
      </c>
      <c r="E201" t="s">
        <v>13</v>
      </c>
      <c r="F201" t="s">
        <v>258</v>
      </c>
      <c r="G201" t="s">
        <v>536</v>
      </c>
      <c r="H201" t="s">
        <v>4</v>
      </c>
      <c r="I201" t="s">
        <v>33</v>
      </c>
      <c r="J201" t="s">
        <v>16</v>
      </c>
      <c r="K201" t="s">
        <v>45</v>
      </c>
      <c r="L201" t="s">
        <v>342</v>
      </c>
      <c r="M201" t="s">
        <v>433</v>
      </c>
      <c r="N201" t="s">
        <v>537</v>
      </c>
      <c r="O201" t="s">
        <v>277</v>
      </c>
      <c r="P201" t="s">
        <v>11</v>
      </c>
    </row>
    <row r="202" spans="1:16" x14ac:dyDescent="0.3">
      <c r="A202">
        <v>201</v>
      </c>
      <c r="B202">
        <v>16</v>
      </c>
      <c r="C202" t="s">
        <v>0</v>
      </c>
      <c r="D202" t="s">
        <v>1</v>
      </c>
      <c r="E202" t="s">
        <v>2</v>
      </c>
      <c r="F202" s="1">
        <v>45783</v>
      </c>
      <c r="G202" t="s">
        <v>233</v>
      </c>
      <c r="H202" t="s">
        <v>4</v>
      </c>
      <c r="I202" t="s">
        <v>15</v>
      </c>
      <c r="J202" t="s">
        <v>4</v>
      </c>
      <c r="K202" t="s">
        <v>107</v>
      </c>
      <c r="L202" t="s">
        <v>318</v>
      </c>
      <c r="M202" t="s">
        <v>363</v>
      </c>
      <c r="N202" t="s">
        <v>538</v>
      </c>
      <c r="O202" t="s">
        <v>539</v>
      </c>
      <c r="P202" t="s">
        <v>29</v>
      </c>
    </row>
    <row r="203" spans="1:16" x14ac:dyDescent="0.3">
      <c r="A203">
        <v>202</v>
      </c>
      <c r="B203">
        <v>19</v>
      </c>
      <c r="C203" t="s">
        <v>30</v>
      </c>
      <c r="D203" t="s">
        <v>23</v>
      </c>
      <c r="E203" t="s">
        <v>2</v>
      </c>
      <c r="F203" s="1">
        <v>45661</v>
      </c>
      <c r="G203" t="s">
        <v>540</v>
      </c>
      <c r="H203" t="s">
        <v>4</v>
      </c>
      <c r="I203" t="s">
        <v>33</v>
      </c>
      <c r="J203" t="s">
        <v>16</v>
      </c>
      <c r="K203" t="s">
        <v>58</v>
      </c>
      <c r="L203" t="s">
        <v>61</v>
      </c>
      <c r="M203" t="s">
        <v>541</v>
      </c>
      <c r="N203" t="s">
        <v>542</v>
      </c>
      <c r="O203" t="s">
        <v>437</v>
      </c>
      <c r="P203" t="s">
        <v>11</v>
      </c>
    </row>
    <row r="204" spans="1:16" x14ac:dyDescent="0.3">
      <c r="A204">
        <v>203</v>
      </c>
      <c r="B204">
        <v>16</v>
      </c>
      <c r="C204" t="s">
        <v>0</v>
      </c>
      <c r="D204" t="s">
        <v>1</v>
      </c>
      <c r="E204" t="s">
        <v>31</v>
      </c>
      <c r="F204" s="1">
        <v>45876</v>
      </c>
      <c r="G204" t="s">
        <v>451</v>
      </c>
      <c r="H204" t="s">
        <v>4</v>
      </c>
      <c r="I204" t="s">
        <v>33</v>
      </c>
      <c r="J204" t="s">
        <v>16</v>
      </c>
      <c r="K204" t="s">
        <v>58</v>
      </c>
      <c r="L204" t="s">
        <v>132</v>
      </c>
      <c r="M204" t="s">
        <v>144</v>
      </c>
      <c r="N204" t="s">
        <v>132</v>
      </c>
      <c r="O204" t="s">
        <v>132</v>
      </c>
      <c r="P204" t="s">
        <v>227</v>
      </c>
    </row>
    <row r="205" spans="1:16" x14ac:dyDescent="0.3">
      <c r="A205">
        <v>204</v>
      </c>
      <c r="B205">
        <v>18</v>
      </c>
      <c r="C205" t="s">
        <v>30</v>
      </c>
      <c r="D205" t="s">
        <v>1</v>
      </c>
      <c r="E205" t="s">
        <v>13</v>
      </c>
      <c r="F205" s="1">
        <v>45839</v>
      </c>
      <c r="G205" t="s">
        <v>543</v>
      </c>
      <c r="H205" t="s">
        <v>4</v>
      </c>
      <c r="I205" t="s">
        <v>15</v>
      </c>
      <c r="J205" t="s">
        <v>4</v>
      </c>
      <c r="K205" t="s">
        <v>6</v>
      </c>
      <c r="L205" t="s">
        <v>544</v>
      </c>
      <c r="M205" t="s">
        <v>153</v>
      </c>
      <c r="N205" t="s">
        <v>481</v>
      </c>
      <c r="O205" t="s">
        <v>545</v>
      </c>
      <c r="P205" t="s">
        <v>11</v>
      </c>
    </row>
    <row r="206" spans="1:16" x14ac:dyDescent="0.3">
      <c r="A206">
        <v>205</v>
      </c>
      <c r="B206">
        <v>16</v>
      </c>
      <c r="C206" t="s">
        <v>0</v>
      </c>
      <c r="D206" t="s">
        <v>1</v>
      </c>
      <c r="E206" t="s">
        <v>2</v>
      </c>
      <c r="F206" s="1">
        <v>45691</v>
      </c>
      <c r="G206" t="s">
        <v>254</v>
      </c>
      <c r="H206" t="s">
        <v>4</v>
      </c>
      <c r="I206" t="s">
        <v>5</v>
      </c>
      <c r="J206" t="s">
        <v>4</v>
      </c>
      <c r="K206" t="s">
        <v>58</v>
      </c>
      <c r="L206" t="s">
        <v>480</v>
      </c>
      <c r="M206" t="s">
        <v>49</v>
      </c>
      <c r="N206" t="s">
        <v>183</v>
      </c>
      <c r="O206" t="s">
        <v>261</v>
      </c>
      <c r="P206" t="s">
        <v>22</v>
      </c>
    </row>
    <row r="207" spans="1:16" x14ac:dyDescent="0.3">
      <c r="A207">
        <v>206</v>
      </c>
      <c r="B207">
        <v>15</v>
      </c>
      <c r="C207" t="s">
        <v>12</v>
      </c>
      <c r="D207" t="s">
        <v>23</v>
      </c>
      <c r="E207" t="s">
        <v>63</v>
      </c>
      <c r="F207" t="s">
        <v>202</v>
      </c>
      <c r="G207" t="s">
        <v>546</v>
      </c>
      <c r="H207" t="s">
        <v>4</v>
      </c>
      <c r="I207" t="s">
        <v>33</v>
      </c>
      <c r="J207" t="s">
        <v>16</v>
      </c>
      <c r="K207" t="s">
        <v>58</v>
      </c>
      <c r="L207" t="s">
        <v>171</v>
      </c>
      <c r="M207" t="s">
        <v>525</v>
      </c>
      <c r="N207" t="s">
        <v>459</v>
      </c>
      <c r="O207" t="s">
        <v>70</v>
      </c>
      <c r="P207" t="s">
        <v>73</v>
      </c>
    </row>
    <row r="208" spans="1:16" x14ac:dyDescent="0.3">
      <c r="A208">
        <v>207</v>
      </c>
      <c r="B208">
        <v>18</v>
      </c>
      <c r="C208" t="s">
        <v>12</v>
      </c>
      <c r="D208" t="s">
        <v>23</v>
      </c>
      <c r="E208" t="s">
        <v>63</v>
      </c>
      <c r="F208" s="1">
        <v>45873</v>
      </c>
      <c r="G208" t="s">
        <v>446</v>
      </c>
      <c r="H208" t="s">
        <v>4</v>
      </c>
      <c r="I208" t="s">
        <v>33</v>
      </c>
      <c r="J208" t="s">
        <v>16</v>
      </c>
      <c r="K208" t="s">
        <v>58</v>
      </c>
      <c r="L208" t="s">
        <v>278</v>
      </c>
      <c r="M208" t="s">
        <v>374</v>
      </c>
      <c r="N208" t="s">
        <v>527</v>
      </c>
      <c r="O208" t="s">
        <v>364</v>
      </c>
      <c r="P208" t="s">
        <v>73</v>
      </c>
    </row>
    <row r="209" spans="1:16" x14ac:dyDescent="0.3">
      <c r="A209">
        <v>208</v>
      </c>
      <c r="B209">
        <v>19</v>
      </c>
      <c r="C209" t="s">
        <v>12</v>
      </c>
      <c r="D209" t="s">
        <v>1</v>
      </c>
      <c r="E209" t="s">
        <v>13</v>
      </c>
      <c r="F209" s="1">
        <v>45841</v>
      </c>
      <c r="G209" t="s">
        <v>445</v>
      </c>
      <c r="H209" t="s">
        <v>4</v>
      </c>
      <c r="I209" t="s">
        <v>33</v>
      </c>
      <c r="J209" t="s">
        <v>4</v>
      </c>
      <c r="K209" t="s">
        <v>58</v>
      </c>
      <c r="L209" t="s">
        <v>547</v>
      </c>
      <c r="M209" t="s">
        <v>174</v>
      </c>
      <c r="N209" t="s">
        <v>95</v>
      </c>
      <c r="O209" t="s">
        <v>483</v>
      </c>
      <c r="P209" t="s">
        <v>22</v>
      </c>
    </row>
    <row r="210" spans="1:16" x14ac:dyDescent="0.3">
      <c r="A210">
        <v>209</v>
      </c>
      <c r="B210">
        <v>15</v>
      </c>
      <c r="C210" t="s">
        <v>12</v>
      </c>
      <c r="D210" t="s">
        <v>23</v>
      </c>
      <c r="E210" t="s">
        <v>13</v>
      </c>
      <c r="F210" s="1">
        <v>45874</v>
      </c>
      <c r="G210" t="s">
        <v>548</v>
      </c>
      <c r="H210" t="s">
        <v>4</v>
      </c>
      <c r="I210" t="s">
        <v>15</v>
      </c>
      <c r="J210" t="s">
        <v>4</v>
      </c>
      <c r="K210" t="s">
        <v>45</v>
      </c>
      <c r="L210" t="s">
        <v>549</v>
      </c>
      <c r="M210" t="s">
        <v>550</v>
      </c>
      <c r="N210" t="s">
        <v>348</v>
      </c>
      <c r="O210" t="s">
        <v>324</v>
      </c>
      <c r="P210" t="s">
        <v>22</v>
      </c>
    </row>
    <row r="211" spans="1:16" x14ac:dyDescent="0.3">
      <c r="A211">
        <v>210</v>
      </c>
      <c r="B211">
        <v>18</v>
      </c>
      <c r="C211" t="s">
        <v>30</v>
      </c>
      <c r="D211" t="s">
        <v>1</v>
      </c>
      <c r="E211" t="s">
        <v>31</v>
      </c>
      <c r="F211" t="s">
        <v>202</v>
      </c>
      <c r="G211" t="s">
        <v>533</v>
      </c>
      <c r="H211" t="s">
        <v>4</v>
      </c>
      <c r="I211" t="s">
        <v>15</v>
      </c>
      <c r="J211" t="s">
        <v>4</v>
      </c>
      <c r="K211" t="s">
        <v>6</v>
      </c>
      <c r="L211" t="s">
        <v>551</v>
      </c>
      <c r="M211" t="s">
        <v>239</v>
      </c>
      <c r="N211" t="s">
        <v>106</v>
      </c>
      <c r="O211" t="s">
        <v>146</v>
      </c>
      <c r="P211" t="s">
        <v>73</v>
      </c>
    </row>
    <row r="212" spans="1:16" x14ac:dyDescent="0.3">
      <c r="A212">
        <v>211</v>
      </c>
      <c r="B212">
        <v>15</v>
      </c>
      <c r="C212" t="s">
        <v>0</v>
      </c>
      <c r="D212" t="s">
        <v>1</v>
      </c>
      <c r="E212" t="s">
        <v>99</v>
      </c>
      <c r="F212" s="1">
        <v>45873</v>
      </c>
      <c r="G212" t="s">
        <v>142</v>
      </c>
      <c r="H212" t="s">
        <v>4</v>
      </c>
      <c r="I212" t="s">
        <v>5</v>
      </c>
      <c r="J212" t="s">
        <v>4</v>
      </c>
      <c r="K212" t="s">
        <v>6</v>
      </c>
      <c r="L212" t="s">
        <v>240</v>
      </c>
      <c r="M212" t="s">
        <v>158</v>
      </c>
      <c r="N212" t="s">
        <v>145</v>
      </c>
      <c r="O212" t="s">
        <v>234</v>
      </c>
      <c r="P212" t="s">
        <v>73</v>
      </c>
    </row>
    <row r="213" spans="1:16" x14ac:dyDescent="0.3">
      <c r="A213">
        <v>212</v>
      </c>
      <c r="B213">
        <v>18</v>
      </c>
      <c r="C213" t="s">
        <v>30</v>
      </c>
      <c r="D213" t="s">
        <v>23</v>
      </c>
      <c r="E213" t="s">
        <v>13</v>
      </c>
      <c r="F213" s="1">
        <v>45902</v>
      </c>
      <c r="G213" t="s">
        <v>552</v>
      </c>
      <c r="H213" t="s">
        <v>4</v>
      </c>
      <c r="I213" t="s">
        <v>15</v>
      </c>
      <c r="J213" t="s">
        <v>4</v>
      </c>
      <c r="K213" t="s">
        <v>39</v>
      </c>
      <c r="L213" t="s">
        <v>3</v>
      </c>
      <c r="M213" t="s">
        <v>553</v>
      </c>
      <c r="N213" t="s">
        <v>399</v>
      </c>
      <c r="O213" t="s">
        <v>24</v>
      </c>
      <c r="P213" t="s">
        <v>22</v>
      </c>
    </row>
    <row r="214" spans="1:16" x14ac:dyDescent="0.3">
      <c r="A214">
        <v>213</v>
      </c>
      <c r="B214">
        <v>18</v>
      </c>
      <c r="C214" t="s">
        <v>30</v>
      </c>
      <c r="D214" t="s">
        <v>1</v>
      </c>
      <c r="E214" t="s">
        <v>13</v>
      </c>
      <c r="F214" s="1">
        <v>45662</v>
      </c>
      <c r="G214" t="s">
        <v>8</v>
      </c>
      <c r="H214" t="s">
        <v>16</v>
      </c>
      <c r="I214" t="s">
        <v>5</v>
      </c>
      <c r="J214" t="s">
        <v>16</v>
      </c>
      <c r="K214" t="s">
        <v>6</v>
      </c>
      <c r="L214" t="s">
        <v>388</v>
      </c>
      <c r="M214" t="s">
        <v>503</v>
      </c>
      <c r="N214" t="s">
        <v>267</v>
      </c>
      <c r="O214" t="s">
        <v>304</v>
      </c>
      <c r="P214" t="s">
        <v>22</v>
      </c>
    </row>
    <row r="215" spans="1:16" x14ac:dyDescent="0.3">
      <c r="A215">
        <v>214</v>
      </c>
      <c r="B215">
        <v>16</v>
      </c>
      <c r="C215" t="s">
        <v>30</v>
      </c>
      <c r="D215" t="s">
        <v>1</v>
      </c>
      <c r="E215" t="s">
        <v>31</v>
      </c>
      <c r="F215" s="1">
        <v>45812</v>
      </c>
      <c r="G215" t="s">
        <v>554</v>
      </c>
      <c r="H215" t="s">
        <v>4</v>
      </c>
      <c r="I215" t="s">
        <v>5</v>
      </c>
      <c r="J215" t="s">
        <v>16</v>
      </c>
      <c r="K215" t="s">
        <v>17</v>
      </c>
      <c r="L215" t="s">
        <v>167</v>
      </c>
      <c r="M215" t="s">
        <v>555</v>
      </c>
      <c r="N215" t="s">
        <v>287</v>
      </c>
      <c r="O215" t="s">
        <v>550</v>
      </c>
      <c r="P215" t="s">
        <v>22</v>
      </c>
    </row>
    <row r="216" spans="1:16" x14ac:dyDescent="0.3">
      <c r="A216">
        <v>215</v>
      </c>
      <c r="B216">
        <v>18</v>
      </c>
      <c r="C216" t="s">
        <v>0</v>
      </c>
      <c r="D216" t="s">
        <v>23</v>
      </c>
      <c r="E216" t="s">
        <v>2</v>
      </c>
      <c r="F216" s="1">
        <v>45783</v>
      </c>
      <c r="G216" t="s">
        <v>556</v>
      </c>
      <c r="H216" t="s">
        <v>4</v>
      </c>
      <c r="I216" t="s">
        <v>38</v>
      </c>
      <c r="J216" t="s">
        <v>4</v>
      </c>
      <c r="K216" t="s">
        <v>58</v>
      </c>
      <c r="L216" t="s">
        <v>451</v>
      </c>
      <c r="M216" t="s">
        <v>557</v>
      </c>
      <c r="N216" t="s">
        <v>382</v>
      </c>
      <c r="O216" t="s">
        <v>558</v>
      </c>
      <c r="P216" t="s">
        <v>73</v>
      </c>
    </row>
    <row r="217" spans="1:16" x14ac:dyDescent="0.3">
      <c r="A217">
        <v>216</v>
      </c>
      <c r="B217">
        <v>15</v>
      </c>
      <c r="C217" t="s">
        <v>0</v>
      </c>
      <c r="D217" t="s">
        <v>1</v>
      </c>
      <c r="E217" t="s">
        <v>99</v>
      </c>
      <c r="F217" s="1">
        <v>45752</v>
      </c>
      <c r="G217" t="s">
        <v>559</v>
      </c>
      <c r="H217" t="s">
        <v>4</v>
      </c>
      <c r="I217" t="s">
        <v>33</v>
      </c>
      <c r="J217" t="s">
        <v>4</v>
      </c>
      <c r="K217" t="s">
        <v>58</v>
      </c>
      <c r="L217" t="s">
        <v>524</v>
      </c>
      <c r="M217" t="s">
        <v>560</v>
      </c>
      <c r="N217" t="s">
        <v>388</v>
      </c>
      <c r="O217" t="s">
        <v>553</v>
      </c>
      <c r="P217" t="s">
        <v>22</v>
      </c>
    </row>
    <row r="218" spans="1:16" x14ac:dyDescent="0.3">
      <c r="A218">
        <v>217</v>
      </c>
      <c r="B218">
        <v>14</v>
      </c>
      <c r="C218" t="s">
        <v>12</v>
      </c>
      <c r="D218" t="s">
        <v>23</v>
      </c>
      <c r="E218" t="s">
        <v>2</v>
      </c>
      <c r="F218" s="1">
        <v>45692</v>
      </c>
      <c r="G218" t="s">
        <v>511</v>
      </c>
      <c r="H218" t="s">
        <v>4</v>
      </c>
      <c r="I218" t="s">
        <v>5</v>
      </c>
      <c r="J218" t="s">
        <v>16</v>
      </c>
      <c r="K218" t="s">
        <v>6</v>
      </c>
      <c r="L218" t="s">
        <v>192</v>
      </c>
      <c r="M218" t="s">
        <v>561</v>
      </c>
      <c r="N218" t="s">
        <v>371</v>
      </c>
      <c r="O218" t="s">
        <v>562</v>
      </c>
      <c r="P218" t="s">
        <v>73</v>
      </c>
    </row>
    <row r="219" spans="1:16" x14ac:dyDescent="0.3">
      <c r="A219">
        <v>218</v>
      </c>
      <c r="B219">
        <v>14</v>
      </c>
      <c r="C219" t="s">
        <v>0</v>
      </c>
      <c r="D219" t="s">
        <v>1</v>
      </c>
      <c r="E219" t="s">
        <v>13</v>
      </c>
      <c r="F219" t="s">
        <v>185</v>
      </c>
      <c r="G219" t="s">
        <v>497</v>
      </c>
      <c r="H219" t="s">
        <v>4</v>
      </c>
      <c r="I219" t="s">
        <v>5</v>
      </c>
      <c r="J219" t="s">
        <v>16</v>
      </c>
      <c r="K219" t="s">
        <v>17</v>
      </c>
      <c r="L219" t="s">
        <v>292</v>
      </c>
      <c r="M219" t="s">
        <v>563</v>
      </c>
      <c r="N219" t="s">
        <v>406</v>
      </c>
      <c r="O219" t="s">
        <v>564</v>
      </c>
      <c r="P219" t="s">
        <v>11</v>
      </c>
    </row>
    <row r="220" spans="1:16" x14ac:dyDescent="0.3">
      <c r="A220">
        <v>219</v>
      </c>
      <c r="B220">
        <v>16</v>
      </c>
      <c r="C220" t="s">
        <v>30</v>
      </c>
      <c r="D220" t="s">
        <v>23</v>
      </c>
      <c r="E220" t="s">
        <v>13</v>
      </c>
      <c r="F220" s="1">
        <v>45870</v>
      </c>
      <c r="G220" t="s">
        <v>565</v>
      </c>
      <c r="H220" t="s">
        <v>16</v>
      </c>
      <c r="I220" t="s">
        <v>38</v>
      </c>
      <c r="J220" t="s">
        <v>16</v>
      </c>
      <c r="K220" t="s">
        <v>17</v>
      </c>
      <c r="L220" t="s">
        <v>566</v>
      </c>
      <c r="M220" t="s">
        <v>445</v>
      </c>
      <c r="N220" t="s">
        <v>472</v>
      </c>
      <c r="O220" t="s">
        <v>567</v>
      </c>
      <c r="P220" t="s">
        <v>11</v>
      </c>
    </row>
    <row r="221" spans="1:16" x14ac:dyDescent="0.3">
      <c r="A221">
        <v>220</v>
      </c>
      <c r="B221">
        <v>19</v>
      </c>
      <c r="C221" t="s">
        <v>30</v>
      </c>
      <c r="D221" t="s">
        <v>23</v>
      </c>
      <c r="E221" t="s">
        <v>31</v>
      </c>
      <c r="F221" t="s">
        <v>151</v>
      </c>
      <c r="G221" t="s">
        <v>424</v>
      </c>
      <c r="H221" t="s">
        <v>4</v>
      </c>
      <c r="I221" t="s">
        <v>33</v>
      </c>
      <c r="J221" t="s">
        <v>16</v>
      </c>
      <c r="K221" t="s">
        <v>17</v>
      </c>
      <c r="L221" t="s">
        <v>568</v>
      </c>
      <c r="M221" t="s">
        <v>569</v>
      </c>
      <c r="N221" t="s">
        <v>7</v>
      </c>
      <c r="O221" t="s">
        <v>287</v>
      </c>
      <c r="P221" t="s">
        <v>11</v>
      </c>
    </row>
    <row r="222" spans="1:16" x14ac:dyDescent="0.3">
      <c r="A222">
        <v>221</v>
      </c>
      <c r="B222">
        <v>14</v>
      </c>
      <c r="C222" t="s">
        <v>12</v>
      </c>
      <c r="D222" t="s">
        <v>23</v>
      </c>
      <c r="E222" t="s">
        <v>43</v>
      </c>
      <c r="F222" t="s">
        <v>93</v>
      </c>
      <c r="G222" t="s">
        <v>109</v>
      </c>
      <c r="H222" t="s">
        <v>4</v>
      </c>
      <c r="I222" t="s">
        <v>33</v>
      </c>
      <c r="J222" t="s">
        <v>16</v>
      </c>
      <c r="K222" t="s">
        <v>58</v>
      </c>
      <c r="L222" t="s">
        <v>559</v>
      </c>
      <c r="M222" t="s">
        <v>21</v>
      </c>
      <c r="N222" t="s">
        <v>566</v>
      </c>
      <c r="O222" t="s">
        <v>570</v>
      </c>
      <c r="P222" t="s">
        <v>22</v>
      </c>
    </row>
    <row r="223" spans="1:16" x14ac:dyDescent="0.3">
      <c r="A223">
        <v>222</v>
      </c>
      <c r="B223">
        <v>16</v>
      </c>
      <c r="C223" t="s">
        <v>30</v>
      </c>
      <c r="D223" t="s">
        <v>1</v>
      </c>
      <c r="E223" t="s">
        <v>13</v>
      </c>
      <c r="F223" s="1">
        <v>45753</v>
      </c>
      <c r="G223" t="s">
        <v>78</v>
      </c>
      <c r="H223" t="s">
        <v>4</v>
      </c>
      <c r="I223" t="s">
        <v>33</v>
      </c>
      <c r="J223" t="s">
        <v>4</v>
      </c>
      <c r="K223" t="s">
        <v>6</v>
      </c>
      <c r="L223" t="s">
        <v>132</v>
      </c>
      <c r="M223" t="s">
        <v>134</v>
      </c>
      <c r="N223" t="s">
        <v>571</v>
      </c>
      <c r="O223" t="s">
        <v>192</v>
      </c>
      <c r="P223" t="s">
        <v>73</v>
      </c>
    </row>
    <row r="224" spans="1:16" x14ac:dyDescent="0.3">
      <c r="A224">
        <v>223</v>
      </c>
      <c r="B224">
        <v>18</v>
      </c>
      <c r="C224" t="s">
        <v>0</v>
      </c>
      <c r="D224" t="s">
        <v>23</v>
      </c>
      <c r="E224" t="s">
        <v>31</v>
      </c>
      <c r="F224" s="1">
        <v>45845</v>
      </c>
      <c r="G224" t="s">
        <v>572</v>
      </c>
      <c r="H224" t="s">
        <v>4</v>
      </c>
      <c r="I224" t="s">
        <v>5</v>
      </c>
      <c r="J224" t="s">
        <v>16</v>
      </c>
      <c r="K224" t="s">
        <v>6</v>
      </c>
      <c r="L224" t="s">
        <v>282</v>
      </c>
      <c r="M224" t="s">
        <v>538</v>
      </c>
      <c r="N224" t="s">
        <v>132</v>
      </c>
      <c r="O224" t="s">
        <v>312</v>
      </c>
      <c r="P224" t="s">
        <v>227</v>
      </c>
    </row>
    <row r="225" spans="1:16" x14ac:dyDescent="0.3">
      <c r="A225">
        <v>224</v>
      </c>
      <c r="B225">
        <v>15</v>
      </c>
      <c r="C225" t="s">
        <v>30</v>
      </c>
      <c r="D225" t="s">
        <v>1</v>
      </c>
      <c r="E225" t="s">
        <v>43</v>
      </c>
      <c r="F225" t="s">
        <v>93</v>
      </c>
      <c r="G225" t="s">
        <v>318</v>
      </c>
      <c r="H225" t="s">
        <v>4</v>
      </c>
      <c r="I225" t="s">
        <v>15</v>
      </c>
      <c r="J225" t="s">
        <v>16</v>
      </c>
      <c r="K225" t="s">
        <v>45</v>
      </c>
      <c r="L225" t="s">
        <v>44</v>
      </c>
      <c r="M225" t="s">
        <v>480</v>
      </c>
      <c r="N225" t="s">
        <v>553</v>
      </c>
      <c r="O225" t="s">
        <v>338</v>
      </c>
      <c r="P225" t="s">
        <v>22</v>
      </c>
    </row>
    <row r="226" spans="1:16" x14ac:dyDescent="0.3">
      <c r="A226">
        <v>225</v>
      </c>
      <c r="B226">
        <v>18</v>
      </c>
      <c r="C226" t="s">
        <v>0</v>
      </c>
      <c r="D226" t="s">
        <v>23</v>
      </c>
      <c r="E226" t="s">
        <v>2</v>
      </c>
      <c r="F226" t="s">
        <v>202</v>
      </c>
      <c r="G226" t="s">
        <v>500</v>
      </c>
      <c r="H226" t="s">
        <v>4</v>
      </c>
      <c r="I226" t="s">
        <v>33</v>
      </c>
      <c r="J226" t="s">
        <v>4</v>
      </c>
      <c r="K226" t="s">
        <v>17</v>
      </c>
      <c r="L226" t="s">
        <v>573</v>
      </c>
      <c r="M226" t="s">
        <v>323</v>
      </c>
      <c r="N226" t="s">
        <v>233</v>
      </c>
      <c r="O226" t="s">
        <v>140</v>
      </c>
      <c r="P226" t="s">
        <v>73</v>
      </c>
    </row>
    <row r="227" spans="1:16" x14ac:dyDescent="0.3">
      <c r="A227">
        <v>226</v>
      </c>
      <c r="B227">
        <v>15</v>
      </c>
      <c r="C227" t="s">
        <v>30</v>
      </c>
      <c r="D227" t="s">
        <v>23</v>
      </c>
      <c r="E227" t="s">
        <v>63</v>
      </c>
      <c r="F227" s="1">
        <v>45693</v>
      </c>
      <c r="G227" t="s">
        <v>574</v>
      </c>
      <c r="H227" t="s">
        <v>4</v>
      </c>
      <c r="I227" t="s">
        <v>15</v>
      </c>
      <c r="J227" t="s">
        <v>4</v>
      </c>
      <c r="K227" t="s">
        <v>107</v>
      </c>
      <c r="L227" t="s">
        <v>525</v>
      </c>
      <c r="M227" t="s">
        <v>84</v>
      </c>
      <c r="N227" t="s">
        <v>47</v>
      </c>
      <c r="O227" t="s">
        <v>249</v>
      </c>
      <c r="P227" t="s">
        <v>29</v>
      </c>
    </row>
    <row r="228" spans="1:16" x14ac:dyDescent="0.3">
      <c r="A228">
        <v>227</v>
      </c>
      <c r="B228">
        <v>18</v>
      </c>
      <c r="C228" t="s">
        <v>12</v>
      </c>
      <c r="D228" t="s">
        <v>23</v>
      </c>
      <c r="E228" t="s">
        <v>99</v>
      </c>
      <c r="F228" s="1">
        <v>45841</v>
      </c>
      <c r="G228" t="s">
        <v>196</v>
      </c>
      <c r="H228" t="s">
        <v>4</v>
      </c>
      <c r="I228" t="s">
        <v>38</v>
      </c>
      <c r="J228" t="s">
        <v>16</v>
      </c>
      <c r="K228" t="s">
        <v>39</v>
      </c>
      <c r="L228" t="s">
        <v>337</v>
      </c>
      <c r="M228" t="s">
        <v>467</v>
      </c>
      <c r="N228" t="s">
        <v>445</v>
      </c>
      <c r="O228" t="s">
        <v>101</v>
      </c>
      <c r="P228" t="s">
        <v>22</v>
      </c>
    </row>
    <row r="229" spans="1:16" x14ac:dyDescent="0.3">
      <c r="A229">
        <v>228</v>
      </c>
      <c r="B229">
        <v>17</v>
      </c>
      <c r="C229" t="s">
        <v>12</v>
      </c>
      <c r="D229" t="s">
        <v>23</v>
      </c>
      <c r="E229" t="s">
        <v>99</v>
      </c>
      <c r="F229" s="1">
        <v>45662</v>
      </c>
      <c r="G229" t="s">
        <v>142</v>
      </c>
      <c r="H229" t="s">
        <v>16</v>
      </c>
      <c r="I229" t="s">
        <v>5</v>
      </c>
      <c r="J229" t="s">
        <v>16</v>
      </c>
      <c r="K229" t="s">
        <v>6</v>
      </c>
      <c r="L229" t="s">
        <v>575</v>
      </c>
      <c r="M229" t="s">
        <v>143</v>
      </c>
      <c r="N229" t="s">
        <v>165</v>
      </c>
      <c r="O229" t="s">
        <v>364</v>
      </c>
      <c r="P229" t="s">
        <v>73</v>
      </c>
    </row>
    <row r="230" spans="1:16" x14ac:dyDescent="0.3">
      <c r="A230">
        <v>229</v>
      </c>
      <c r="B230">
        <v>17</v>
      </c>
      <c r="C230" t="s">
        <v>0</v>
      </c>
      <c r="D230" t="s">
        <v>23</v>
      </c>
      <c r="E230" t="s">
        <v>43</v>
      </c>
      <c r="F230" s="1">
        <v>45780</v>
      </c>
      <c r="G230" t="s">
        <v>576</v>
      </c>
      <c r="H230" t="s">
        <v>16</v>
      </c>
      <c r="I230" t="s">
        <v>33</v>
      </c>
      <c r="J230" t="s">
        <v>16</v>
      </c>
      <c r="K230" t="s">
        <v>17</v>
      </c>
      <c r="L230" t="s">
        <v>459</v>
      </c>
      <c r="M230" t="s">
        <v>399</v>
      </c>
      <c r="N230" t="s">
        <v>95</v>
      </c>
      <c r="O230" t="s">
        <v>408</v>
      </c>
      <c r="P230" t="s">
        <v>11</v>
      </c>
    </row>
    <row r="231" spans="1:16" x14ac:dyDescent="0.3">
      <c r="A231">
        <v>230</v>
      </c>
      <c r="B231">
        <v>15</v>
      </c>
      <c r="C231" t="s">
        <v>12</v>
      </c>
      <c r="D231" t="s">
        <v>1</v>
      </c>
      <c r="E231" t="s">
        <v>2</v>
      </c>
      <c r="F231" s="1">
        <v>45903</v>
      </c>
      <c r="G231" t="s">
        <v>332</v>
      </c>
      <c r="H231" t="s">
        <v>4</v>
      </c>
      <c r="I231" t="s">
        <v>15</v>
      </c>
      <c r="J231" t="s">
        <v>4</v>
      </c>
      <c r="K231" t="s">
        <v>58</v>
      </c>
      <c r="L231" t="s">
        <v>577</v>
      </c>
      <c r="M231" t="s">
        <v>392</v>
      </c>
      <c r="N231" t="s">
        <v>577</v>
      </c>
      <c r="O231" t="s">
        <v>578</v>
      </c>
      <c r="P231" t="s">
        <v>11</v>
      </c>
    </row>
    <row r="232" spans="1:16" x14ac:dyDescent="0.3">
      <c r="A232">
        <v>231</v>
      </c>
      <c r="B232">
        <v>16</v>
      </c>
      <c r="C232" t="s">
        <v>30</v>
      </c>
      <c r="D232" t="s">
        <v>23</v>
      </c>
      <c r="E232" t="s">
        <v>63</v>
      </c>
      <c r="F232" s="1">
        <v>45723</v>
      </c>
      <c r="G232" t="s">
        <v>350</v>
      </c>
      <c r="H232" t="s">
        <v>4</v>
      </c>
      <c r="I232" t="s">
        <v>5</v>
      </c>
      <c r="J232" t="s">
        <v>16</v>
      </c>
      <c r="K232" t="s">
        <v>58</v>
      </c>
      <c r="L232" t="s">
        <v>434</v>
      </c>
      <c r="M232" t="s">
        <v>132</v>
      </c>
      <c r="N232" t="s">
        <v>75</v>
      </c>
      <c r="O232" t="s">
        <v>579</v>
      </c>
      <c r="P232" t="s">
        <v>227</v>
      </c>
    </row>
    <row r="233" spans="1:16" x14ac:dyDescent="0.3">
      <c r="A233">
        <v>232</v>
      </c>
      <c r="B233">
        <v>19</v>
      </c>
      <c r="C233" t="s">
        <v>30</v>
      </c>
      <c r="D233" t="s">
        <v>23</v>
      </c>
      <c r="E233" t="s">
        <v>2</v>
      </c>
      <c r="F233" s="1">
        <v>45842</v>
      </c>
      <c r="G233" t="s">
        <v>515</v>
      </c>
      <c r="H233" t="s">
        <v>4</v>
      </c>
      <c r="I233" t="s">
        <v>5</v>
      </c>
      <c r="J233" t="s">
        <v>16</v>
      </c>
      <c r="K233" t="s">
        <v>39</v>
      </c>
      <c r="L233" t="s">
        <v>271</v>
      </c>
      <c r="M233" t="s">
        <v>430</v>
      </c>
      <c r="N233" t="s">
        <v>532</v>
      </c>
      <c r="O233" t="s">
        <v>238</v>
      </c>
      <c r="P233" t="s">
        <v>73</v>
      </c>
    </row>
    <row r="234" spans="1:16" x14ac:dyDescent="0.3">
      <c r="A234">
        <v>233</v>
      </c>
      <c r="B234">
        <v>14</v>
      </c>
      <c r="C234" t="s">
        <v>12</v>
      </c>
      <c r="D234" t="s">
        <v>1</v>
      </c>
      <c r="E234" t="s">
        <v>43</v>
      </c>
      <c r="F234" s="1">
        <v>45717</v>
      </c>
      <c r="G234" t="s">
        <v>245</v>
      </c>
      <c r="H234" t="s">
        <v>4</v>
      </c>
      <c r="I234" t="s">
        <v>38</v>
      </c>
      <c r="J234" t="s">
        <v>4</v>
      </c>
      <c r="K234" t="s">
        <v>17</v>
      </c>
      <c r="L234" t="s">
        <v>179</v>
      </c>
      <c r="M234" t="s">
        <v>265</v>
      </c>
      <c r="N234" t="s">
        <v>580</v>
      </c>
      <c r="O234" t="s">
        <v>581</v>
      </c>
      <c r="P234" t="s">
        <v>42</v>
      </c>
    </row>
    <row r="235" spans="1:16" x14ac:dyDescent="0.3">
      <c r="A235">
        <v>234</v>
      </c>
      <c r="B235">
        <v>18</v>
      </c>
      <c r="C235" t="s">
        <v>0</v>
      </c>
      <c r="D235" t="s">
        <v>1</v>
      </c>
      <c r="E235" t="s">
        <v>63</v>
      </c>
      <c r="F235" s="1">
        <v>45751</v>
      </c>
      <c r="G235" t="s">
        <v>351</v>
      </c>
      <c r="H235" t="s">
        <v>4</v>
      </c>
      <c r="I235" t="s">
        <v>33</v>
      </c>
      <c r="J235" t="s">
        <v>16</v>
      </c>
      <c r="K235" t="s">
        <v>17</v>
      </c>
      <c r="L235" t="s">
        <v>460</v>
      </c>
      <c r="M235" t="s">
        <v>487</v>
      </c>
      <c r="N235" t="s">
        <v>355</v>
      </c>
      <c r="O235" t="s">
        <v>445</v>
      </c>
      <c r="P235" t="s">
        <v>11</v>
      </c>
    </row>
    <row r="236" spans="1:16" x14ac:dyDescent="0.3">
      <c r="A236">
        <v>235</v>
      </c>
      <c r="B236">
        <v>16</v>
      </c>
      <c r="C236" t="s">
        <v>12</v>
      </c>
      <c r="D236" t="s">
        <v>23</v>
      </c>
      <c r="E236" t="s">
        <v>13</v>
      </c>
      <c r="F236" s="1">
        <v>45815</v>
      </c>
      <c r="G236" t="s">
        <v>582</v>
      </c>
      <c r="H236" t="s">
        <v>4</v>
      </c>
      <c r="I236" t="s">
        <v>38</v>
      </c>
      <c r="J236" t="s">
        <v>4</v>
      </c>
      <c r="K236" t="s">
        <v>58</v>
      </c>
      <c r="L236" t="s">
        <v>68</v>
      </c>
      <c r="M236" t="s">
        <v>141</v>
      </c>
      <c r="N236" t="s">
        <v>161</v>
      </c>
      <c r="O236" t="s">
        <v>583</v>
      </c>
      <c r="P236" t="s">
        <v>227</v>
      </c>
    </row>
    <row r="237" spans="1:16" x14ac:dyDescent="0.3">
      <c r="A237">
        <v>236</v>
      </c>
      <c r="B237">
        <v>18</v>
      </c>
      <c r="C237" t="s">
        <v>30</v>
      </c>
      <c r="D237" t="s">
        <v>23</v>
      </c>
      <c r="E237" t="s">
        <v>63</v>
      </c>
      <c r="F237" s="1">
        <v>45717</v>
      </c>
      <c r="G237" t="s">
        <v>195</v>
      </c>
      <c r="H237" t="s">
        <v>4</v>
      </c>
      <c r="I237" t="s">
        <v>15</v>
      </c>
      <c r="J237" t="s">
        <v>16</v>
      </c>
      <c r="K237" t="s">
        <v>58</v>
      </c>
      <c r="L237" t="s">
        <v>584</v>
      </c>
      <c r="M237" t="s">
        <v>585</v>
      </c>
      <c r="N237" t="s">
        <v>443</v>
      </c>
      <c r="O237" t="s">
        <v>586</v>
      </c>
      <c r="P237" t="s">
        <v>42</v>
      </c>
    </row>
    <row r="238" spans="1:16" x14ac:dyDescent="0.3">
      <c r="A238">
        <v>237</v>
      </c>
      <c r="B238">
        <v>17</v>
      </c>
      <c r="C238" t="s">
        <v>0</v>
      </c>
      <c r="D238" t="s">
        <v>23</v>
      </c>
      <c r="E238" t="s">
        <v>13</v>
      </c>
      <c r="F238" s="1">
        <v>45876</v>
      </c>
      <c r="G238" t="s">
        <v>329</v>
      </c>
      <c r="H238" t="s">
        <v>16</v>
      </c>
      <c r="I238" t="s">
        <v>38</v>
      </c>
      <c r="J238" t="s">
        <v>16</v>
      </c>
      <c r="K238" t="s">
        <v>6</v>
      </c>
      <c r="L238" t="s">
        <v>132</v>
      </c>
      <c r="M238" t="s">
        <v>583</v>
      </c>
      <c r="N238" t="s">
        <v>587</v>
      </c>
      <c r="O238" t="s">
        <v>365</v>
      </c>
      <c r="P238" t="s">
        <v>29</v>
      </c>
    </row>
    <row r="239" spans="1:16" x14ac:dyDescent="0.3">
      <c r="A239">
        <v>238</v>
      </c>
      <c r="B239">
        <v>16</v>
      </c>
      <c r="C239" t="s">
        <v>30</v>
      </c>
      <c r="D239" t="s">
        <v>1</v>
      </c>
      <c r="E239" t="s">
        <v>43</v>
      </c>
      <c r="F239" s="1">
        <v>45907</v>
      </c>
      <c r="G239" t="s">
        <v>122</v>
      </c>
      <c r="H239" t="s">
        <v>4</v>
      </c>
      <c r="I239" t="s">
        <v>33</v>
      </c>
      <c r="J239" t="s">
        <v>16</v>
      </c>
      <c r="K239" t="s">
        <v>45</v>
      </c>
      <c r="L239" t="s">
        <v>447</v>
      </c>
      <c r="M239" t="s">
        <v>132</v>
      </c>
      <c r="N239" t="s">
        <v>282</v>
      </c>
      <c r="O239" t="s">
        <v>132</v>
      </c>
      <c r="P239" t="s">
        <v>227</v>
      </c>
    </row>
    <row r="240" spans="1:16" x14ac:dyDescent="0.3">
      <c r="A240">
        <v>239</v>
      </c>
      <c r="B240">
        <v>15</v>
      </c>
      <c r="C240" t="s">
        <v>30</v>
      </c>
      <c r="D240" t="s">
        <v>1</v>
      </c>
      <c r="E240" t="s">
        <v>43</v>
      </c>
      <c r="F240" s="1">
        <v>45842</v>
      </c>
      <c r="G240" t="s">
        <v>267</v>
      </c>
      <c r="H240" t="s">
        <v>4</v>
      </c>
      <c r="I240" t="s">
        <v>15</v>
      </c>
      <c r="J240" t="s">
        <v>16</v>
      </c>
      <c r="K240" t="s">
        <v>45</v>
      </c>
      <c r="L240" t="s">
        <v>588</v>
      </c>
      <c r="M240" t="s">
        <v>183</v>
      </c>
      <c r="N240" t="s">
        <v>115</v>
      </c>
      <c r="O240" t="s">
        <v>589</v>
      </c>
      <c r="P240" t="s">
        <v>22</v>
      </c>
    </row>
    <row r="241" spans="1:16" x14ac:dyDescent="0.3">
      <c r="A241">
        <v>240</v>
      </c>
      <c r="B241">
        <v>17</v>
      </c>
      <c r="C241" t="s">
        <v>30</v>
      </c>
      <c r="D241" t="s">
        <v>1</v>
      </c>
      <c r="E241" t="s">
        <v>13</v>
      </c>
      <c r="F241" t="s">
        <v>151</v>
      </c>
      <c r="G241" t="s">
        <v>576</v>
      </c>
      <c r="H241" t="s">
        <v>4</v>
      </c>
      <c r="I241" t="s">
        <v>5</v>
      </c>
      <c r="J241" t="s">
        <v>4</v>
      </c>
      <c r="K241" t="s">
        <v>39</v>
      </c>
      <c r="L241" t="s">
        <v>563</v>
      </c>
      <c r="M241" t="s">
        <v>40</v>
      </c>
      <c r="N241" t="s">
        <v>590</v>
      </c>
      <c r="O241" t="s">
        <v>52</v>
      </c>
      <c r="P241" t="s">
        <v>42</v>
      </c>
    </row>
    <row r="242" spans="1:16" x14ac:dyDescent="0.3">
      <c r="A242">
        <v>241</v>
      </c>
      <c r="B242">
        <v>14</v>
      </c>
      <c r="C242" t="s">
        <v>12</v>
      </c>
      <c r="D242" t="s">
        <v>1</v>
      </c>
      <c r="E242" t="s">
        <v>63</v>
      </c>
      <c r="F242" t="s">
        <v>185</v>
      </c>
      <c r="G242" t="s">
        <v>591</v>
      </c>
      <c r="H242" t="s">
        <v>4</v>
      </c>
      <c r="I242" t="s">
        <v>15</v>
      </c>
      <c r="J242" t="s">
        <v>16</v>
      </c>
      <c r="K242" t="s">
        <v>107</v>
      </c>
      <c r="L242" t="s">
        <v>513</v>
      </c>
      <c r="M242" s="1">
        <v>45766</v>
      </c>
      <c r="N242" s="1">
        <v>45685</v>
      </c>
      <c r="O242" t="s">
        <v>592</v>
      </c>
      <c r="P242" t="s">
        <v>42</v>
      </c>
    </row>
    <row r="243" spans="1:16" x14ac:dyDescent="0.3">
      <c r="A243">
        <v>242</v>
      </c>
      <c r="B243">
        <v>17</v>
      </c>
      <c r="C243" t="s">
        <v>0</v>
      </c>
      <c r="D243" t="s">
        <v>1</v>
      </c>
      <c r="E243" t="s">
        <v>13</v>
      </c>
      <c r="F243" t="s">
        <v>185</v>
      </c>
      <c r="G243" t="s">
        <v>213</v>
      </c>
      <c r="H243" t="s">
        <v>4</v>
      </c>
      <c r="I243" t="s">
        <v>5</v>
      </c>
      <c r="J243" t="s">
        <v>4</v>
      </c>
      <c r="K243" t="s">
        <v>58</v>
      </c>
      <c r="L243" s="1">
        <v>45761</v>
      </c>
      <c r="M243" t="s">
        <v>126</v>
      </c>
      <c r="N243" s="1">
        <v>45804</v>
      </c>
      <c r="O243" s="1">
        <v>45836</v>
      </c>
      <c r="P243" t="s">
        <v>42</v>
      </c>
    </row>
    <row r="244" spans="1:16" x14ac:dyDescent="0.3">
      <c r="A244">
        <v>243</v>
      </c>
      <c r="B244">
        <v>14</v>
      </c>
      <c r="C244" t="s">
        <v>0</v>
      </c>
      <c r="D244" t="s">
        <v>1</v>
      </c>
      <c r="E244" t="s">
        <v>63</v>
      </c>
      <c r="F244" s="1">
        <v>45750</v>
      </c>
      <c r="G244" t="s">
        <v>254</v>
      </c>
      <c r="H244" t="s">
        <v>16</v>
      </c>
      <c r="I244" t="s">
        <v>5</v>
      </c>
      <c r="J244" t="s">
        <v>16</v>
      </c>
      <c r="K244" t="s">
        <v>107</v>
      </c>
      <c r="L244" t="s">
        <v>225</v>
      </c>
      <c r="M244" t="s">
        <v>257</v>
      </c>
      <c r="N244" t="s">
        <v>395</v>
      </c>
      <c r="O244" t="s">
        <v>404</v>
      </c>
      <c r="P244" t="s">
        <v>22</v>
      </c>
    </row>
    <row r="245" spans="1:16" x14ac:dyDescent="0.3">
      <c r="A245">
        <v>244</v>
      </c>
      <c r="B245">
        <v>17</v>
      </c>
      <c r="C245" t="s">
        <v>30</v>
      </c>
      <c r="D245" t="s">
        <v>23</v>
      </c>
      <c r="E245" t="s">
        <v>43</v>
      </c>
      <c r="F245" s="1">
        <v>45753</v>
      </c>
      <c r="G245" t="s">
        <v>241</v>
      </c>
      <c r="H245" t="s">
        <v>4</v>
      </c>
      <c r="I245" t="s">
        <v>33</v>
      </c>
      <c r="J245" t="s">
        <v>16</v>
      </c>
      <c r="K245" t="s">
        <v>6</v>
      </c>
      <c r="L245" t="s">
        <v>428</v>
      </c>
      <c r="M245" t="s">
        <v>163</v>
      </c>
      <c r="N245" t="s">
        <v>350</v>
      </c>
      <c r="O245" t="s">
        <v>468</v>
      </c>
      <c r="P245" t="s">
        <v>73</v>
      </c>
    </row>
    <row r="246" spans="1:16" x14ac:dyDescent="0.3">
      <c r="A246">
        <v>245</v>
      </c>
      <c r="B246">
        <v>17</v>
      </c>
      <c r="C246" t="s">
        <v>12</v>
      </c>
      <c r="D246" t="s">
        <v>1</v>
      </c>
      <c r="E246" t="s">
        <v>2</v>
      </c>
      <c r="F246" s="1">
        <v>45815</v>
      </c>
      <c r="G246" t="s">
        <v>273</v>
      </c>
      <c r="H246" t="s">
        <v>16</v>
      </c>
      <c r="I246" t="s">
        <v>5</v>
      </c>
      <c r="J246" t="s">
        <v>4</v>
      </c>
      <c r="K246" t="s">
        <v>58</v>
      </c>
      <c r="L246" t="s">
        <v>72</v>
      </c>
      <c r="M246" t="s">
        <v>243</v>
      </c>
      <c r="N246" t="s">
        <v>132</v>
      </c>
      <c r="O246" t="s">
        <v>243</v>
      </c>
      <c r="P246" t="s">
        <v>227</v>
      </c>
    </row>
    <row r="247" spans="1:16" x14ac:dyDescent="0.3">
      <c r="A247">
        <v>246</v>
      </c>
      <c r="B247">
        <v>14</v>
      </c>
      <c r="C247" t="s">
        <v>0</v>
      </c>
      <c r="D247" t="s">
        <v>1</v>
      </c>
      <c r="E247" t="s">
        <v>43</v>
      </c>
      <c r="F247" s="1">
        <v>45839</v>
      </c>
      <c r="G247" t="s">
        <v>191</v>
      </c>
      <c r="H247" t="s">
        <v>4</v>
      </c>
      <c r="I247" t="s">
        <v>15</v>
      </c>
      <c r="J247" t="s">
        <v>4</v>
      </c>
      <c r="K247" t="s">
        <v>45</v>
      </c>
      <c r="L247" s="1">
        <v>45686</v>
      </c>
      <c r="M247" t="s">
        <v>372</v>
      </c>
      <c r="N247" t="s">
        <v>293</v>
      </c>
      <c r="O247" t="s">
        <v>541</v>
      </c>
      <c r="P247" t="s">
        <v>11</v>
      </c>
    </row>
    <row r="248" spans="1:16" x14ac:dyDescent="0.3">
      <c r="A248">
        <v>247</v>
      </c>
      <c r="B248">
        <v>18</v>
      </c>
      <c r="C248" t="s">
        <v>30</v>
      </c>
      <c r="D248" t="s">
        <v>1</v>
      </c>
      <c r="E248" t="s">
        <v>2</v>
      </c>
      <c r="F248" s="1">
        <v>45692</v>
      </c>
      <c r="G248" t="s">
        <v>593</v>
      </c>
      <c r="H248" t="s">
        <v>4</v>
      </c>
      <c r="I248" t="s">
        <v>38</v>
      </c>
      <c r="J248" t="s">
        <v>16</v>
      </c>
      <c r="K248" t="s">
        <v>6</v>
      </c>
      <c r="L248" t="s">
        <v>267</v>
      </c>
      <c r="M248" t="s">
        <v>65</v>
      </c>
      <c r="N248" t="s">
        <v>594</v>
      </c>
      <c r="O248" t="s">
        <v>338</v>
      </c>
      <c r="P248" t="s">
        <v>22</v>
      </c>
    </row>
    <row r="249" spans="1:16" x14ac:dyDescent="0.3">
      <c r="A249">
        <v>248</v>
      </c>
      <c r="B249">
        <v>16</v>
      </c>
      <c r="C249" t="s">
        <v>0</v>
      </c>
      <c r="D249" t="s">
        <v>23</v>
      </c>
      <c r="E249" t="s">
        <v>43</v>
      </c>
      <c r="F249" s="1">
        <v>45720</v>
      </c>
      <c r="G249" t="s">
        <v>289</v>
      </c>
      <c r="H249" t="s">
        <v>4</v>
      </c>
      <c r="I249" t="s">
        <v>5</v>
      </c>
      <c r="J249" t="s">
        <v>16</v>
      </c>
      <c r="K249" t="s">
        <v>107</v>
      </c>
      <c r="L249" t="s">
        <v>595</v>
      </c>
      <c r="M249" t="s">
        <v>98</v>
      </c>
      <c r="N249" t="s">
        <v>177</v>
      </c>
      <c r="O249" t="s">
        <v>91</v>
      </c>
      <c r="P249" t="s">
        <v>73</v>
      </c>
    </row>
    <row r="250" spans="1:16" x14ac:dyDescent="0.3">
      <c r="A250">
        <v>249</v>
      </c>
      <c r="B250">
        <v>18</v>
      </c>
      <c r="C250" t="s">
        <v>30</v>
      </c>
      <c r="D250" t="s">
        <v>23</v>
      </c>
      <c r="E250" t="s">
        <v>99</v>
      </c>
      <c r="F250" s="1">
        <v>45750</v>
      </c>
      <c r="G250" t="s">
        <v>268</v>
      </c>
      <c r="H250" t="s">
        <v>4</v>
      </c>
      <c r="I250" t="s">
        <v>38</v>
      </c>
      <c r="J250" t="s">
        <v>16</v>
      </c>
      <c r="K250" t="s">
        <v>45</v>
      </c>
      <c r="L250" t="s">
        <v>53</v>
      </c>
      <c r="M250" t="s">
        <v>596</v>
      </c>
      <c r="N250" t="s">
        <v>584</v>
      </c>
      <c r="O250" t="s">
        <v>315</v>
      </c>
      <c r="P250" t="s">
        <v>11</v>
      </c>
    </row>
    <row r="251" spans="1:16" x14ac:dyDescent="0.3">
      <c r="A251">
        <v>250</v>
      </c>
      <c r="B251">
        <v>14</v>
      </c>
      <c r="C251" t="s">
        <v>12</v>
      </c>
      <c r="D251" t="s">
        <v>1</v>
      </c>
      <c r="E251" t="s">
        <v>31</v>
      </c>
      <c r="F251" s="1">
        <v>45781</v>
      </c>
      <c r="G251" t="s">
        <v>597</v>
      </c>
      <c r="H251" t="s">
        <v>4</v>
      </c>
      <c r="I251" t="s">
        <v>5</v>
      </c>
      <c r="J251" t="s">
        <v>16</v>
      </c>
      <c r="K251" t="s">
        <v>6</v>
      </c>
      <c r="L251" t="s">
        <v>598</v>
      </c>
      <c r="M251" t="s">
        <v>155</v>
      </c>
      <c r="N251" t="s">
        <v>59</v>
      </c>
      <c r="O251" t="s">
        <v>115</v>
      </c>
      <c r="P251" t="s">
        <v>22</v>
      </c>
    </row>
    <row r="252" spans="1:16" x14ac:dyDescent="0.3">
      <c r="A252">
        <v>251</v>
      </c>
      <c r="B252">
        <v>15</v>
      </c>
      <c r="C252" t="s">
        <v>12</v>
      </c>
      <c r="D252" t="s">
        <v>23</v>
      </c>
      <c r="E252" t="s">
        <v>99</v>
      </c>
      <c r="F252" s="1">
        <v>45754</v>
      </c>
      <c r="G252" t="s">
        <v>59</v>
      </c>
      <c r="H252" t="s">
        <v>4</v>
      </c>
      <c r="I252" t="s">
        <v>38</v>
      </c>
      <c r="J252" t="s">
        <v>16</v>
      </c>
      <c r="K252" t="s">
        <v>107</v>
      </c>
      <c r="L252" t="s">
        <v>345</v>
      </c>
      <c r="M252" t="s">
        <v>599</v>
      </c>
      <c r="N252" t="s">
        <v>600</v>
      </c>
      <c r="O252" t="s">
        <v>317</v>
      </c>
      <c r="P252" t="s">
        <v>29</v>
      </c>
    </row>
    <row r="253" spans="1:16" x14ac:dyDescent="0.3">
      <c r="A253">
        <v>252</v>
      </c>
      <c r="B253">
        <v>16</v>
      </c>
      <c r="C253" t="s">
        <v>0</v>
      </c>
      <c r="D253" t="s">
        <v>23</v>
      </c>
      <c r="E253" t="s">
        <v>43</v>
      </c>
      <c r="F253" s="1">
        <v>45872</v>
      </c>
      <c r="G253" t="s">
        <v>103</v>
      </c>
      <c r="H253" t="s">
        <v>4</v>
      </c>
      <c r="I253" t="s">
        <v>15</v>
      </c>
      <c r="J253" t="s">
        <v>4</v>
      </c>
      <c r="K253" t="s">
        <v>39</v>
      </c>
      <c r="L253" t="s">
        <v>576</v>
      </c>
      <c r="M253" t="s">
        <v>264</v>
      </c>
      <c r="N253" t="s">
        <v>127</v>
      </c>
      <c r="O253" t="s">
        <v>381</v>
      </c>
      <c r="P253" t="s">
        <v>11</v>
      </c>
    </row>
    <row r="254" spans="1:16" x14ac:dyDescent="0.3">
      <c r="A254">
        <v>253</v>
      </c>
      <c r="B254">
        <v>15</v>
      </c>
      <c r="C254" t="s">
        <v>0</v>
      </c>
      <c r="D254" t="s">
        <v>1</v>
      </c>
      <c r="E254" t="s">
        <v>63</v>
      </c>
      <c r="F254" s="1">
        <v>45778</v>
      </c>
      <c r="G254" t="s">
        <v>356</v>
      </c>
      <c r="H254" t="s">
        <v>4</v>
      </c>
      <c r="I254" t="s">
        <v>5</v>
      </c>
      <c r="J254" t="s">
        <v>4</v>
      </c>
      <c r="K254" t="s">
        <v>6</v>
      </c>
      <c r="L254" t="s">
        <v>601</v>
      </c>
      <c r="M254" t="s">
        <v>602</v>
      </c>
      <c r="N254" t="s">
        <v>603</v>
      </c>
      <c r="O254" t="s">
        <v>518</v>
      </c>
      <c r="P254" t="s">
        <v>42</v>
      </c>
    </row>
    <row r="255" spans="1:16" x14ac:dyDescent="0.3">
      <c r="A255">
        <v>254</v>
      </c>
      <c r="B255">
        <v>15</v>
      </c>
      <c r="C255" t="s">
        <v>30</v>
      </c>
      <c r="D255" t="s">
        <v>23</v>
      </c>
      <c r="E255" t="s">
        <v>63</v>
      </c>
      <c r="F255" s="1">
        <v>45782</v>
      </c>
      <c r="G255" t="s">
        <v>66</v>
      </c>
      <c r="H255" t="s">
        <v>16</v>
      </c>
      <c r="I255" t="s">
        <v>33</v>
      </c>
      <c r="J255" t="s">
        <v>4</v>
      </c>
      <c r="K255" t="s">
        <v>6</v>
      </c>
      <c r="L255" t="s">
        <v>382</v>
      </c>
      <c r="M255" t="s">
        <v>468</v>
      </c>
      <c r="N255" t="s">
        <v>570</v>
      </c>
      <c r="O255" t="s">
        <v>308</v>
      </c>
      <c r="P255" t="s">
        <v>22</v>
      </c>
    </row>
    <row r="256" spans="1:16" x14ac:dyDescent="0.3">
      <c r="A256">
        <v>255</v>
      </c>
      <c r="B256">
        <v>17</v>
      </c>
      <c r="C256" t="s">
        <v>12</v>
      </c>
      <c r="D256" t="s">
        <v>23</v>
      </c>
      <c r="E256" t="s">
        <v>43</v>
      </c>
      <c r="F256" t="s">
        <v>299</v>
      </c>
      <c r="G256" t="s">
        <v>222</v>
      </c>
      <c r="H256" t="s">
        <v>4</v>
      </c>
      <c r="I256" t="s">
        <v>38</v>
      </c>
      <c r="J256" t="s">
        <v>16</v>
      </c>
      <c r="K256" t="s">
        <v>17</v>
      </c>
      <c r="L256" t="s">
        <v>343</v>
      </c>
      <c r="M256" t="s">
        <v>465</v>
      </c>
      <c r="N256" s="1">
        <v>45895</v>
      </c>
      <c r="O256" t="s">
        <v>496</v>
      </c>
      <c r="P256" t="s">
        <v>42</v>
      </c>
    </row>
    <row r="257" spans="1:16" x14ac:dyDescent="0.3">
      <c r="A257">
        <v>256</v>
      </c>
      <c r="B257">
        <v>14</v>
      </c>
      <c r="C257" t="s">
        <v>30</v>
      </c>
      <c r="D257" t="s">
        <v>1</v>
      </c>
      <c r="E257" t="s">
        <v>63</v>
      </c>
      <c r="F257" s="1">
        <v>45815</v>
      </c>
      <c r="G257" t="s">
        <v>449</v>
      </c>
      <c r="H257" t="s">
        <v>4</v>
      </c>
      <c r="I257" t="s">
        <v>15</v>
      </c>
      <c r="J257" t="s">
        <v>16</v>
      </c>
      <c r="K257" t="s">
        <v>39</v>
      </c>
      <c r="L257" t="s">
        <v>326</v>
      </c>
      <c r="M257" t="s">
        <v>550</v>
      </c>
      <c r="N257" t="s">
        <v>527</v>
      </c>
      <c r="O257" t="s">
        <v>122</v>
      </c>
      <c r="P257" t="s">
        <v>73</v>
      </c>
    </row>
    <row r="258" spans="1:16" x14ac:dyDescent="0.3">
      <c r="A258">
        <v>257</v>
      </c>
      <c r="B258">
        <v>18</v>
      </c>
      <c r="C258" t="s">
        <v>30</v>
      </c>
      <c r="D258" t="s">
        <v>23</v>
      </c>
      <c r="E258" t="s">
        <v>31</v>
      </c>
      <c r="F258" s="1">
        <v>45784</v>
      </c>
      <c r="G258" t="s">
        <v>373</v>
      </c>
      <c r="H258" t="s">
        <v>16</v>
      </c>
      <c r="I258" t="s">
        <v>38</v>
      </c>
      <c r="J258" t="s">
        <v>16</v>
      </c>
      <c r="K258" t="s">
        <v>45</v>
      </c>
      <c r="L258" t="s">
        <v>160</v>
      </c>
      <c r="M258" t="s">
        <v>170</v>
      </c>
      <c r="N258" t="s">
        <v>89</v>
      </c>
      <c r="O258" t="s">
        <v>367</v>
      </c>
      <c r="P258" t="s">
        <v>29</v>
      </c>
    </row>
    <row r="259" spans="1:16" x14ac:dyDescent="0.3">
      <c r="A259">
        <v>258</v>
      </c>
      <c r="B259">
        <v>14</v>
      </c>
      <c r="C259" t="s">
        <v>0</v>
      </c>
      <c r="D259" t="s">
        <v>1</v>
      </c>
      <c r="E259" t="s">
        <v>63</v>
      </c>
      <c r="F259" s="1">
        <v>45689</v>
      </c>
      <c r="G259" t="s">
        <v>317</v>
      </c>
      <c r="H259" t="s">
        <v>4</v>
      </c>
      <c r="I259" t="s">
        <v>33</v>
      </c>
      <c r="J259" t="s">
        <v>4</v>
      </c>
      <c r="K259" t="s">
        <v>58</v>
      </c>
      <c r="L259" s="1">
        <v>45790</v>
      </c>
      <c r="M259" t="s">
        <v>102</v>
      </c>
      <c r="N259" s="1">
        <v>45859</v>
      </c>
      <c r="O259" t="s">
        <v>604</v>
      </c>
      <c r="P259" t="s">
        <v>42</v>
      </c>
    </row>
    <row r="260" spans="1:16" x14ac:dyDescent="0.3">
      <c r="A260">
        <v>259</v>
      </c>
      <c r="B260">
        <v>15</v>
      </c>
      <c r="C260" t="s">
        <v>12</v>
      </c>
      <c r="D260" t="s">
        <v>1</v>
      </c>
      <c r="E260" t="s">
        <v>63</v>
      </c>
      <c r="F260" s="1">
        <v>45812</v>
      </c>
      <c r="G260" t="s">
        <v>530</v>
      </c>
      <c r="H260" t="s">
        <v>4</v>
      </c>
      <c r="I260" t="s">
        <v>5</v>
      </c>
      <c r="J260" t="s">
        <v>4</v>
      </c>
      <c r="K260" t="s">
        <v>17</v>
      </c>
      <c r="L260" t="s">
        <v>232</v>
      </c>
      <c r="M260" t="s">
        <v>55</v>
      </c>
      <c r="N260" t="s">
        <v>605</v>
      </c>
      <c r="O260" t="s">
        <v>524</v>
      </c>
      <c r="P260" t="s">
        <v>22</v>
      </c>
    </row>
    <row r="261" spans="1:16" x14ac:dyDescent="0.3">
      <c r="A261">
        <v>260</v>
      </c>
      <c r="B261">
        <v>17</v>
      </c>
      <c r="C261" t="s">
        <v>30</v>
      </c>
      <c r="D261" t="s">
        <v>1</v>
      </c>
      <c r="E261" t="s">
        <v>31</v>
      </c>
      <c r="F261" s="1">
        <v>45783</v>
      </c>
      <c r="G261" t="s">
        <v>146</v>
      </c>
      <c r="H261" t="s">
        <v>4</v>
      </c>
      <c r="I261" t="s">
        <v>38</v>
      </c>
      <c r="J261" t="s">
        <v>16</v>
      </c>
      <c r="K261" t="s">
        <v>39</v>
      </c>
      <c r="L261" t="s">
        <v>494</v>
      </c>
      <c r="M261" t="s">
        <v>81</v>
      </c>
      <c r="N261" t="s">
        <v>606</v>
      </c>
      <c r="O261" t="s">
        <v>607</v>
      </c>
      <c r="P261" t="s">
        <v>29</v>
      </c>
    </row>
    <row r="262" spans="1:16" x14ac:dyDescent="0.3">
      <c r="A262">
        <v>261</v>
      </c>
      <c r="B262">
        <v>18</v>
      </c>
      <c r="C262" t="s">
        <v>12</v>
      </c>
      <c r="D262" t="s">
        <v>1</v>
      </c>
      <c r="E262" t="s">
        <v>2</v>
      </c>
      <c r="F262" t="s">
        <v>74</v>
      </c>
      <c r="G262" t="s">
        <v>259</v>
      </c>
      <c r="H262" t="s">
        <v>4</v>
      </c>
      <c r="I262" t="s">
        <v>33</v>
      </c>
      <c r="J262" t="s">
        <v>4</v>
      </c>
      <c r="K262" t="s">
        <v>39</v>
      </c>
      <c r="L262" t="s">
        <v>81</v>
      </c>
      <c r="M262" t="s">
        <v>178</v>
      </c>
      <c r="N262" t="s">
        <v>543</v>
      </c>
      <c r="O262" t="s">
        <v>322</v>
      </c>
      <c r="P262" t="s">
        <v>73</v>
      </c>
    </row>
    <row r="263" spans="1:16" x14ac:dyDescent="0.3">
      <c r="A263">
        <v>262</v>
      </c>
      <c r="B263">
        <v>15</v>
      </c>
      <c r="C263" t="s">
        <v>12</v>
      </c>
      <c r="D263" t="s">
        <v>23</v>
      </c>
      <c r="E263" t="s">
        <v>13</v>
      </c>
      <c r="F263" s="1">
        <v>45661</v>
      </c>
      <c r="G263" t="s">
        <v>608</v>
      </c>
      <c r="H263" t="s">
        <v>4</v>
      </c>
      <c r="I263" t="s">
        <v>15</v>
      </c>
      <c r="J263" t="s">
        <v>16</v>
      </c>
      <c r="K263" t="s">
        <v>17</v>
      </c>
      <c r="L263" t="s">
        <v>79</v>
      </c>
      <c r="M263" t="s">
        <v>238</v>
      </c>
      <c r="N263" t="s">
        <v>326</v>
      </c>
      <c r="O263" t="s">
        <v>196</v>
      </c>
      <c r="P263" t="s">
        <v>22</v>
      </c>
    </row>
    <row r="264" spans="1:16" x14ac:dyDescent="0.3">
      <c r="A264">
        <v>263</v>
      </c>
      <c r="B264">
        <v>15</v>
      </c>
      <c r="C264" t="s">
        <v>12</v>
      </c>
      <c r="D264" t="s">
        <v>23</v>
      </c>
      <c r="E264" t="s">
        <v>99</v>
      </c>
      <c r="F264" s="1">
        <v>45876</v>
      </c>
      <c r="G264" t="s">
        <v>597</v>
      </c>
      <c r="H264" t="s">
        <v>16</v>
      </c>
      <c r="I264" t="s">
        <v>38</v>
      </c>
      <c r="J264" t="s">
        <v>16</v>
      </c>
      <c r="K264" t="s">
        <v>45</v>
      </c>
      <c r="L264" t="s">
        <v>255</v>
      </c>
      <c r="M264" t="s">
        <v>334</v>
      </c>
      <c r="N264" t="s">
        <v>259</v>
      </c>
      <c r="O264" t="s">
        <v>413</v>
      </c>
      <c r="P264" t="s">
        <v>29</v>
      </c>
    </row>
    <row r="265" spans="1:16" x14ac:dyDescent="0.3">
      <c r="A265">
        <v>264</v>
      </c>
      <c r="B265">
        <v>19</v>
      </c>
      <c r="C265" t="s">
        <v>30</v>
      </c>
      <c r="D265" t="s">
        <v>1</v>
      </c>
      <c r="E265" t="s">
        <v>2</v>
      </c>
      <c r="F265" s="1">
        <v>45690</v>
      </c>
      <c r="G265" t="s">
        <v>62</v>
      </c>
      <c r="H265" t="s">
        <v>4</v>
      </c>
      <c r="I265" t="s">
        <v>15</v>
      </c>
      <c r="J265" t="s">
        <v>16</v>
      </c>
      <c r="K265" t="s">
        <v>39</v>
      </c>
      <c r="L265" s="1">
        <v>45861</v>
      </c>
      <c r="M265" t="s">
        <v>603</v>
      </c>
      <c r="N265" t="s">
        <v>609</v>
      </c>
      <c r="O265" t="s">
        <v>488</v>
      </c>
      <c r="P265" t="s">
        <v>42</v>
      </c>
    </row>
    <row r="266" spans="1:16" x14ac:dyDescent="0.3">
      <c r="A266">
        <v>265</v>
      </c>
      <c r="B266">
        <v>19</v>
      </c>
      <c r="C266" t="s">
        <v>30</v>
      </c>
      <c r="D266" t="s">
        <v>1</v>
      </c>
      <c r="E266" t="s">
        <v>31</v>
      </c>
      <c r="F266" s="1">
        <v>45751</v>
      </c>
      <c r="G266" t="s">
        <v>599</v>
      </c>
      <c r="H266" t="s">
        <v>4</v>
      </c>
      <c r="I266" t="s">
        <v>38</v>
      </c>
      <c r="J266" t="s">
        <v>16</v>
      </c>
      <c r="K266" t="s">
        <v>107</v>
      </c>
      <c r="L266" t="s">
        <v>482</v>
      </c>
      <c r="M266" t="s">
        <v>610</v>
      </c>
      <c r="N266" t="s">
        <v>101</v>
      </c>
      <c r="O266" t="s">
        <v>562</v>
      </c>
      <c r="P266" t="s">
        <v>73</v>
      </c>
    </row>
    <row r="267" spans="1:16" x14ac:dyDescent="0.3">
      <c r="A267">
        <v>266</v>
      </c>
      <c r="B267">
        <v>17</v>
      </c>
      <c r="C267" t="s">
        <v>30</v>
      </c>
      <c r="D267" t="s">
        <v>23</v>
      </c>
      <c r="E267" t="s">
        <v>31</v>
      </c>
      <c r="F267" s="1">
        <v>45748</v>
      </c>
      <c r="G267" t="s">
        <v>525</v>
      </c>
      <c r="H267" t="s">
        <v>4</v>
      </c>
      <c r="I267" t="s">
        <v>5</v>
      </c>
      <c r="J267" t="s">
        <v>16</v>
      </c>
      <c r="K267" t="s">
        <v>39</v>
      </c>
      <c r="L267" t="s">
        <v>548</v>
      </c>
      <c r="M267" t="s">
        <v>275</v>
      </c>
      <c r="N267" t="s">
        <v>307</v>
      </c>
      <c r="O267" t="s">
        <v>559</v>
      </c>
      <c r="P267" t="s">
        <v>22</v>
      </c>
    </row>
    <row r="268" spans="1:16" x14ac:dyDescent="0.3">
      <c r="A268">
        <v>267</v>
      </c>
      <c r="B268">
        <v>16</v>
      </c>
      <c r="C268" t="s">
        <v>12</v>
      </c>
      <c r="D268" t="s">
        <v>23</v>
      </c>
      <c r="E268" t="s">
        <v>99</v>
      </c>
      <c r="F268" s="1">
        <v>45871</v>
      </c>
      <c r="G268" t="s">
        <v>532</v>
      </c>
      <c r="H268" t="s">
        <v>4</v>
      </c>
      <c r="I268" t="s">
        <v>5</v>
      </c>
      <c r="J268" t="s">
        <v>16</v>
      </c>
      <c r="K268" t="s">
        <v>45</v>
      </c>
      <c r="L268" t="s">
        <v>479</v>
      </c>
      <c r="M268" t="s">
        <v>611</v>
      </c>
      <c r="N268" t="s">
        <v>54</v>
      </c>
      <c r="O268" t="s">
        <v>588</v>
      </c>
      <c r="P268" t="s">
        <v>11</v>
      </c>
    </row>
    <row r="269" spans="1:16" x14ac:dyDescent="0.3">
      <c r="A269">
        <v>268</v>
      </c>
      <c r="B269">
        <v>16</v>
      </c>
      <c r="C269" t="s">
        <v>12</v>
      </c>
      <c r="D269" t="s">
        <v>23</v>
      </c>
      <c r="E269" t="s">
        <v>31</v>
      </c>
      <c r="F269" s="1">
        <v>45906</v>
      </c>
      <c r="G269" t="s">
        <v>54</v>
      </c>
      <c r="H269" t="s">
        <v>4</v>
      </c>
      <c r="I269" t="s">
        <v>38</v>
      </c>
      <c r="J269" t="s">
        <v>4</v>
      </c>
      <c r="K269" t="s">
        <v>107</v>
      </c>
      <c r="L269" t="s">
        <v>152</v>
      </c>
      <c r="M269" t="s">
        <v>587</v>
      </c>
      <c r="N269" t="s">
        <v>364</v>
      </c>
      <c r="O269" t="s">
        <v>411</v>
      </c>
      <c r="P269" t="s">
        <v>73</v>
      </c>
    </row>
    <row r="270" spans="1:16" x14ac:dyDescent="0.3">
      <c r="A270">
        <v>269</v>
      </c>
      <c r="B270">
        <v>17</v>
      </c>
      <c r="C270" t="s">
        <v>12</v>
      </c>
      <c r="D270" t="s">
        <v>23</v>
      </c>
      <c r="E270" t="s">
        <v>43</v>
      </c>
      <c r="F270" s="1">
        <v>45905</v>
      </c>
      <c r="G270" t="s">
        <v>571</v>
      </c>
      <c r="H270" t="s">
        <v>16</v>
      </c>
      <c r="I270" t="s">
        <v>5</v>
      </c>
      <c r="J270" t="s">
        <v>16</v>
      </c>
      <c r="K270" t="s">
        <v>17</v>
      </c>
      <c r="L270" t="s">
        <v>612</v>
      </c>
      <c r="M270" t="s">
        <v>613</v>
      </c>
      <c r="N270" t="s">
        <v>57</v>
      </c>
      <c r="O270" t="s">
        <v>614</v>
      </c>
      <c r="P270" t="s">
        <v>22</v>
      </c>
    </row>
    <row r="271" spans="1:16" x14ac:dyDescent="0.3">
      <c r="A271">
        <v>270</v>
      </c>
      <c r="B271">
        <v>17</v>
      </c>
      <c r="C271" t="s">
        <v>0</v>
      </c>
      <c r="D271" t="s">
        <v>23</v>
      </c>
      <c r="E271" t="s">
        <v>13</v>
      </c>
      <c r="F271" s="1">
        <v>45662</v>
      </c>
      <c r="G271" t="s">
        <v>573</v>
      </c>
      <c r="H271" t="s">
        <v>4</v>
      </c>
      <c r="I271" t="s">
        <v>33</v>
      </c>
      <c r="J271" t="s">
        <v>4</v>
      </c>
      <c r="K271" t="s">
        <v>58</v>
      </c>
      <c r="L271" t="s">
        <v>269</v>
      </c>
      <c r="M271" t="s">
        <v>615</v>
      </c>
      <c r="N271" t="s">
        <v>511</v>
      </c>
      <c r="O271" t="s">
        <v>143</v>
      </c>
      <c r="P271" t="s">
        <v>73</v>
      </c>
    </row>
    <row r="272" spans="1:16" x14ac:dyDescent="0.3">
      <c r="A272">
        <v>271</v>
      </c>
      <c r="B272">
        <v>15</v>
      </c>
      <c r="C272" t="s">
        <v>30</v>
      </c>
      <c r="D272" t="s">
        <v>1</v>
      </c>
      <c r="E272" t="s">
        <v>99</v>
      </c>
      <c r="F272" s="1">
        <v>45748</v>
      </c>
      <c r="G272" t="s">
        <v>173</v>
      </c>
      <c r="H272" t="s">
        <v>4</v>
      </c>
      <c r="I272" t="s">
        <v>38</v>
      </c>
      <c r="J272" t="s">
        <v>16</v>
      </c>
      <c r="K272" t="s">
        <v>39</v>
      </c>
      <c r="L272" s="1">
        <v>45856</v>
      </c>
      <c r="M272" t="s">
        <v>616</v>
      </c>
      <c r="N272" s="1">
        <v>45738</v>
      </c>
      <c r="O272" t="s">
        <v>602</v>
      </c>
      <c r="P272" t="s">
        <v>42</v>
      </c>
    </row>
    <row r="273" spans="1:16" x14ac:dyDescent="0.3">
      <c r="A273">
        <v>272</v>
      </c>
      <c r="B273">
        <v>14</v>
      </c>
      <c r="C273" t="s">
        <v>0</v>
      </c>
      <c r="D273" t="s">
        <v>23</v>
      </c>
      <c r="E273" t="s">
        <v>31</v>
      </c>
      <c r="F273" s="1">
        <v>45906</v>
      </c>
      <c r="G273" t="s">
        <v>306</v>
      </c>
      <c r="H273" t="s">
        <v>4</v>
      </c>
      <c r="I273" t="s">
        <v>5</v>
      </c>
      <c r="J273" t="s">
        <v>16</v>
      </c>
      <c r="K273" t="s">
        <v>39</v>
      </c>
      <c r="L273" t="s">
        <v>617</v>
      </c>
      <c r="M273" t="s">
        <v>132</v>
      </c>
      <c r="N273" t="s">
        <v>132</v>
      </c>
      <c r="O273" t="s">
        <v>132</v>
      </c>
      <c r="P273" t="s">
        <v>227</v>
      </c>
    </row>
    <row r="274" spans="1:16" x14ac:dyDescent="0.3">
      <c r="A274">
        <v>273</v>
      </c>
      <c r="B274">
        <v>14</v>
      </c>
      <c r="C274" t="s">
        <v>30</v>
      </c>
      <c r="D274" t="s">
        <v>23</v>
      </c>
      <c r="E274" t="s">
        <v>13</v>
      </c>
      <c r="F274" s="1">
        <v>45840</v>
      </c>
      <c r="G274" t="s">
        <v>410</v>
      </c>
      <c r="H274" t="s">
        <v>4</v>
      </c>
      <c r="I274" t="s">
        <v>5</v>
      </c>
      <c r="J274" t="s">
        <v>16</v>
      </c>
      <c r="K274" t="s">
        <v>107</v>
      </c>
      <c r="L274" t="s">
        <v>504</v>
      </c>
      <c r="M274" t="s">
        <v>470</v>
      </c>
      <c r="N274" t="s">
        <v>82</v>
      </c>
      <c r="O274" t="s">
        <v>610</v>
      </c>
      <c r="P274" t="s">
        <v>22</v>
      </c>
    </row>
    <row r="275" spans="1:16" x14ac:dyDescent="0.3">
      <c r="A275">
        <v>274</v>
      </c>
      <c r="B275">
        <v>19</v>
      </c>
      <c r="C275" t="s">
        <v>12</v>
      </c>
      <c r="D275" t="s">
        <v>1</v>
      </c>
      <c r="E275" t="s">
        <v>63</v>
      </c>
      <c r="F275" s="1">
        <v>45781</v>
      </c>
      <c r="G275" t="s">
        <v>373</v>
      </c>
      <c r="H275" t="s">
        <v>4</v>
      </c>
      <c r="I275" t="s">
        <v>5</v>
      </c>
      <c r="J275" t="s">
        <v>4</v>
      </c>
      <c r="K275" t="s">
        <v>17</v>
      </c>
      <c r="L275" t="s">
        <v>610</v>
      </c>
      <c r="M275" t="s">
        <v>550</v>
      </c>
      <c r="N275" t="s">
        <v>152</v>
      </c>
      <c r="O275" t="s">
        <v>618</v>
      </c>
      <c r="P275" t="s">
        <v>22</v>
      </c>
    </row>
    <row r="276" spans="1:16" x14ac:dyDescent="0.3">
      <c r="A276">
        <v>275</v>
      </c>
      <c r="B276">
        <v>16</v>
      </c>
      <c r="C276" t="s">
        <v>30</v>
      </c>
      <c r="D276" t="s">
        <v>23</v>
      </c>
      <c r="E276" t="s">
        <v>63</v>
      </c>
      <c r="F276" s="1">
        <v>45718</v>
      </c>
      <c r="G276" t="s">
        <v>261</v>
      </c>
      <c r="H276" t="s">
        <v>4</v>
      </c>
      <c r="I276" t="s">
        <v>33</v>
      </c>
      <c r="J276" t="s">
        <v>16</v>
      </c>
      <c r="K276" t="s">
        <v>107</v>
      </c>
      <c r="L276" t="s">
        <v>566</v>
      </c>
      <c r="M276" t="s">
        <v>223</v>
      </c>
      <c r="N276" t="s">
        <v>508</v>
      </c>
      <c r="O276" t="s">
        <v>569</v>
      </c>
      <c r="P276" t="s">
        <v>11</v>
      </c>
    </row>
    <row r="277" spans="1:16" x14ac:dyDescent="0.3">
      <c r="A277">
        <v>276</v>
      </c>
      <c r="B277">
        <v>16</v>
      </c>
      <c r="C277" t="s">
        <v>30</v>
      </c>
      <c r="D277" t="s">
        <v>1</v>
      </c>
      <c r="E277" t="s">
        <v>63</v>
      </c>
      <c r="F277" s="1">
        <v>45751</v>
      </c>
      <c r="G277" t="s">
        <v>560</v>
      </c>
      <c r="H277" t="s">
        <v>4</v>
      </c>
      <c r="I277" t="s">
        <v>38</v>
      </c>
      <c r="J277" t="s">
        <v>16</v>
      </c>
      <c r="K277" t="s">
        <v>107</v>
      </c>
      <c r="L277" t="s">
        <v>558</v>
      </c>
      <c r="M277" t="s">
        <v>19</v>
      </c>
      <c r="N277" t="s">
        <v>132</v>
      </c>
      <c r="O277" t="s">
        <v>619</v>
      </c>
      <c r="P277" t="s">
        <v>22</v>
      </c>
    </row>
    <row r="278" spans="1:16" x14ac:dyDescent="0.3">
      <c r="A278">
        <v>277</v>
      </c>
      <c r="B278">
        <v>16</v>
      </c>
      <c r="C278" t="s">
        <v>12</v>
      </c>
      <c r="D278" t="s">
        <v>1</v>
      </c>
      <c r="E278" t="s">
        <v>43</v>
      </c>
      <c r="F278" s="1">
        <v>45842</v>
      </c>
      <c r="G278" t="s">
        <v>166</v>
      </c>
      <c r="H278" t="s">
        <v>4</v>
      </c>
      <c r="I278" t="s">
        <v>33</v>
      </c>
      <c r="J278" t="s">
        <v>16</v>
      </c>
      <c r="K278" t="s">
        <v>58</v>
      </c>
      <c r="L278" t="s">
        <v>20</v>
      </c>
      <c r="M278" t="s">
        <v>355</v>
      </c>
      <c r="N278" t="s">
        <v>56</v>
      </c>
      <c r="O278" t="s">
        <v>543</v>
      </c>
      <c r="P278" t="s">
        <v>22</v>
      </c>
    </row>
    <row r="279" spans="1:16" x14ac:dyDescent="0.3">
      <c r="A279">
        <v>278</v>
      </c>
      <c r="B279">
        <v>18</v>
      </c>
      <c r="C279" t="s">
        <v>12</v>
      </c>
      <c r="D279" t="s">
        <v>23</v>
      </c>
      <c r="E279" t="s">
        <v>63</v>
      </c>
      <c r="F279" s="1">
        <v>45660</v>
      </c>
      <c r="G279" t="s">
        <v>337</v>
      </c>
      <c r="H279" t="s">
        <v>4</v>
      </c>
      <c r="I279" t="s">
        <v>5</v>
      </c>
      <c r="J279" t="s">
        <v>4</v>
      </c>
      <c r="K279" t="s">
        <v>6</v>
      </c>
      <c r="L279" t="s">
        <v>276</v>
      </c>
      <c r="M279" t="s">
        <v>620</v>
      </c>
      <c r="N279" t="s">
        <v>316</v>
      </c>
      <c r="O279" t="s">
        <v>32</v>
      </c>
      <c r="P279" t="s">
        <v>22</v>
      </c>
    </row>
    <row r="280" spans="1:16" x14ac:dyDescent="0.3">
      <c r="A280">
        <v>279</v>
      </c>
      <c r="B280">
        <v>14</v>
      </c>
      <c r="C280" t="s">
        <v>12</v>
      </c>
      <c r="D280" t="s">
        <v>1</v>
      </c>
      <c r="E280" t="s">
        <v>31</v>
      </c>
      <c r="F280" s="1">
        <v>45720</v>
      </c>
      <c r="G280" t="s">
        <v>621</v>
      </c>
      <c r="H280" t="s">
        <v>4</v>
      </c>
      <c r="I280" t="s">
        <v>38</v>
      </c>
      <c r="J280" t="s">
        <v>16</v>
      </c>
      <c r="K280" t="s">
        <v>17</v>
      </c>
      <c r="L280" t="s">
        <v>373</v>
      </c>
      <c r="M280" t="s">
        <v>407</v>
      </c>
      <c r="N280" t="s">
        <v>571</v>
      </c>
      <c r="O280" t="s">
        <v>436</v>
      </c>
      <c r="P280" t="s">
        <v>73</v>
      </c>
    </row>
    <row r="281" spans="1:16" x14ac:dyDescent="0.3">
      <c r="A281">
        <v>280</v>
      </c>
      <c r="B281">
        <v>14</v>
      </c>
      <c r="C281" t="s">
        <v>12</v>
      </c>
      <c r="D281" t="s">
        <v>1</v>
      </c>
      <c r="E281" t="s">
        <v>2</v>
      </c>
      <c r="F281" s="1">
        <v>45780</v>
      </c>
      <c r="G281" t="s">
        <v>158</v>
      </c>
      <c r="H281" t="s">
        <v>4</v>
      </c>
      <c r="I281" t="s">
        <v>15</v>
      </c>
      <c r="J281" t="s">
        <v>4</v>
      </c>
      <c r="K281" t="s">
        <v>17</v>
      </c>
      <c r="L281" t="s">
        <v>444</v>
      </c>
      <c r="M281" t="s">
        <v>404</v>
      </c>
      <c r="N281" t="s">
        <v>543</v>
      </c>
      <c r="O281" t="s">
        <v>622</v>
      </c>
      <c r="P281" t="s">
        <v>22</v>
      </c>
    </row>
    <row r="282" spans="1:16" x14ac:dyDescent="0.3">
      <c r="A282">
        <v>281</v>
      </c>
      <c r="B282">
        <v>15</v>
      </c>
      <c r="C282" t="s">
        <v>0</v>
      </c>
      <c r="D282" t="s">
        <v>23</v>
      </c>
      <c r="E282" t="s">
        <v>31</v>
      </c>
      <c r="F282" s="1">
        <v>45843</v>
      </c>
      <c r="G282" t="s">
        <v>115</v>
      </c>
      <c r="H282" t="s">
        <v>4</v>
      </c>
      <c r="I282" t="s">
        <v>5</v>
      </c>
      <c r="J282" t="s">
        <v>16</v>
      </c>
      <c r="K282" t="s">
        <v>107</v>
      </c>
      <c r="L282" t="s">
        <v>219</v>
      </c>
      <c r="M282" t="s">
        <v>570</v>
      </c>
      <c r="N282" t="s">
        <v>493</v>
      </c>
      <c r="O282" t="s">
        <v>391</v>
      </c>
      <c r="P282" t="s">
        <v>73</v>
      </c>
    </row>
    <row r="283" spans="1:16" x14ac:dyDescent="0.3">
      <c r="A283">
        <v>282</v>
      </c>
      <c r="B283">
        <v>16</v>
      </c>
      <c r="C283" t="s">
        <v>0</v>
      </c>
      <c r="D283" t="s">
        <v>23</v>
      </c>
      <c r="E283" t="s">
        <v>99</v>
      </c>
      <c r="F283" s="1">
        <v>45812</v>
      </c>
      <c r="G283" t="s">
        <v>101</v>
      </c>
      <c r="H283" t="s">
        <v>4</v>
      </c>
      <c r="I283" t="s">
        <v>5</v>
      </c>
      <c r="J283" t="s">
        <v>16</v>
      </c>
      <c r="K283" t="s">
        <v>107</v>
      </c>
      <c r="L283" t="s">
        <v>614</v>
      </c>
      <c r="M283" t="s">
        <v>18</v>
      </c>
      <c r="N283" t="s">
        <v>96</v>
      </c>
      <c r="O283" t="s">
        <v>397</v>
      </c>
      <c r="P283" t="s">
        <v>22</v>
      </c>
    </row>
    <row r="284" spans="1:16" x14ac:dyDescent="0.3">
      <c r="A284">
        <v>283</v>
      </c>
      <c r="B284">
        <v>18</v>
      </c>
      <c r="C284" t="s">
        <v>30</v>
      </c>
      <c r="D284" t="s">
        <v>23</v>
      </c>
      <c r="E284" t="s">
        <v>43</v>
      </c>
      <c r="F284" s="1">
        <v>45664</v>
      </c>
      <c r="G284" t="s">
        <v>593</v>
      </c>
      <c r="H284" t="s">
        <v>4</v>
      </c>
      <c r="I284" t="s">
        <v>5</v>
      </c>
      <c r="J284" t="s">
        <v>16</v>
      </c>
      <c r="K284" t="s">
        <v>17</v>
      </c>
      <c r="L284" t="s">
        <v>272</v>
      </c>
      <c r="M284" t="s">
        <v>28</v>
      </c>
      <c r="N284" t="s">
        <v>459</v>
      </c>
      <c r="O284" t="s">
        <v>459</v>
      </c>
      <c r="P284" t="s">
        <v>73</v>
      </c>
    </row>
    <row r="285" spans="1:16" x14ac:dyDescent="0.3">
      <c r="A285">
        <v>284</v>
      </c>
      <c r="B285">
        <v>16</v>
      </c>
      <c r="C285" t="s">
        <v>30</v>
      </c>
      <c r="D285" t="s">
        <v>23</v>
      </c>
      <c r="E285" t="s">
        <v>63</v>
      </c>
      <c r="F285" t="s">
        <v>105</v>
      </c>
      <c r="G285" t="s">
        <v>623</v>
      </c>
      <c r="H285" t="s">
        <v>4</v>
      </c>
      <c r="I285" t="s">
        <v>33</v>
      </c>
      <c r="J285" t="s">
        <v>4</v>
      </c>
      <c r="K285" t="s">
        <v>58</v>
      </c>
      <c r="L285" t="s">
        <v>224</v>
      </c>
      <c r="M285" s="1">
        <v>45837</v>
      </c>
      <c r="N285" t="s">
        <v>624</v>
      </c>
      <c r="O285" t="s">
        <v>508</v>
      </c>
      <c r="P285" t="s">
        <v>42</v>
      </c>
    </row>
    <row r="286" spans="1:16" x14ac:dyDescent="0.3">
      <c r="A286">
        <v>285</v>
      </c>
      <c r="B286">
        <v>16</v>
      </c>
      <c r="C286" t="s">
        <v>0</v>
      </c>
      <c r="D286" t="s">
        <v>23</v>
      </c>
      <c r="E286" t="s">
        <v>31</v>
      </c>
      <c r="F286" t="s">
        <v>299</v>
      </c>
      <c r="G286" t="s">
        <v>75</v>
      </c>
      <c r="H286" t="s">
        <v>4</v>
      </c>
      <c r="I286" t="s">
        <v>5</v>
      </c>
      <c r="J286" t="s">
        <v>4</v>
      </c>
      <c r="K286" t="s">
        <v>6</v>
      </c>
      <c r="L286" t="s">
        <v>342</v>
      </c>
      <c r="M286" t="s">
        <v>56</v>
      </c>
      <c r="N286" t="s">
        <v>577</v>
      </c>
      <c r="O286" t="s">
        <v>472</v>
      </c>
      <c r="P286" t="s">
        <v>11</v>
      </c>
    </row>
    <row r="287" spans="1:16" x14ac:dyDescent="0.3">
      <c r="A287">
        <v>286</v>
      </c>
      <c r="B287">
        <v>19</v>
      </c>
      <c r="C287" t="s">
        <v>0</v>
      </c>
      <c r="D287" t="s">
        <v>1</v>
      </c>
      <c r="E287" t="s">
        <v>63</v>
      </c>
      <c r="F287" s="1">
        <v>45901</v>
      </c>
      <c r="G287" t="s">
        <v>408</v>
      </c>
      <c r="H287" t="s">
        <v>4</v>
      </c>
      <c r="I287" t="s">
        <v>38</v>
      </c>
      <c r="J287" t="s">
        <v>16</v>
      </c>
      <c r="K287" t="s">
        <v>58</v>
      </c>
      <c r="L287" t="s">
        <v>625</v>
      </c>
      <c r="M287" t="s">
        <v>584</v>
      </c>
      <c r="N287" t="s">
        <v>87</v>
      </c>
      <c r="O287" t="s">
        <v>209</v>
      </c>
      <c r="P287" t="s">
        <v>42</v>
      </c>
    </row>
    <row r="288" spans="1:16" x14ac:dyDescent="0.3">
      <c r="A288">
        <v>287</v>
      </c>
      <c r="B288">
        <v>14</v>
      </c>
      <c r="C288" t="s">
        <v>12</v>
      </c>
      <c r="D288" t="s">
        <v>1</v>
      </c>
      <c r="E288" t="s">
        <v>2</v>
      </c>
      <c r="F288" s="1">
        <v>45748</v>
      </c>
      <c r="G288" t="s">
        <v>454</v>
      </c>
      <c r="H288" t="s">
        <v>4</v>
      </c>
      <c r="I288" t="s">
        <v>38</v>
      </c>
      <c r="J288" t="s">
        <v>16</v>
      </c>
      <c r="K288" t="s">
        <v>6</v>
      </c>
      <c r="L288" t="s">
        <v>626</v>
      </c>
      <c r="M288" t="s">
        <v>115</v>
      </c>
      <c r="N288" t="s">
        <v>277</v>
      </c>
      <c r="O288" t="s">
        <v>445</v>
      </c>
      <c r="P288" t="s">
        <v>11</v>
      </c>
    </row>
    <row r="289" spans="1:16" x14ac:dyDescent="0.3">
      <c r="A289">
        <v>288</v>
      </c>
      <c r="B289">
        <v>17</v>
      </c>
      <c r="C289" t="s">
        <v>30</v>
      </c>
      <c r="D289" t="s">
        <v>1</v>
      </c>
      <c r="E289" t="s">
        <v>99</v>
      </c>
      <c r="F289" s="1">
        <v>45751</v>
      </c>
      <c r="G289" t="s">
        <v>24</v>
      </c>
      <c r="H289" t="s">
        <v>4</v>
      </c>
      <c r="I289" t="s">
        <v>38</v>
      </c>
      <c r="J289" t="s">
        <v>4</v>
      </c>
      <c r="K289" t="s">
        <v>17</v>
      </c>
      <c r="L289" t="s">
        <v>478</v>
      </c>
      <c r="M289" t="s">
        <v>426</v>
      </c>
      <c r="N289" t="s">
        <v>426</v>
      </c>
      <c r="O289" t="s">
        <v>92</v>
      </c>
      <c r="P289" t="s">
        <v>22</v>
      </c>
    </row>
    <row r="290" spans="1:16" x14ac:dyDescent="0.3">
      <c r="A290">
        <v>289</v>
      </c>
      <c r="B290">
        <v>17</v>
      </c>
      <c r="C290" t="s">
        <v>30</v>
      </c>
      <c r="D290" t="s">
        <v>1</v>
      </c>
      <c r="E290" t="s">
        <v>2</v>
      </c>
      <c r="F290" t="s">
        <v>258</v>
      </c>
      <c r="G290" t="s">
        <v>361</v>
      </c>
      <c r="H290" t="s">
        <v>16</v>
      </c>
      <c r="I290" t="s">
        <v>5</v>
      </c>
      <c r="J290" t="s">
        <v>4</v>
      </c>
      <c r="K290" t="s">
        <v>107</v>
      </c>
      <c r="L290" t="s">
        <v>268</v>
      </c>
      <c r="M290" t="s">
        <v>188</v>
      </c>
      <c r="N290" t="s">
        <v>478</v>
      </c>
      <c r="O290" t="s">
        <v>10</v>
      </c>
      <c r="P290" t="s">
        <v>11</v>
      </c>
    </row>
    <row r="291" spans="1:16" x14ac:dyDescent="0.3">
      <c r="A291">
        <v>290</v>
      </c>
      <c r="B291">
        <v>16</v>
      </c>
      <c r="C291" t="s">
        <v>30</v>
      </c>
      <c r="D291" t="s">
        <v>1</v>
      </c>
      <c r="E291" t="s">
        <v>13</v>
      </c>
      <c r="F291" t="s">
        <v>185</v>
      </c>
      <c r="G291" t="s">
        <v>627</v>
      </c>
      <c r="H291" t="s">
        <v>4</v>
      </c>
      <c r="I291" t="s">
        <v>33</v>
      </c>
      <c r="J291" t="s">
        <v>4</v>
      </c>
      <c r="K291" t="s">
        <v>39</v>
      </c>
      <c r="L291" s="1">
        <v>45774</v>
      </c>
      <c r="M291" t="s">
        <v>7</v>
      </c>
      <c r="N291" s="1">
        <v>45927</v>
      </c>
      <c r="O291" t="s">
        <v>625</v>
      </c>
      <c r="P291" t="s">
        <v>42</v>
      </c>
    </row>
    <row r="292" spans="1:16" x14ac:dyDescent="0.3">
      <c r="A292">
        <v>291</v>
      </c>
      <c r="B292">
        <v>18</v>
      </c>
      <c r="C292" t="s">
        <v>0</v>
      </c>
      <c r="D292" t="s">
        <v>1</v>
      </c>
      <c r="E292" t="s">
        <v>13</v>
      </c>
      <c r="F292" s="1">
        <v>45810</v>
      </c>
      <c r="G292" t="s">
        <v>92</v>
      </c>
      <c r="H292" t="s">
        <v>4</v>
      </c>
      <c r="I292" t="s">
        <v>38</v>
      </c>
      <c r="J292" t="s">
        <v>16</v>
      </c>
      <c r="K292" t="s">
        <v>45</v>
      </c>
      <c r="L292" s="1">
        <v>45687</v>
      </c>
      <c r="M292" t="s">
        <v>628</v>
      </c>
      <c r="N292" t="s">
        <v>153</v>
      </c>
      <c r="O292" t="s">
        <v>545</v>
      </c>
      <c r="P292" t="s">
        <v>11</v>
      </c>
    </row>
    <row r="293" spans="1:16" x14ac:dyDescent="0.3">
      <c r="A293">
        <v>292</v>
      </c>
      <c r="B293">
        <v>15</v>
      </c>
      <c r="C293" t="s">
        <v>0</v>
      </c>
      <c r="D293" t="s">
        <v>1</v>
      </c>
      <c r="E293" t="s">
        <v>99</v>
      </c>
      <c r="F293" s="1">
        <v>45720</v>
      </c>
      <c r="G293" t="s">
        <v>629</v>
      </c>
      <c r="H293" t="s">
        <v>16</v>
      </c>
      <c r="I293" t="s">
        <v>38</v>
      </c>
      <c r="J293" t="s">
        <v>4</v>
      </c>
      <c r="K293" t="s">
        <v>17</v>
      </c>
      <c r="L293" t="s">
        <v>140</v>
      </c>
      <c r="M293" t="s">
        <v>92</v>
      </c>
      <c r="N293" t="s">
        <v>345</v>
      </c>
      <c r="O293" t="s">
        <v>422</v>
      </c>
      <c r="P293" t="s">
        <v>22</v>
      </c>
    </row>
    <row r="294" spans="1:16" x14ac:dyDescent="0.3">
      <c r="A294">
        <v>293</v>
      </c>
      <c r="B294">
        <v>19</v>
      </c>
      <c r="C294" t="s">
        <v>12</v>
      </c>
      <c r="D294" t="s">
        <v>1</v>
      </c>
      <c r="E294" t="s">
        <v>99</v>
      </c>
      <c r="F294" s="1">
        <v>45905</v>
      </c>
      <c r="G294" t="s">
        <v>317</v>
      </c>
      <c r="H294" t="s">
        <v>16</v>
      </c>
      <c r="I294" t="s">
        <v>15</v>
      </c>
      <c r="J294" t="s">
        <v>4</v>
      </c>
      <c r="K294" t="s">
        <v>39</v>
      </c>
      <c r="L294" t="s">
        <v>143</v>
      </c>
      <c r="M294" t="s">
        <v>319</v>
      </c>
      <c r="N294" t="s">
        <v>94</v>
      </c>
      <c r="O294" t="s">
        <v>192</v>
      </c>
      <c r="P294" t="s">
        <v>73</v>
      </c>
    </row>
    <row r="295" spans="1:16" x14ac:dyDescent="0.3">
      <c r="A295">
        <v>294</v>
      </c>
      <c r="B295">
        <v>15</v>
      </c>
      <c r="C295" t="s">
        <v>0</v>
      </c>
      <c r="D295" t="s">
        <v>23</v>
      </c>
      <c r="E295" t="s">
        <v>2</v>
      </c>
      <c r="F295" s="1">
        <v>45872</v>
      </c>
      <c r="G295" t="s">
        <v>114</v>
      </c>
      <c r="H295" t="s">
        <v>4</v>
      </c>
      <c r="I295" t="s">
        <v>5</v>
      </c>
      <c r="J295" t="s">
        <v>16</v>
      </c>
      <c r="K295" t="s">
        <v>58</v>
      </c>
      <c r="L295" t="s">
        <v>630</v>
      </c>
      <c r="M295" t="s">
        <v>215</v>
      </c>
      <c r="N295" t="s">
        <v>592</v>
      </c>
      <c r="O295" t="s">
        <v>594</v>
      </c>
      <c r="P295" t="s">
        <v>22</v>
      </c>
    </row>
    <row r="296" spans="1:16" x14ac:dyDescent="0.3">
      <c r="A296">
        <v>295</v>
      </c>
      <c r="B296">
        <v>17</v>
      </c>
      <c r="C296" t="s">
        <v>12</v>
      </c>
      <c r="D296" t="s">
        <v>1</v>
      </c>
      <c r="E296" t="s">
        <v>43</v>
      </c>
      <c r="F296" s="1">
        <v>45845</v>
      </c>
      <c r="G296" t="s">
        <v>100</v>
      </c>
      <c r="H296" t="s">
        <v>4</v>
      </c>
      <c r="I296" t="s">
        <v>15</v>
      </c>
      <c r="J296" t="s">
        <v>16</v>
      </c>
      <c r="K296" t="s">
        <v>107</v>
      </c>
      <c r="L296" t="s">
        <v>428</v>
      </c>
      <c r="M296" t="s">
        <v>438</v>
      </c>
      <c r="N296" t="s">
        <v>498</v>
      </c>
      <c r="O296" t="s">
        <v>195</v>
      </c>
      <c r="P296" t="s">
        <v>29</v>
      </c>
    </row>
    <row r="297" spans="1:16" x14ac:dyDescent="0.3">
      <c r="A297">
        <v>296</v>
      </c>
      <c r="B297">
        <v>17</v>
      </c>
      <c r="C297" t="s">
        <v>12</v>
      </c>
      <c r="D297" t="s">
        <v>23</v>
      </c>
      <c r="E297" t="s">
        <v>31</v>
      </c>
      <c r="F297" t="s">
        <v>258</v>
      </c>
      <c r="G297" t="s">
        <v>212</v>
      </c>
      <c r="H297" t="s">
        <v>4</v>
      </c>
      <c r="I297" t="s">
        <v>33</v>
      </c>
      <c r="J297" t="s">
        <v>16</v>
      </c>
      <c r="K297" t="s">
        <v>45</v>
      </c>
      <c r="L297" t="s">
        <v>510</v>
      </c>
      <c r="M297" t="s">
        <v>250</v>
      </c>
      <c r="N297" s="1">
        <v>45838</v>
      </c>
      <c r="O297" t="s">
        <v>505</v>
      </c>
      <c r="P297" t="s">
        <v>11</v>
      </c>
    </row>
    <row r="298" spans="1:16" x14ac:dyDescent="0.3">
      <c r="A298">
        <v>297</v>
      </c>
      <c r="B298">
        <v>19</v>
      </c>
      <c r="C298" t="s">
        <v>30</v>
      </c>
      <c r="D298" t="s">
        <v>1</v>
      </c>
      <c r="E298" t="s">
        <v>31</v>
      </c>
      <c r="F298" s="1">
        <v>45751</v>
      </c>
      <c r="G298" t="s">
        <v>453</v>
      </c>
      <c r="H298" t="s">
        <v>4</v>
      </c>
      <c r="I298" t="s">
        <v>33</v>
      </c>
      <c r="J298" t="s">
        <v>4</v>
      </c>
      <c r="K298" t="s">
        <v>6</v>
      </c>
      <c r="L298" t="s">
        <v>557</v>
      </c>
      <c r="M298" t="s">
        <v>319</v>
      </c>
      <c r="N298" t="s">
        <v>429</v>
      </c>
      <c r="O298" t="s">
        <v>393</v>
      </c>
      <c r="P298" t="s">
        <v>73</v>
      </c>
    </row>
    <row r="299" spans="1:16" x14ac:dyDescent="0.3">
      <c r="A299">
        <v>298</v>
      </c>
      <c r="B299">
        <v>16</v>
      </c>
      <c r="C299" t="s">
        <v>0</v>
      </c>
      <c r="D299" t="s">
        <v>1</v>
      </c>
      <c r="E299" t="s">
        <v>31</v>
      </c>
      <c r="F299" s="1">
        <v>45749</v>
      </c>
      <c r="G299" t="s">
        <v>443</v>
      </c>
      <c r="H299" t="s">
        <v>4</v>
      </c>
      <c r="I299" t="s">
        <v>15</v>
      </c>
      <c r="J299" t="s">
        <v>4</v>
      </c>
      <c r="K299" t="s">
        <v>6</v>
      </c>
      <c r="L299" t="s">
        <v>109</v>
      </c>
      <c r="M299" t="s">
        <v>631</v>
      </c>
      <c r="N299" t="s">
        <v>473</v>
      </c>
      <c r="O299" t="s">
        <v>632</v>
      </c>
      <c r="P299" t="s">
        <v>11</v>
      </c>
    </row>
    <row r="300" spans="1:16" x14ac:dyDescent="0.3">
      <c r="A300">
        <v>299</v>
      </c>
      <c r="B300">
        <v>15</v>
      </c>
      <c r="C300" t="s">
        <v>30</v>
      </c>
      <c r="D300" t="s">
        <v>1</v>
      </c>
      <c r="E300" t="s">
        <v>99</v>
      </c>
      <c r="F300" s="1">
        <v>45814</v>
      </c>
      <c r="G300" t="s">
        <v>35</v>
      </c>
      <c r="H300" t="s">
        <v>4</v>
      </c>
      <c r="I300" t="s">
        <v>33</v>
      </c>
      <c r="J300" t="s">
        <v>16</v>
      </c>
      <c r="K300" t="s">
        <v>17</v>
      </c>
      <c r="L300" t="s">
        <v>163</v>
      </c>
      <c r="M300" t="s">
        <v>352</v>
      </c>
      <c r="N300" t="s">
        <v>275</v>
      </c>
      <c r="O300" t="s">
        <v>80</v>
      </c>
      <c r="P300" t="s">
        <v>73</v>
      </c>
    </row>
    <row r="301" spans="1:16" x14ac:dyDescent="0.3">
      <c r="A301">
        <v>300</v>
      </c>
      <c r="B301">
        <v>14</v>
      </c>
      <c r="C301" t="s">
        <v>30</v>
      </c>
      <c r="D301" t="s">
        <v>23</v>
      </c>
      <c r="E301" t="s">
        <v>43</v>
      </c>
      <c r="F301" s="1">
        <v>45901</v>
      </c>
      <c r="G301" t="s">
        <v>493</v>
      </c>
      <c r="H301" t="s">
        <v>4</v>
      </c>
      <c r="I301" t="s">
        <v>15</v>
      </c>
      <c r="J301" t="s">
        <v>16</v>
      </c>
      <c r="K301" t="s">
        <v>6</v>
      </c>
      <c r="L301" t="s">
        <v>437</v>
      </c>
      <c r="M301" t="s">
        <v>534</v>
      </c>
      <c r="N301" t="s">
        <v>104</v>
      </c>
      <c r="O301" t="s">
        <v>55</v>
      </c>
      <c r="P301" t="s">
        <v>22</v>
      </c>
    </row>
    <row r="302" spans="1:16" x14ac:dyDescent="0.3">
      <c r="A302">
        <v>301</v>
      </c>
      <c r="B302">
        <v>16</v>
      </c>
      <c r="C302" t="s">
        <v>30</v>
      </c>
      <c r="D302" t="s">
        <v>23</v>
      </c>
      <c r="E302" t="s">
        <v>99</v>
      </c>
      <c r="F302" s="1">
        <v>45845</v>
      </c>
      <c r="G302" t="s">
        <v>389</v>
      </c>
      <c r="H302" t="s">
        <v>4</v>
      </c>
      <c r="I302" t="s">
        <v>38</v>
      </c>
      <c r="J302" t="s">
        <v>4</v>
      </c>
      <c r="K302" t="s">
        <v>58</v>
      </c>
      <c r="L302" t="s">
        <v>633</v>
      </c>
      <c r="M302" t="s">
        <v>145</v>
      </c>
      <c r="N302" t="s">
        <v>562</v>
      </c>
      <c r="O302" t="s">
        <v>451</v>
      </c>
      <c r="P302" t="s">
        <v>29</v>
      </c>
    </row>
    <row r="303" spans="1:16" x14ac:dyDescent="0.3">
      <c r="A303">
        <v>302</v>
      </c>
      <c r="B303">
        <v>18</v>
      </c>
      <c r="C303" t="s">
        <v>30</v>
      </c>
      <c r="D303" t="s">
        <v>1</v>
      </c>
      <c r="E303" t="s">
        <v>2</v>
      </c>
      <c r="F303" s="1">
        <v>45905</v>
      </c>
      <c r="G303" t="s">
        <v>114</v>
      </c>
      <c r="H303" t="s">
        <v>4</v>
      </c>
      <c r="I303" t="s">
        <v>33</v>
      </c>
      <c r="J303" t="s">
        <v>16</v>
      </c>
      <c r="K303" t="s">
        <v>6</v>
      </c>
      <c r="L303" t="s">
        <v>634</v>
      </c>
      <c r="M303" t="s">
        <v>277</v>
      </c>
      <c r="N303" t="s">
        <v>635</v>
      </c>
      <c r="O303" t="s">
        <v>442</v>
      </c>
      <c r="P303" t="s">
        <v>22</v>
      </c>
    </row>
    <row r="304" spans="1:16" x14ac:dyDescent="0.3">
      <c r="A304">
        <v>303</v>
      </c>
      <c r="B304">
        <v>14</v>
      </c>
      <c r="C304" t="s">
        <v>30</v>
      </c>
      <c r="D304" t="s">
        <v>1</v>
      </c>
      <c r="E304" t="s">
        <v>13</v>
      </c>
      <c r="F304" s="1">
        <v>45842</v>
      </c>
      <c r="G304" t="s">
        <v>308</v>
      </c>
      <c r="H304" t="s">
        <v>4</v>
      </c>
      <c r="I304" t="s">
        <v>33</v>
      </c>
      <c r="J304" t="s">
        <v>16</v>
      </c>
      <c r="K304" t="s">
        <v>17</v>
      </c>
      <c r="L304" t="s">
        <v>522</v>
      </c>
      <c r="M304" t="s">
        <v>280</v>
      </c>
      <c r="N304" t="s">
        <v>177</v>
      </c>
      <c r="O304" t="s">
        <v>636</v>
      </c>
      <c r="P304" t="s">
        <v>22</v>
      </c>
    </row>
    <row r="305" spans="1:16" x14ac:dyDescent="0.3">
      <c r="A305">
        <v>304</v>
      </c>
      <c r="B305">
        <v>19</v>
      </c>
      <c r="C305" t="s">
        <v>0</v>
      </c>
      <c r="D305" t="s">
        <v>23</v>
      </c>
      <c r="E305" t="s">
        <v>31</v>
      </c>
      <c r="F305" s="1">
        <v>45781</v>
      </c>
      <c r="G305" t="s">
        <v>240</v>
      </c>
      <c r="H305" t="s">
        <v>16</v>
      </c>
      <c r="I305" t="s">
        <v>15</v>
      </c>
      <c r="J305" t="s">
        <v>4</v>
      </c>
      <c r="K305" t="s">
        <v>17</v>
      </c>
      <c r="L305" t="s">
        <v>72</v>
      </c>
      <c r="M305" t="s">
        <v>160</v>
      </c>
      <c r="N305" t="s">
        <v>302</v>
      </c>
      <c r="O305" t="s">
        <v>635</v>
      </c>
      <c r="P305" t="s">
        <v>73</v>
      </c>
    </row>
    <row r="306" spans="1:16" x14ac:dyDescent="0.3">
      <c r="A306">
        <v>305</v>
      </c>
      <c r="B306">
        <v>17</v>
      </c>
      <c r="C306" t="s">
        <v>12</v>
      </c>
      <c r="D306" t="s">
        <v>1</v>
      </c>
      <c r="E306" t="s">
        <v>31</v>
      </c>
      <c r="F306" s="1">
        <v>45691</v>
      </c>
      <c r="G306" t="s">
        <v>582</v>
      </c>
      <c r="H306" t="s">
        <v>4</v>
      </c>
      <c r="I306" t="s">
        <v>15</v>
      </c>
      <c r="J306" t="s">
        <v>16</v>
      </c>
      <c r="K306" t="s">
        <v>58</v>
      </c>
      <c r="L306" t="s">
        <v>495</v>
      </c>
      <c r="M306" t="s">
        <v>483</v>
      </c>
      <c r="N306" t="s">
        <v>619</v>
      </c>
      <c r="O306" t="s">
        <v>399</v>
      </c>
      <c r="P306" t="s">
        <v>22</v>
      </c>
    </row>
    <row r="307" spans="1:16" x14ac:dyDescent="0.3">
      <c r="A307">
        <v>306</v>
      </c>
      <c r="B307">
        <v>14</v>
      </c>
      <c r="C307" t="s">
        <v>12</v>
      </c>
      <c r="D307" t="s">
        <v>23</v>
      </c>
      <c r="E307" t="s">
        <v>2</v>
      </c>
      <c r="F307" t="s">
        <v>299</v>
      </c>
      <c r="G307" t="s">
        <v>230</v>
      </c>
      <c r="H307" t="s">
        <v>4</v>
      </c>
      <c r="I307" t="s">
        <v>15</v>
      </c>
      <c r="J307" t="s">
        <v>4</v>
      </c>
      <c r="K307" t="s">
        <v>39</v>
      </c>
      <c r="L307" t="s">
        <v>305</v>
      </c>
      <c r="M307" t="s">
        <v>505</v>
      </c>
      <c r="N307" t="s">
        <v>475</v>
      </c>
      <c r="O307" t="s">
        <v>480</v>
      </c>
      <c r="P307" t="s">
        <v>11</v>
      </c>
    </row>
    <row r="308" spans="1:16" x14ac:dyDescent="0.3">
      <c r="A308">
        <v>307</v>
      </c>
      <c r="B308">
        <v>15</v>
      </c>
      <c r="C308" t="s">
        <v>30</v>
      </c>
      <c r="D308" t="s">
        <v>23</v>
      </c>
      <c r="E308" t="s">
        <v>2</v>
      </c>
      <c r="F308" s="1">
        <v>45754</v>
      </c>
      <c r="G308" t="s">
        <v>149</v>
      </c>
      <c r="H308" t="s">
        <v>4</v>
      </c>
      <c r="I308" t="s">
        <v>15</v>
      </c>
      <c r="J308" t="s">
        <v>16</v>
      </c>
      <c r="K308" t="s">
        <v>58</v>
      </c>
      <c r="L308" t="s">
        <v>599</v>
      </c>
      <c r="M308" t="s">
        <v>132</v>
      </c>
      <c r="N308" t="s">
        <v>123</v>
      </c>
      <c r="O308" t="s">
        <v>516</v>
      </c>
      <c r="P308" t="s">
        <v>227</v>
      </c>
    </row>
    <row r="309" spans="1:16" x14ac:dyDescent="0.3">
      <c r="A309">
        <v>308</v>
      </c>
      <c r="B309">
        <v>17</v>
      </c>
      <c r="C309" t="s">
        <v>0</v>
      </c>
      <c r="D309" t="s">
        <v>1</v>
      </c>
      <c r="E309" t="s">
        <v>13</v>
      </c>
      <c r="F309" s="1">
        <v>45783</v>
      </c>
      <c r="G309" t="s">
        <v>427</v>
      </c>
      <c r="H309" t="s">
        <v>4</v>
      </c>
      <c r="I309" t="s">
        <v>33</v>
      </c>
      <c r="J309" t="s">
        <v>16</v>
      </c>
      <c r="K309" t="s">
        <v>39</v>
      </c>
      <c r="L309" t="s">
        <v>559</v>
      </c>
      <c r="M309" t="s">
        <v>436</v>
      </c>
      <c r="N309" t="s">
        <v>132</v>
      </c>
      <c r="O309" t="s">
        <v>637</v>
      </c>
      <c r="P309" t="s">
        <v>73</v>
      </c>
    </row>
    <row r="310" spans="1:16" x14ac:dyDescent="0.3">
      <c r="A310">
        <v>309</v>
      </c>
      <c r="B310">
        <v>15</v>
      </c>
      <c r="C310" t="s">
        <v>12</v>
      </c>
      <c r="D310" t="s">
        <v>23</v>
      </c>
      <c r="E310" t="s">
        <v>13</v>
      </c>
      <c r="F310" s="1">
        <v>45778</v>
      </c>
      <c r="G310" t="s">
        <v>547</v>
      </c>
      <c r="H310" t="s">
        <v>4</v>
      </c>
      <c r="I310" t="s">
        <v>15</v>
      </c>
      <c r="J310" t="s">
        <v>4</v>
      </c>
      <c r="K310" t="s">
        <v>58</v>
      </c>
      <c r="L310" s="1">
        <v>45716</v>
      </c>
      <c r="M310" s="1">
        <v>45678</v>
      </c>
      <c r="N310" t="s">
        <v>314</v>
      </c>
      <c r="O310" t="s">
        <v>53</v>
      </c>
      <c r="P310" t="s">
        <v>42</v>
      </c>
    </row>
    <row r="311" spans="1:16" x14ac:dyDescent="0.3">
      <c r="A311">
        <v>310</v>
      </c>
      <c r="B311">
        <v>14</v>
      </c>
      <c r="C311" t="s">
        <v>0</v>
      </c>
      <c r="D311" t="s">
        <v>23</v>
      </c>
      <c r="E311" t="s">
        <v>2</v>
      </c>
      <c r="F311" s="1">
        <v>45748</v>
      </c>
      <c r="G311" t="s">
        <v>556</v>
      </c>
      <c r="H311" t="s">
        <v>4</v>
      </c>
      <c r="I311" t="s">
        <v>15</v>
      </c>
      <c r="J311" t="s">
        <v>16</v>
      </c>
      <c r="K311" t="s">
        <v>17</v>
      </c>
      <c r="L311" t="s">
        <v>459</v>
      </c>
      <c r="M311" t="s">
        <v>638</v>
      </c>
      <c r="N311" t="s">
        <v>264</v>
      </c>
      <c r="O311" t="s">
        <v>355</v>
      </c>
      <c r="P311" t="s">
        <v>11</v>
      </c>
    </row>
    <row r="312" spans="1:16" x14ac:dyDescent="0.3">
      <c r="A312">
        <v>311</v>
      </c>
      <c r="B312">
        <v>17</v>
      </c>
      <c r="C312" t="s">
        <v>0</v>
      </c>
      <c r="D312" t="s">
        <v>23</v>
      </c>
      <c r="E312" t="s">
        <v>2</v>
      </c>
      <c r="F312" s="1">
        <v>45871</v>
      </c>
      <c r="G312" t="s">
        <v>59</v>
      </c>
      <c r="H312" t="s">
        <v>16</v>
      </c>
      <c r="I312" t="s">
        <v>15</v>
      </c>
      <c r="J312" t="s">
        <v>4</v>
      </c>
      <c r="K312" t="s">
        <v>39</v>
      </c>
      <c r="L312" t="s">
        <v>485</v>
      </c>
      <c r="M312" t="s">
        <v>181</v>
      </c>
      <c r="N312" t="s">
        <v>471</v>
      </c>
      <c r="O312" t="s">
        <v>479</v>
      </c>
      <c r="P312" t="s">
        <v>11</v>
      </c>
    </row>
    <row r="313" spans="1:16" x14ac:dyDescent="0.3">
      <c r="A313">
        <v>312</v>
      </c>
      <c r="B313">
        <v>18</v>
      </c>
      <c r="C313" t="s">
        <v>30</v>
      </c>
      <c r="D313" t="s">
        <v>23</v>
      </c>
      <c r="E313" t="s">
        <v>2</v>
      </c>
      <c r="F313" s="1">
        <v>45694</v>
      </c>
      <c r="G313" t="s">
        <v>165</v>
      </c>
      <c r="H313" t="s">
        <v>16</v>
      </c>
      <c r="I313" t="s">
        <v>33</v>
      </c>
      <c r="J313" t="s">
        <v>16</v>
      </c>
      <c r="K313" t="s">
        <v>17</v>
      </c>
      <c r="L313" t="s">
        <v>88</v>
      </c>
      <c r="M313" t="s">
        <v>211</v>
      </c>
      <c r="N313" t="s">
        <v>132</v>
      </c>
      <c r="O313" t="s">
        <v>310</v>
      </c>
      <c r="P313" t="s">
        <v>29</v>
      </c>
    </row>
    <row r="314" spans="1:16" x14ac:dyDescent="0.3">
      <c r="A314">
        <v>313</v>
      </c>
      <c r="B314">
        <v>14</v>
      </c>
      <c r="C314" t="s">
        <v>0</v>
      </c>
      <c r="D314" t="s">
        <v>1</v>
      </c>
      <c r="E314" t="s">
        <v>31</v>
      </c>
      <c r="F314" s="1">
        <v>45720</v>
      </c>
      <c r="G314" t="s">
        <v>627</v>
      </c>
      <c r="H314" t="s">
        <v>4</v>
      </c>
      <c r="I314" t="s">
        <v>38</v>
      </c>
      <c r="J314" t="s">
        <v>4</v>
      </c>
      <c r="K314" t="s">
        <v>45</v>
      </c>
      <c r="L314" t="s">
        <v>79</v>
      </c>
      <c r="M314" t="s">
        <v>135</v>
      </c>
      <c r="N314" t="s">
        <v>342</v>
      </c>
      <c r="O314" t="s">
        <v>639</v>
      </c>
      <c r="P314" t="s">
        <v>11</v>
      </c>
    </row>
    <row r="315" spans="1:16" x14ac:dyDescent="0.3">
      <c r="A315">
        <v>314</v>
      </c>
      <c r="B315">
        <v>15</v>
      </c>
      <c r="C315" t="s">
        <v>30</v>
      </c>
      <c r="D315" t="s">
        <v>1</v>
      </c>
      <c r="E315" t="s">
        <v>43</v>
      </c>
      <c r="F315" s="1">
        <v>45752</v>
      </c>
      <c r="G315" t="s">
        <v>427</v>
      </c>
      <c r="H315" t="s">
        <v>4</v>
      </c>
      <c r="I315" t="s">
        <v>15</v>
      </c>
      <c r="J315" t="s">
        <v>16</v>
      </c>
      <c r="K315" t="s">
        <v>45</v>
      </c>
      <c r="L315" t="s">
        <v>441</v>
      </c>
      <c r="M315" t="s">
        <v>255</v>
      </c>
      <c r="N315" t="s">
        <v>111</v>
      </c>
      <c r="O315" t="s">
        <v>640</v>
      </c>
      <c r="P315" t="s">
        <v>73</v>
      </c>
    </row>
    <row r="316" spans="1:16" x14ac:dyDescent="0.3">
      <c r="A316">
        <v>315</v>
      </c>
      <c r="B316">
        <v>15</v>
      </c>
      <c r="C316" t="s">
        <v>30</v>
      </c>
      <c r="D316" t="s">
        <v>23</v>
      </c>
      <c r="E316" t="s">
        <v>63</v>
      </c>
      <c r="F316" t="s">
        <v>281</v>
      </c>
      <c r="G316" t="s">
        <v>312</v>
      </c>
      <c r="H316" t="s">
        <v>4</v>
      </c>
      <c r="I316" t="s">
        <v>33</v>
      </c>
      <c r="J316" t="s">
        <v>4</v>
      </c>
      <c r="K316" t="s">
        <v>39</v>
      </c>
      <c r="L316" t="s">
        <v>598</v>
      </c>
      <c r="M316" t="s">
        <v>522</v>
      </c>
      <c r="N316" t="s">
        <v>568</v>
      </c>
      <c r="O316" t="s">
        <v>276</v>
      </c>
      <c r="P316" t="s">
        <v>11</v>
      </c>
    </row>
    <row r="317" spans="1:16" x14ac:dyDescent="0.3">
      <c r="A317">
        <v>316</v>
      </c>
      <c r="B317">
        <v>17</v>
      </c>
      <c r="C317" t="s">
        <v>30</v>
      </c>
      <c r="D317" t="s">
        <v>1</v>
      </c>
      <c r="E317" t="s">
        <v>63</v>
      </c>
      <c r="F317" s="1">
        <v>45754</v>
      </c>
      <c r="G317" t="s">
        <v>469</v>
      </c>
      <c r="H317" t="s">
        <v>4</v>
      </c>
      <c r="I317" t="s">
        <v>38</v>
      </c>
      <c r="J317" t="s">
        <v>4</v>
      </c>
      <c r="K317" t="s">
        <v>107</v>
      </c>
      <c r="L317" t="s">
        <v>132</v>
      </c>
      <c r="M317" t="s">
        <v>132</v>
      </c>
      <c r="N317" t="s">
        <v>164</v>
      </c>
      <c r="O317" t="s">
        <v>132</v>
      </c>
      <c r="P317" t="s">
        <v>227</v>
      </c>
    </row>
    <row r="318" spans="1:16" x14ac:dyDescent="0.3">
      <c r="A318">
        <v>317</v>
      </c>
      <c r="B318">
        <v>18</v>
      </c>
      <c r="C318" t="s">
        <v>0</v>
      </c>
      <c r="D318" t="s">
        <v>1</v>
      </c>
      <c r="E318" t="s">
        <v>63</v>
      </c>
      <c r="F318" s="1">
        <v>45839</v>
      </c>
      <c r="G318" t="s">
        <v>142</v>
      </c>
      <c r="H318" t="s">
        <v>4</v>
      </c>
      <c r="I318" t="s">
        <v>15</v>
      </c>
      <c r="J318" t="s">
        <v>4</v>
      </c>
      <c r="K318" t="s">
        <v>17</v>
      </c>
      <c r="L318" t="s">
        <v>577</v>
      </c>
      <c r="M318" t="s">
        <v>622</v>
      </c>
      <c r="N318" t="s">
        <v>268</v>
      </c>
      <c r="O318" t="s">
        <v>109</v>
      </c>
      <c r="P318" t="s">
        <v>11</v>
      </c>
    </row>
    <row r="319" spans="1:16" x14ac:dyDescent="0.3">
      <c r="A319">
        <v>318</v>
      </c>
      <c r="B319">
        <v>18</v>
      </c>
      <c r="C319" t="s">
        <v>0</v>
      </c>
      <c r="D319" t="s">
        <v>23</v>
      </c>
      <c r="E319" t="s">
        <v>13</v>
      </c>
      <c r="F319" s="1">
        <v>45902</v>
      </c>
      <c r="G319" t="s">
        <v>641</v>
      </c>
      <c r="H319" t="s">
        <v>4</v>
      </c>
      <c r="I319" t="s">
        <v>5</v>
      </c>
      <c r="J319" t="s">
        <v>16</v>
      </c>
      <c r="K319" t="s">
        <v>45</v>
      </c>
      <c r="L319" t="s">
        <v>78</v>
      </c>
      <c r="M319" t="s">
        <v>180</v>
      </c>
      <c r="N319" t="s">
        <v>199</v>
      </c>
      <c r="O319" t="s">
        <v>109</v>
      </c>
      <c r="P319" t="s">
        <v>11</v>
      </c>
    </row>
    <row r="320" spans="1:16" x14ac:dyDescent="0.3">
      <c r="A320">
        <v>319</v>
      </c>
      <c r="B320">
        <v>19</v>
      </c>
      <c r="C320" t="s">
        <v>12</v>
      </c>
      <c r="D320" t="s">
        <v>1</v>
      </c>
      <c r="E320" t="s">
        <v>99</v>
      </c>
      <c r="F320" s="1">
        <v>45815</v>
      </c>
      <c r="G320" t="s">
        <v>428</v>
      </c>
      <c r="H320" t="s">
        <v>4</v>
      </c>
      <c r="I320" t="s">
        <v>38</v>
      </c>
      <c r="J320" t="s">
        <v>16</v>
      </c>
      <c r="K320" t="s">
        <v>45</v>
      </c>
      <c r="L320" t="s">
        <v>24</v>
      </c>
      <c r="M320" t="s">
        <v>115</v>
      </c>
      <c r="N320" t="s">
        <v>270</v>
      </c>
      <c r="O320" t="s">
        <v>608</v>
      </c>
      <c r="P320" t="s">
        <v>73</v>
      </c>
    </row>
    <row r="322" spans="6:14" x14ac:dyDescent="0.3">
      <c r="F322" s="1"/>
    </row>
    <row r="324" spans="6:14" x14ac:dyDescent="0.3">
      <c r="L324" s="1"/>
    </row>
    <row r="325" spans="6:14" x14ac:dyDescent="0.3">
      <c r="F325" s="1"/>
      <c r="L325" s="1"/>
      <c r="N325" s="1"/>
    </row>
    <row r="326" spans="6:14" x14ac:dyDescent="0.3">
      <c r="F326" s="1"/>
    </row>
    <row r="327" spans="6:14" x14ac:dyDescent="0.3">
      <c r="F327" s="1"/>
      <c r="L327" s="1"/>
    </row>
    <row r="328" spans="6:14" x14ac:dyDescent="0.3">
      <c r="F328" s="1"/>
    </row>
    <row r="329" spans="6:14" x14ac:dyDescent="0.3">
      <c r="F329" s="1"/>
    </row>
    <row r="330" spans="6:14" x14ac:dyDescent="0.3">
      <c r="F330" s="1"/>
    </row>
    <row r="331" spans="6:14" x14ac:dyDescent="0.3">
      <c r="F331" s="1"/>
    </row>
    <row r="332" spans="6:14" x14ac:dyDescent="0.3">
      <c r="F332" s="1"/>
    </row>
    <row r="333" spans="6:14" x14ac:dyDescent="0.3">
      <c r="F333" s="1"/>
    </row>
    <row r="334" spans="6:14" x14ac:dyDescent="0.3">
      <c r="F334" s="1"/>
    </row>
    <row r="335" spans="6:14" x14ac:dyDescent="0.3">
      <c r="F335" s="1"/>
    </row>
    <row r="336" spans="6:14" x14ac:dyDescent="0.3">
      <c r="F336" s="1"/>
    </row>
    <row r="337" spans="6:13" x14ac:dyDescent="0.3">
      <c r="F337" s="1"/>
    </row>
    <row r="338" spans="6:13" x14ac:dyDescent="0.3">
      <c r="F338" s="1"/>
    </row>
    <row r="339" spans="6:13" x14ac:dyDescent="0.3">
      <c r="F339" s="1"/>
    </row>
    <row r="340" spans="6:13" x14ac:dyDescent="0.3">
      <c r="F340" s="1"/>
    </row>
    <row r="341" spans="6:13" x14ac:dyDescent="0.3">
      <c r="F341" s="1"/>
    </row>
    <row r="342" spans="6:13" x14ac:dyDescent="0.3">
      <c r="F342" s="1"/>
    </row>
    <row r="343" spans="6:13" x14ac:dyDescent="0.3">
      <c r="F343" s="1"/>
    </row>
    <row r="344" spans="6:13" x14ac:dyDescent="0.3">
      <c r="F344" s="1"/>
    </row>
    <row r="346" spans="6:13" x14ac:dyDescent="0.3">
      <c r="F346" s="1"/>
    </row>
    <row r="347" spans="6:13" x14ac:dyDescent="0.3">
      <c r="F347" s="1"/>
    </row>
    <row r="348" spans="6:13" x14ac:dyDescent="0.3">
      <c r="F348" s="1"/>
    </row>
    <row r="349" spans="6:13" x14ac:dyDescent="0.3">
      <c r="F349" s="1"/>
    </row>
    <row r="350" spans="6:13" x14ac:dyDescent="0.3">
      <c r="F350" s="1"/>
    </row>
    <row r="351" spans="6:13" x14ac:dyDescent="0.3">
      <c r="F351" s="1"/>
      <c r="M351" s="1"/>
    </row>
    <row r="352" spans="6:13" x14ac:dyDescent="0.3">
      <c r="F352" s="1"/>
    </row>
    <row r="353" spans="6:12" x14ac:dyDescent="0.3">
      <c r="F353" s="1"/>
    </row>
    <row r="354" spans="6:12" x14ac:dyDescent="0.3">
      <c r="F354" s="1"/>
    </row>
    <row r="355" spans="6:12" x14ac:dyDescent="0.3">
      <c r="F355" s="1"/>
    </row>
    <row r="356" spans="6:12" x14ac:dyDescent="0.3">
      <c r="F356" s="1"/>
    </row>
    <row r="357" spans="6:12" x14ac:dyDescent="0.3">
      <c r="F357" s="1"/>
    </row>
    <row r="358" spans="6:12" x14ac:dyDescent="0.3">
      <c r="F358" s="1"/>
    </row>
    <row r="359" spans="6:12" x14ac:dyDescent="0.3">
      <c r="L359" s="1"/>
    </row>
    <row r="360" spans="6:12" x14ac:dyDescent="0.3">
      <c r="F360" s="1"/>
    </row>
    <row r="361" spans="6:12" x14ac:dyDescent="0.3">
      <c r="F361" s="1"/>
    </row>
    <row r="362" spans="6:12" x14ac:dyDescent="0.3">
      <c r="F362" s="1"/>
    </row>
    <row r="364" spans="6:12" x14ac:dyDescent="0.3">
      <c r="F364" s="1"/>
    </row>
    <row r="365" spans="6:12" x14ac:dyDescent="0.3">
      <c r="F365" s="1"/>
    </row>
    <row r="366" spans="6:12" x14ac:dyDescent="0.3">
      <c r="F366" s="1"/>
    </row>
    <row r="367" spans="6:12" x14ac:dyDescent="0.3">
      <c r="F367" s="1"/>
    </row>
    <row r="368" spans="6:12" x14ac:dyDescent="0.3">
      <c r="F368" s="1"/>
    </row>
    <row r="369" spans="6:14" x14ac:dyDescent="0.3">
      <c r="F369" s="1"/>
    </row>
    <row r="370" spans="6:14" x14ac:dyDescent="0.3">
      <c r="F370" s="1"/>
    </row>
    <row r="371" spans="6:14" x14ac:dyDescent="0.3">
      <c r="F371" s="1"/>
    </row>
    <row r="372" spans="6:14" x14ac:dyDescent="0.3">
      <c r="F372" s="1"/>
    </row>
    <row r="373" spans="6:14" x14ac:dyDescent="0.3">
      <c r="F373" s="1"/>
      <c r="L373" s="1"/>
      <c r="M373" s="1"/>
    </row>
    <row r="374" spans="6:14" x14ac:dyDescent="0.3">
      <c r="F374" s="1"/>
    </row>
    <row r="375" spans="6:14" x14ac:dyDescent="0.3">
      <c r="F375" s="1"/>
    </row>
    <row r="376" spans="6:14" x14ac:dyDescent="0.3">
      <c r="F376" s="1"/>
      <c r="L376" s="1"/>
    </row>
    <row r="377" spans="6:14" x14ac:dyDescent="0.3">
      <c r="F377" s="1"/>
      <c r="N377" s="1"/>
    </row>
    <row r="378" spans="6:14" x14ac:dyDescent="0.3">
      <c r="F378" s="1"/>
    </row>
    <row r="379" spans="6:14" x14ac:dyDescent="0.3">
      <c r="F379" s="1"/>
    </row>
    <row r="382" spans="6:14" x14ac:dyDescent="0.3">
      <c r="F382" s="1"/>
    </row>
    <row r="384" spans="6:14" x14ac:dyDescent="0.3">
      <c r="F384" s="1"/>
    </row>
    <row r="385" spans="6:12" x14ac:dyDescent="0.3">
      <c r="F385" s="1"/>
    </row>
    <row r="386" spans="6:12" x14ac:dyDescent="0.3">
      <c r="F386" s="1"/>
    </row>
    <row r="387" spans="6:12" x14ac:dyDescent="0.3">
      <c r="F387" s="1"/>
    </row>
    <row r="388" spans="6:12" x14ac:dyDescent="0.3">
      <c r="F388" s="1"/>
    </row>
    <row r="389" spans="6:12" x14ac:dyDescent="0.3">
      <c r="F389" s="1"/>
    </row>
    <row r="391" spans="6:12" x14ac:dyDescent="0.3">
      <c r="F391" s="1"/>
    </row>
    <row r="392" spans="6:12" x14ac:dyDescent="0.3">
      <c r="F392" s="1"/>
      <c r="L392" s="1"/>
    </row>
    <row r="393" spans="6:12" x14ac:dyDescent="0.3">
      <c r="F393" s="1"/>
    </row>
    <row r="394" spans="6:12" x14ac:dyDescent="0.3">
      <c r="F394" s="1"/>
    </row>
    <row r="395" spans="6:12" x14ac:dyDescent="0.3">
      <c r="F395" s="1"/>
    </row>
    <row r="396" spans="6:12" x14ac:dyDescent="0.3">
      <c r="F396" s="1"/>
    </row>
    <row r="397" spans="6:12" x14ac:dyDescent="0.3">
      <c r="F397" s="1"/>
    </row>
    <row r="398" spans="6:12" x14ac:dyDescent="0.3">
      <c r="F398" s="1"/>
    </row>
    <row r="399" spans="6:12" x14ac:dyDescent="0.3">
      <c r="L399" s="1"/>
    </row>
    <row r="400" spans="6:12" x14ac:dyDescent="0.3">
      <c r="F400" s="1"/>
      <c r="L400" s="1"/>
    </row>
    <row r="401" spans="6:14" x14ac:dyDescent="0.3">
      <c r="F401" s="1"/>
    </row>
    <row r="402" spans="6:14" x14ac:dyDescent="0.3">
      <c r="F402" s="1"/>
    </row>
    <row r="403" spans="6:14" x14ac:dyDescent="0.3">
      <c r="F403" s="1"/>
    </row>
    <row r="404" spans="6:14" x14ac:dyDescent="0.3">
      <c r="F404" s="1"/>
    </row>
    <row r="405" spans="6:14" x14ac:dyDescent="0.3">
      <c r="F405" s="1"/>
    </row>
    <row r="406" spans="6:14" x14ac:dyDescent="0.3">
      <c r="F406" s="1"/>
    </row>
    <row r="407" spans="6:14" x14ac:dyDescent="0.3">
      <c r="F407" s="1"/>
    </row>
    <row r="408" spans="6:14" x14ac:dyDescent="0.3">
      <c r="M408" s="1"/>
    </row>
    <row r="409" spans="6:14" x14ac:dyDescent="0.3">
      <c r="F409" s="1"/>
    </row>
    <row r="410" spans="6:14" x14ac:dyDescent="0.3">
      <c r="F410" s="1"/>
    </row>
    <row r="411" spans="6:14" x14ac:dyDescent="0.3">
      <c r="F411" s="1"/>
    </row>
    <row r="412" spans="6:14" x14ac:dyDescent="0.3">
      <c r="F412" s="1"/>
    </row>
    <row r="414" spans="6:14" x14ac:dyDescent="0.3">
      <c r="N414" s="1"/>
    </row>
    <row r="415" spans="6:14" x14ac:dyDescent="0.3">
      <c r="F415" s="1"/>
    </row>
    <row r="416" spans="6:14" x14ac:dyDescent="0.3">
      <c r="F416" s="1"/>
    </row>
    <row r="417" spans="6:14" x14ac:dyDescent="0.3">
      <c r="F417" s="1"/>
    </row>
    <row r="418" spans="6:14" x14ac:dyDescent="0.3">
      <c r="F418" s="1"/>
    </row>
    <row r="419" spans="6:14" x14ac:dyDescent="0.3">
      <c r="F419" s="1"/>
      <c r="N419" s="1"/>
    </row>
    <row r="420" spans="6:14" x14ac:dyDescent="0.3">
      <c r="F420" s="1"/>
      <c r="L420" s="1"/>
    </row>
    <row r="421" spans="6:14" x14ac:dyDescent="0.3">
      <c r="F421" s="1"/>
    </row>
    <row r="423" spans="6:14" x14ac:dyDescent="0.3">
      <c r="F423" s="1"/>
    </row>
    <row r="424" spans="6:14" x14ac:dyDescent="0.3">
      <c r="F424" s="1"/>
    </row>
    <row r="425" spans="6:14" x14ac:dyDescent="0.3">
      <c r="F425" s="1"/>
      <c r="N425" s="1"/>
    </row>
    <row r="427" spans="6:14" x14ac:dyDescent="0.3">
      <c r="F427" s="1"/>
    </row>
    <row r="428" spans="6:14" x14ac:dyDescent="0.3">
      <c r="F428" s="1"/>
    </row>
    <row r="429" spans="6:14" x14ac:dyDescent="0.3">
      <c r="F429" s="1"/>
    </row>
    <row r="430" spans="6:14" x14ac:dyDescent="0.3">
      <c r="F430" s="1"/>
    </row>
    <row r="431" spans="6:14" x14ac:dyDescent="0.3">
      <c r="F431" s="1"/>
    </row>
    <row r="432" spans="6:14" x14ac:dyDescent="0.3">
      <c r="F432" s="1"/>
    </row>
    <row r="434" spans="6:6" x14ac:dyDescent="0.3">
      <c r="F434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9" spans="6:14" x14ac:dyDescent="0.3">
      <c r="F449" s="1"/>
    </row>
    <row r="450" spans="6:14" x14ac:dyDescent="0.3">
      <c r="F450" s="1"/>
    </row>
    <row r="451" spans="6:14" x14ac:dyDescent="0.3">
      <c r="F451" s="1"/>
    </row>
    <row r="452" spans="6:14" x14ac:dyDescent="0.3">
      <c r="F452" s="1"/>
      <c r="L452" s="1"/>
    </row>
    <row r="453" spans="6:14" x14ac:dyDescent="0.3">
      <c r="F453" s="1"/>
    </row>
    <row r="454" spans="6:14" x14ac:dyDescent="0.3">
      <c r="F454" s="1"/>
    </row>
    <row r="455" spans="6:14" x14ac:dyDescent="0.3">
      <c r="F455" s="1"/>
    </row>
    <row r="456" spans="6:14" x14ac:dyDescent="0.3">
      <c r="F456" s="1"/>
    </row>
    <row r="457" spans="6:14" x14ac:dyDescent="0.3">
      <c r="F457" s="1"/>
    </row>
    <row r="458" spans="6:14" x14ac:dyDescent="0.3">
      <c r="F458" s="1"/>
    </row>
    <row r="460" spans="6:14" x14ac:dyDescent="0.3">
      <c r="F460" s="1"/>
      <c r="N460" s="1"/>
    </row>
    <row r="461" spans="6:14" x14ac:dyDescent="0.3">
      <c r="F461" s="1"/>
    </row>
    <row r="462" spans="6:14" x14ac:dyDescent="0.3">
      <c r="F462" s="1"/>
    </row>
    <row r="463" spans="6:14" x14ac:dyDescent="0.3">
      <c r="F463" s="1"/>
    </row>
    <row r="465" spans="6:14" x14ac:dyDescent="0.3">
      <c r="F465" s="1"/>
    </row>
    <row r="466" spans="6:14" x14ac:dyDescent="0.3">
      <c r="F466" s="1"/>
    </row>
    <row r="467" spans="6:14" x14ac:dyDescent="0.3">
      <c r="F467" s="1"/>
    </row>
    <row r="468" spans="6:14" x14ac:dyDescent="0.3">
      <c r="F468" s="1"/>
    </row>
    <row r="469" spans="6:14" x14ac:dyDescent="0.3">
      <c r="F469" s="1"/>
    </row>
    <row r="470" spans="6:14" x14ac:dyDescent="0.3">
      <c r="F470" s="1"/>
      <c r="M470" s="1"/>
    </row>
    <row r="471" spans="6:14" x14ac:dyDescent="0.3">
      <c r="F471" s="1"/>
    </row>
    <row r="472" spans="6:14" x14ac:dyDescent="0.3">
      <c r="F472" s="1"/>
      <c r="N472" s="1"/>
    </row>
    <row r="473" spans="6:14" x14ac:dyDescent="0.3">
      <c r="F473" s="1"/>
    </row>
    <row r="474" spans="6:14" x14ac:dyDescent="0.3">
      <c r="F474" s="1"/>
    </row>
    <row r="475" spans="6:14" x14ac:dyDescent="0.3">
      <c r="F475" s="1"/>
      <c r="N475" s="1"/>
    </row>
    <row r="476" spans="6:14" x14ac:dyDescent="0.3">
      <c r="F476" s="1"/>
    </row>
    <row r="477" spans="6:14" x14ac:dyDescent="0.3">
      <c r="F477" s="1"/>
    </row>
    <row r="478" spans="6:14" x14ac:dyDescent="0.3">
      <c r="F478" s="1"/>
    </row>
    <row r="479" spans="6:14" x14ac:dyDescent="0.3">
      <c r="N479" s="1"/>
    </row>
    <row r="480" spans="6:14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1" spans="6:6" x14ac:dyDescent="0.3">
      <c r="F491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9" spans="6:14" x14ac:dyDescent="0.3">
      <c r="F499" s="1"/>
    </row>
    <row r="500" spans="6:14" x14ac:dyDescent="0.3">
      <c r="F500" s="1"/>
    </row>
    <row r="501" spans="6:14" x14ac:dyDescent="0.3">
      <c r="F501" s="1"/>
    </row>
    <row r="502" spans="6:14" x14ac:dyDescent="0.3">
      <c r="F502" s="1"/>
    </row>
    <row r="504" spans="6:14" x14ac:dyDescent="0.3">
      <c r="F504" s="1"/>
    </row>
    <row r="505" spans="6:14" x14ac:dyDescent="0.3">
      <c r="F505" s="1"/>
      <c r="N505" s="1"/>
    </row>
    <row r="506" spans="6:14" x14ac:dyDescent="0.3">
      <c r="F506" s="1"/>
    </row>
    <row r="507" spans="6:14" x14ac:dyDescent="0.3">
      <c r="M507" s="1"/>
    </row>
    <row r="508" spans="6:14" x14ac:dyDescent="0.3">
      <c r="F508" s="1"/>
      <c r="N508" s="1"/>
    </row>
    <row r="511" spans="6:14" x14ac:dyDescent="0.3">
      <c r="F511" s="1"/>
    </row>
    <row r="512" spans="6:14" x14ac:dyDescent="0.3">
      <c r="F512" s="1"/>
    </row>
    <row r="513" spans="6:15" x14ac:dyDescent="0.3">
      <c r="F513" s="1"/>
    </row>
    <row r="514" spans="6:15" x14ac:dyDescent="0.3">
      <c r="F514" s="1"/>
    </row>
    <row r="515" spans="6:15" x14ac:dyDescent="0.3">
      <c r="F515" s="1"/>
    </row>
    <row r="517" spans="6:15" x14ac:dyDescent="0.3">
      <c r="F517" s="1"/>
    </row>
    <row r="518" spans="6:15" x14ac:dyDescent="0.3">
      <c r="F518" s="1"/>
    </row>
    <row r="519" spans="6:15" x14ac:dyDescent="0.3">
      <c r="F519" s="1"/>
    </row>
    <row r="520" spans="6:15" x14ac:dyDescent="0.3">
      <c r="F520" s="1"/>
      <c r="N520" s="1"/>
    </row>
    <row r="521" spans="6:15" x14ac:dyDescent="0.3">
      <c r="F521" s="1"/>
    </row>
    <row r="522" spans="6:15" x14ac:dyDescent="0.3">
      <c r="F522" s="1"/>
      <c r="L522" s="1"/>
      <c r="N522" s="1"/>
    </row>
    <row r="523" spans="6:15" x14ac:dyDescent="0.3">
      <c r="F523" s="1"/>
    </row>
    <row r="524" spans="6:15" x14ac:dyDescent="0.3">
      <c r="F524" s="1"/>
    </row>
    <row r="525" spans="6:15" x14ac:dyDescent="0.3">
      <c r="F525" s="1"/>
    </row>
    <row r="526" spans="6:15" x14ac:dyDescent="0.3">
      <c r="F526" s="1"/>
      <c r="M526" s="1"/>
      <c r="N526" s="1"/>
      <c r="O526" s="1"/>
    </row>
    <row r="527" spans="6:15" x14ac:dyDescent="0.3">
      <c r="F527" s="1"/>
    </row>
    <row r="528" spans="6:15" x14ac:dyDescent="0.3">
      <c r="F528" s="1"/>
    </row>
    <row r="530" spans="6:13" x14ac:dyDescent="0.3">
      <c r="F530" s="1"/>
    </row>
    <row r="532" spans="6:13" x14ac:dyDescent="0.3">
      <c r="F532" s="1"/>
    </row>
    <row r="533" spans="6:13" x14ac:dyDescent="0.3">
      <c r="F533" s="1"/>
    </row>
    <row r="534" spans="6:13" x14ac:dyDescent="0.3">
      <c r="F534" s="1"/>
    </row>
    <row r="535" spans="6:13" x14ac:dyDescent="0.3">
      <c r="F535" s="1"/>
    </row>
    <row r="536" spans="6:13" x14ac:dyDescent="0.3">
      <c r="F536" s="1"/>
    </row>
    <row r="537" spans="6:13" x14ac:dyDescent="0.3">
      <c r="F537" s="1"/>
    </row>
    <row r="538" spans="6:13" x14ac:dyDescent="0.3">
      <c r="F538" s="1"/>
    </row>
    <row r="539" spans="6:13" x14ac:dyDescent="0.3">
      <c r="F539" s="1"/>
      <c r="L539" s="1"/>
      <c r="M539" s="1"/>
    </row>
    <row r="540" spans="6:13" x14ac:dyDescent="0.3">
      <c r="F540" s="1"/>
    </row>
    <row r="541" spans="6:13" x14ac:dyDescent="0.3">
      <c r="F541" s="1"/>
    </row>
    <row r="542" spans="6:13" x14ac:dyDescent="0.3">
      <c r="F542" s="1"/>
    </row>
    <row r="544" spans="6:13" x14ac:dyDescent="0.3">
      <c r="F544" s="1"/>
    </row>
    <row r="545" spans="6:15" x14ac:dyDescent="0.3">
      <c r="F545" s="1"/>
    </row>
    <row r="546" spans="6:15" x14ac:dyDescent="0.3">
      <c r="F546" s="1"/>
    </row>
    <row r="547" spans="6:15" x14ac:dyDescent="0.3">
      <c r="F547" s="1"/>
    </row>
    <row r="548" spans="6:15" x14ac:dyDescent="0.3">
      <c r="F548" s="1"/>
    </row>
    <row r="549" spans="6:15" x14ac:dyDescent="0.3">
      <c r="F549" s="1"/>
    </row>
    <row r="550" spans="6:15" x14ac:dyDescent="0.3">
      <c r="F550" s="1"/>
    </row>
    <row r="552" spans="6:15" x14ac:dyDescent="0.3">
      <c r="F552" s="1"/>
    </row>
    <row r="553" spans="6:15" x14ac:dyDescent="0.3">
      <c r="F553" s="1"/>
    </row>
    <row r="554" spans="6:15" x14ac:dyDescent="0.3">
      <c r="F554" s="1"/>
    </row>
    <row r="555" spans="6:15" x14ac:dyDescent="0.3">
      <c r="F555" s="1"/>
    </row>
    <row r="556" spans="6:15" x14ac:dyDescent="0.3">
      <c r="F556" s="1"/>
    </row>
    <row r="557" spans="6:15" x14ac:dyDescent="0.3">
      <c r="F557" s="1"/>
    </row>
    <row r="558" spans="6:15" x14ac:dyDescent="0.3">
      <c r="L558" s="1"/>
      <c r="O558" s="1"/>
    </row>
    <row r="559" spans="6:15" x14ac:dyDescent="0.3">
      <c r="F559" s="1"/>
    </row>
    <row r="560" spans="6:15" x14ac:dyDescent="0.3">
      <c r="F560" s="1"/>
      <c r="M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8" spans="6:14" x14ac:dyDescent="0.3">
      <c r="F578" s="1"/>
    </row>
    <row r="579" spans="6:14" x14ac:dyDescent="0.3">
      <c r="F579" s="1"/>
      <c r="N579" s="1"/>
    </row>
    <row r="580" spans="6:14" x14ac:dyDescent="0.3">
      <c r="F580" s="1"/>
    </row>
    <row r="581" spans="6:14" x14ac:dyDescent="0.3">
      <c r="F581" s="1"/>
    </row>
    <row r="582" spans="6:14" x14ac:dyDescent="0.3">
      <c r="F582" s="1"/>
    </row>
    <row r="583" spans="6:14" x14ac:dyDescent="0.3">
      <c r="F583" s="1"/>
    </row>
    <row r="584" spans="6:14" x14ac:dyDescent="0.3">
      <c r="F584" s="1"/>
    </row>
    <row r="585" spans="6:14" x14ac:dyDescent="0.3">
      <c r="F585" s="1"/>
    </row>
    <row r="587" spans="6:14" x14ac:dyDescent="0.3">
      <c r="F587" s="1"/>
    </row>
    <row r="588" spans="6:14" x14ac:dyDescent="0.3">
      <c r="F588" s="1"/>
    </row>
    <row r="589" spans="6:14" x14ac:dyDescent="0.3">
      <c r="F589" s="1"/>
    </row>
    <row r="590" spans="6:14" x14ac:dyDescent="0.3">
      <c r="F590" s="1"/>
    </row>
    <row r="591" spans="6:14" x14ac:dyDescent="0.3">
      <c r="F591" s="1"/>
    </row>
    <row r="592" spans="6:14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15" x14ac:dyDescent="0.3">
      <c r="F609" s="1"/>
    </row>
    <row r="610" spans="6:15" x14ac:dyDescent="0.3">
      <c r="F610" s="1"/>
    </row>
    <row r="611" spans="6:15" x14ac:dyDescent="0.3">
      <c r="M611" s="1"/>
      <c r="N611" s="1"/>
      <c r="O611" s="1"/>
    </row>
    <row r="612" spans="6:15" x14ac:dyDescent="0.3">
      <c r="F612" s="1"/>
    </row>
    <row r="613" spans="6:15" x14ac:dyDescent="0.3">
      <c r="F613" s="1"/>
    </row>
    <row r="614" spans="6:15" x14ac:dyDescent="0.3">
      <c r="F614" s="1"/>
    </row>
    <row r="615" spans="6:15" x14ac:dyDescent="0.3">
      <c r="F615" s="1"/>
    </row>
    <row r="616" spans="6:15" x14ac:dyDescent="0.3">
      <c r="F616" s="1"/>
    </row>
    <row r="617" spans="6:15" x14ac:dyDescent="0.3">
      <c r="F617" s="1"/>
      <c r="M617" s="1"/>
    </row>
    <row r="618" spans="6:15" x14ac:dyDescent="0.3">
      <c r="F618" s="1"/>
    </row>
    <row r="619" spans="6:15" x14ac:dyDescent="0.3">
      <c r="F619" s="1"/>
      <c r="L619" s="1"/>
    </row>
    <row r="620" spans="6:15" x14ac:dyDescent="0.3">
      <c r="F620" s="1"/>
    </row>
    <row r="621" spans="6:15" x14ac:dyDescent="0.3">
      <c r="F621" s="1"/>
      <c r="N621" s="1"/>
    </row>
    <row r="623" spans="6:15" x14ac:dyDescent="0.3">
      <c r="F623" s="1"/>
    </row>
    <row r="624" spans="6:15" x14ac:dyDescent="0.3">
      <c r="F624" s="1"/>
    </row>
    <row r="625" spans="6:14" x14ac:dyDescent="0.3">
      <c r="F625" s="1"/>
    </row>
    <row r="626" spans="6:14" x14ac:dyDescent="0.3">
      <c r="F626" s="1"/>
    </row>
    <row r="627" spans="6:14" x14ac:dyDescent="0.3">
      <c r="F627" s="1"/>
    </row>
    <row r="628" spans="6:14" x14ac:dyDescent="0.3">
      <c r="F628" s="1"/>
      <c r="L628" s="1"/>
    </row>
    <row r="629" spans="6:14" x14ac:dyDescent="0.3">
      <c r="F629" s="1"/>
    </row>
    <row r="630" spans="6:14" x14ac:dyDescent="0.3">
      <c r="F630" s="1"/>
      <c r="N630" s="1"/>
    </row>
    <row r="631" spans="6:14" x14ac:dyDescent="0.3">
      <c r="F631" s="1"/>
    </row>
    <row r="632" spans="6:14" x14ac:dyDescent="0.3">
      <c r="F632" s="1"/>
    </row>
    <row r="633" spans="6:14" x14ac:dyDescent="0.3">
      <c r="F633" s="1"/>
    </row>
    <row r="634" spans="6:14" x14ac:dyDescent="0.3">
      <c r="F634" s="1"/>
    </row>
    <row r="635" spans="6:14" x14ac:dyDescent="0.3">
      <c r="F635" s="1"/>
    </row>
    <row r="636" spans="6:14" x14ac:dyDescent="0.3">
      <c r="F636" s="1"/>
    </row>
    <row r="637" spans="6:14" x14ac:dyDescent="0.3">
      <c r="F637" s="1"/>
    </row>
    <row r="638" spans="6:14" x14ac:dyDescent="0.3">
      <c r="F638" s="1"/>
    </row>
    <row r="640" spans="6:14" x14ac:dyDescent="0.3">
      <c r="F640" s="1"/>
    </row>
    <row r="641" spans="6:15" x14ac:dyDescent="0.3">
      <c r="F641" s="1"/>
    </row>
    <row r="642" spans="6:15" x14ac:dyDescent="0.3">
      <c r="F642" s="1"/>
    </row>
    <row r="643" spans="6:15" x14ac:dyDescent="0.3">
      <c r="M643" s="1"/>
    </row>
    <row r="644" spans="6:15" x14ac:dyDescent="0.3">
      <c r="F644" s="1"/>
    </row>
    <row r="645" spans="6:15" x14ac:dyDescent="0.3">
      <c r="F645" s="1"/>
    </row>
    <row r="646" spans="6:15" x14ac:dyDescent="0.3">
      <c r="L646" s="1"/>
      <c r="N646" s="1"/>
      <c r="O646" s="1"/>
    </row>
    <row r="647" spans="6:15" x14ac:dyDescent="0.3">
      <c r="F647" s="1"/>
    </row>
    <row r="648" spans="6:15" x14ac:dyDescent="0.3">
      <c r="F648" s="1"/>
    </row>
    <row r="649" spans="6:15" x14ac:dyDescent="0.3">
      <c r="F649" s="1"/>
    </row>
    <row r="650" spans="6:15" x14ac:dyDescent="0.3">
      <c r="F650" s="1"/>
    </row>
    <row r="652" spans="6:15" x14ac:dyDescent="0.3">
      <c r="F652" s="1"/>
    </row>
    <row r="654" spans="6:15" x14ac:dyDescent="0.3">
      <c r="F654" s="1"/>
    </row>
    <row r="655" spans="6:15" x14ac:dyDescent="0.3">
      <c r="F655" s="1"/>
    </row>
    <row r="656" spans="6:15" x14ac:dyDescent="0.3">
      <c r="F656" s="1"/>
    </row>
    <row r="657" spans="6:15" x14ac:dyDescent="0.3">
      <c r="F657" s="1"/>
    </row>
    <row r="658" spans="6:15" x14ac:dyDescent="0.3">
      <c r="F658" s="1"/>
    </row>
    <row r="659" spans="6:15" x14ac:dyDescent="0.3">
      <c r="F659" s="1"/>
    </row>
    <row r="660" spans="6:15" x14ac:dyDescent="0.3">
      <c r="F660" s="1"/>
    </row>
    <row r="661" spans="6:15" x14ac:dyDescent="0.3">
      <c r="L661" s="1"/>
      <c r="M661" s="1"/>
      <c r="O661" s="1"/>
    </row>
    <row r="662" spans="6:15" x14ac:dyDescent="0.3">
      <c r="F662" s="1"/>
    </row>
    <row r="663" spans="6:15" x14ac:dyDescent="0.3">
      <c r="F663" s="1"/>
    </row>
    <row r="664" spans="6:15" x14ac:dyDescent="0.3">
      <c r="F664" s="1"/>
    </row>
    <row r="665" spans="6:15" x14ac:dyDescent="0.3">
      <c r="F665" s="1"/>
    </row>
    <row r="666" spans="6:15" x14ac:dyDescent="0.3">
      <c r="F666" s="1"/>
    </row>
    <row r="668" spans="6:15" x14ac:dyDescent="0.3">
      <c r="F668" s="1"/>
    </row>
    <row r="669" spans="6:15" x14ac:dyDescent="0.3">
      <c r="F669" s="1"/>
      <c r="M669" s="1"/>
    </row>
    <row r="670" spans="6:15" x14ac:dyDescent="0.3">
      <c r="F670" s="1"/>
      <c r="L670" s="1"/>
      <c r="M670" s="1"/>
      <c r="N670" s="1"/>
      <c r="O670" s="1"/>
    </row>
    <row r="671" spans="6:15" x14ac:dyDescent="0.3">
      <c r="F671" s="1"/>
    </row>
    <row r="672" spans="6:15" x14ac:dyDescent="0.3">
      <c r="F672" s="1"/>
    </row>
    <row r="673" spans="6:13" x14ac:dyDescent="0.3">
      <c r="F673" s="1"/>
    </row>
    <row r="674" spans="6:13" x14ac:dyDescent="0.3">
      <c r="F674" s="1"/>
    </row>
    <row r="675" spans="6:13" x14ac:dyDescent="0.3">
      <c r="L675" s="1"/>
    </row>
    <row r="676" spans="6:13" x14ac:dyDescent="0.3">
      <c r="F676" s="1"/>
    </row>
    <row r="677" spans="6:13" x14ac:dyDescent="0.3">
      <c r="F677" s="1"/>
    </row>
    <row r="678" spans="6:13" x14ac:dyDescent="0.3">
      <c r="F678" s="1"/>
    </row>
    <row r="679" spans="6:13" x14ac:dyDescent="0.3">
      <c r="F679" s="1"/>
    </row>
    <row r="680" spans="6:13" x14ac:dyDescent="0.3">
      <c r="F680" s="1"/>
    </row>
    <row r="682" spans="6:13" x14ac:dyDescent="0.3">
      <c r="M682" s="1"/>
    </row>
    <row r="683" spans="6:13" x14ac:dyDescent="0.3">
      <c r="F683" s="1"/>
    </row>
    <row r="684" spans="6:13" x14ac:dyDescent="0.3">
      <c r="F684" s="1"/>
    </row>
    <row r="685" spans="6:13" x14ac:dyDescent="0.3">
      <c r="F685" s="1"/>
    </row>
    <row r="686" spans="6:13" x14ac:dyDescent="0.3">
      <c r="F686" s="1"/>
    </row>
    <row r="687" spans="6:13" x14ac:dyDescent="0.3">
      <c r="F687" s="1"/>
    </row>
    <row r="688" spans="6:13" x14ac:dyDescent="0.3">
      <c r="F688" s="1"/>
    </row>
    <row r="689" spans="6:14" x14ac:dyDescent="0.3">
      <c r="F689" s="1"/>
    </row>
    <row r="690" spans="6:14" x14ac:dyDescent="0.3">
      <c r="F690" s="1"/>
    </row>
    <row r="691" spans="6:14" x14ac:dyDescent="0.3">
      <c r="F691" s="1"/>
    </row>
    <row r="692" spans="6:14" x14ac:dyDescent="0.3">
      <c r="F692" s="1"/>
    </row>
    <row r="693" spans="6:14" x14ac:dyDescent="0.3">
      <c r="F693" s="1"/>
    </row>
    <row r="694" spans="6:14" x14ac:dyDescent="0.3">
      <c r="F694" s="1"/>
    </row>
    <row r="695" spans="6:14" x14ac:dyDescent="0.3">
      <c r="F695" s="1"/>
      <c r="N695" s="1"/>
    </row>
    <row r="696" spans="6:14" x14ac:dyDescent="0.3">
      <c r="F696" s="1"/>
    </row>
    <row r="697" spans="6:14" x14ac:dyDescent="0.3">
      <c r="F697" s="1"/>
    </row>
    <row r="698" spans="6:14" x14ac:dyDescent="0.3">
      <c r="F698" s="1"/>
    </row>
    <row r="699" spans="6:14" x14ac:dyDescent="0.3">
      <c r="F699" s="1"/>
    </row>
    <row r="700" spans="6:14" x14ac:dyDescent="0.3">
      <c r="F700" s="1"/>
    </row>
    <row r="701" spans="6:14" x14ac:dyDescent="0.3">
      <c r="F701" s="1"/>
    </row>
    <row r="702" spans="6:14" x14ac:dyDescent="0.3">
      <c r="F702" s="1"/>
    </row>
    <row r="703" spans="6:14" x14ac:dyDescent="0.3">
      <c r="F703" s="1"/>
    </row>
    <row r="704" spans="6:14" x14ac:dyDescent="0.3">
      <c r="F704" s="1"/>
      <c r="M704" s="1"/>
      <c r="N704" s="1"/>
    </row>
    <row r="705" spans="6:15" x14ac:dyDescent="0.3">
      <c r="F705" s="1"/>
    </row>
    <row r="706" spans="6:15" x14ac:dyDescent="0.3">
      <c r="F706" s="1"/>
      <c r="M706" s="1"/>
      <c r="N706" s="1"/>
    </row>
    <row r="707" spans="6:15" x14ac:dyDescent="0.3">
      <c r="F707" s="1"/>
    </row>
    <row r="708" spans="6:15" x14ac:dyDescent="0.3">
      <c r="F708" s="1"/>
    </row>
    <row r="710" spans="6:15" x14ac:dyDescent="0.3">
      <c r="F710" s="1"/>
    </row>
    <row r="711" spans="6:15" x14ac:dyDescent="0.3">
      <c r="F711" s="1"/>
    </row>
    <row r="712" spans="6:15" x14ac:dyDescent="0.3">
      <c r="F712" s="1"/>
    </row>
    <row r="714" spans="6:15" x14ac:dyDescent="0.3">
      <c r="F714" s="1"/>
    </row>
    <row r="715" spans="6:15" x14ac:dyDescent="0.3">
      <c r="F715" s="1"/>
    </row>
    <row r="716" spans="6:15" x14ac:dyDescent="0.3">
      <c r="F716" s="1"/>
    </row>
    <row r="718" spans="6:15" x14ac:dyDescent="0.3">
      <c r="F718" s="1"/>
    </row>
    <row r="720" spans="6:15" x14ac:dyDescent="0.3">
      <c r="F720" s="1"/>
      <c r="L720" s="1"/>
      <c r="N720" s="1"/>
      <c r="O720" s="1"/>
    </row>
    <row r="721" spans="6:14" x14ac:dyDescent="0.3">
      <c r="F721" s="1"/>
    </row>
    <row r="722" spans="6:14" x14ac:dyDescent="0.3">
      <c r="F722" s="1"/>
    </row>
    <row r="726" spans="6:14" x14ac:dyDescent="0.3">
      <c r="F726" s="1"/>
    </row>
    <row r="727" spans="6:14" x14ac:dyDescent="0.3">
      <c r="F727" s="1"/>
    </row>
    <row r="728" spans="6:14" x14ac:dyDescent="0.3">
      <c r="F728" s="1"/>
    </row>
    <row r="729" spans="6:14" x14ac:dyDescent="0.3">
      <c r="F729" s="1"/>
    </row>
    <row r="730" spans="6:14" x14ac:dyDescent="0.3">
      <c r="F730" s="1"/>
    </row>
    <row r="731" spans="6:14" x14ac:dyDescent="0.3">
      <c r="F731" s="1"/>
    </row>
    <row r="732" spans="6:14" x14ac:dyDescent="0.3">
      <c r="F732" s="1"/>
    </row>
    <row r="733" spans="6:14" x14ac:dyDescent="0.3">
      <c r="F733" s="1"/>
    </row>
    <row r="734" spans="6:14" x14ac:dyDescent="0.3">
      <c r="F734" s="1"/>
    </row>
    <row r="735" spans="6:14" x14ac:dyDescent="0.3">
      <c r="F735" s="1"/>
      <c r="N735" s="1"/>
    </row>
    <row r="736" spans="6:14" x14ac:dyDescent="0.3">
      <c r="F736" s="1"/>
    </row>
    <row r="738" spans="6:14" x14ac:dyDescent="0.3">
      <c r="F738" s="1"/>
      <c r="N738" s="1"/>
    </row>
    <row r="739" spans="6:14" x14ac:dyDescent="0.3">
      <c r="F739" s="1"/>
    </row>
    <row r="740" spans="6:14" x14ac:dyDescent="0.3">
      <c r="F740" s="1"/>
    </row>
    <row r="741" spans="6:14" x14ac:dyDescent="0.3">
      <c r="F741" s="1"/>
    </row>
    <row r="742" spans="6:14" x14ac:dyDescent="0.3">
      <c r="F742" s="1"/>
    </row>
    <row r="743" spans="6:14" x14ac:dyDescent="0.3">
      <c r="F743" s="1"/>
    </row>
    <row r="744" spans="6:14" x14ac:dyDescent="0.3">
      <c r="F744" s="1"/>
    </row>
    <row r="745" spans="6:14" x14ac:dyDescent="0.3">
      <c r="F745" s="1"/>
    </row>
    <row r="746" spans="6:14" x14ac:dyDescent="0.3">
      <c r="F746" s="1"/>
    </row>
    <row r="747" spans="6:14" x14ac:dyDescent="0.3">
      <c r="F747" s="1"/>
    </row>
    <row r="748" spans="6:14" x14ac:dyDescent="0.3">
      <c r="F748" s="1"/>
    </row>
    <row r="749" spans="6:14" x14ac:dyDescent="0.3">
      <c r="F749" s="1"/>
    </row>
    <row r="750" spans="6:14" x14ac:dyDescent="0.3">
      <c r="F750" s="1"/>
    </row>
    <row r="751" spans="6:14" x14ac:dyDescent="0.3">
      <c r="F751" s="1"/>
    </row>
    <row r="753" spans="6:14" x14ac:dyDescent="0.3">
      <c r="F753" s="1"/>
    </row>
    <row r="754" spans="6:14" x14ac:dyDescent="0.3">
      <c r="F754" s="1"/>
      <c r="N754" s="1"/>
    </row>
    <row r="756" spans="6:14" x14ac:dyDescent="0.3">
      <c r="M756" s="1"/>
      <c r="N756" s="1"/>
    </row>
    <row r="757" spans="6:14" x14ac:dyDescent="0.3">
      <c r="F757" s="1"/>
      <c r="L757" s="1"/>
    </row>
    <row r="758" spans="6:14" x14ac:dyDescent="0.3">
      <c r="F758" s="1"/>
    </row>
    <row r="759" spans="6:14" x14ac:dyDescent="0.3">
      <c r="F759" s="1"/>
    </row>
    <row r="760" spans="6:14" x14ac:dyDescent="0.3">
      <c r="F760" s="1"/>
    </row>
    <row r="761" spans="6:14" x14ac:dyDescent="0.3">
      <c r="F761" s="1"/>
    </row>
    <row r="762" spans="6:14" x14ac:dyDescent="0.3">
      <c r="F762" s="1"/>
    </row>
    <row r="763" spans="6:14" x14ac:dyDescent="0.3">
      <c r="F763" s="1"/>
    </row>
    <row r="764" spans="6:14" x14ac:dyDescent="0.3">
      <c r="F764" s="1"/>
      <c r="L764" s="1"/>
    </row>
    <row r="766" spans="6:14" x14ac:dyDescent="0.3">
      <c r="F766" s="1"/>
    </row>
    <row r="767" spans="6:14" x14ac:dyDescent="0.3">
      <c r="F767" s="1"/>
    </row>
    <row r="768" spans="6:14" x14ac:dyDescent="0.3">
      <c r="F768" s="1"/>
    </row>
    <row r="769" spans="6:15" x14ac:dyDescent="0.3">
      <c r="F769" s="1"/>
    </row>
    <row r="770" spans="6:15" x14ac:dyDescent="0.3">
      <c r="F770" s="1"/>
      <c r="M770" s="1"/>
    </row>
    <row r="772" spans="6:15" x14ac:dyDescent="0.3">
      <c r="F772" s="1"/>
      <c r="M772" s="1"/>
      <c r="N772" s="1"/>
    </row>
    <row r="773" spans="6:15" x14ac:dyDescent="0.3">
      <c r="F773" s="1"/>
    </row>
    <row r="774" spans="6:15" x14ac:dyDescent="0.3">
      <c r="F774" s="1"/>
      <c r="L774" s="1"/>
      <c r="O774" s="1"/>
    </row>
    <row r="775" spans="6:15" x14ac:dyDescent="0.3">
      <c r="F775" s="1"/>
    </row>
    <row r="776" spans="6:15" x14ac:dyDescent="0.3">
      <c r="F776" s="1"/>
    </row>
    <row r="777" spans="6:15" x14ac:dyDescent="0.3">
      <c r="F777" s="1"/>
    </row>
    <row r="778" spans="6:15" x14ac:dyDescent="0.3">
      <c r="F778" s="1"/>
      <c r="L778" s="1"/>
    </row>
    <row r="779" spans="6:15" x14ac:dyDescent="0.3">
      <c r="F779" s="1"/>
    </row>
    <row r="780" spans="6:15" x14ac:dyDescent="0.3">
      <c r="F780" s="1"/>
    </row>
    <row r="781" spans="6:15" x14ac:dyDescent="0.3">
      <c r="L781" s="1"/>
    </row>
    <row r="782" spans="6:15" x14ac:dyDescent="0.3">
      <c r="F782" s="1"/>
    </row>
    <row r="784" spans="6:15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20" spans="6:6" x14ac:dyDescent="0.3">
      <c r="F820" s="1"/>
    </row>
    <row r="822" spans="6:6" x14ac:dyDescent="0.3">
      <c r="F822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31" spans="6:6" x14ac:dyDescent="0.3">
      <c r="F831" s="1"/>
    </row>
    <row r="832" spans="6:6" x14ac:dyDescent="0.3">
      <c r="F832" s="1"/>
    </row>
    <row r="833" spans="6:14" x14ac:dyDescent="0.3">
      <c r="F833" s="1"/>
    </row>
    <row r="835" spans="6:14" x14ac:dyDescent="0.3">
      <c r="F835" s="1"/>
    </row>
    <row r="836" spans="6:14" x14ac:dyDescent="0.3">
      <c r="F836" s="1"/>
    </row>
    <row r="837" spans="6:14" x14ac:dyDescent="0.3">
      <c r="F837" s="1"/>
    </row>
    <row r="838" spans="6:14" x14ac:dyDescent="0.3">
      <c r="F838" s="1"/>
    </row>
    <row r="839" spans="6:14" x14ac:dyDescent="0.3">
      <c r="F839" s="1"/>
      <c r="N839" s="1"/>
    </row>
    <row r="841" spans="6:14" x14ac:dyDescent="0.3">
      <c r="F841" s="1"/>
    </row>
    <row r="842" spans="6:14" x14ac:dyDescent="0.3">
      <c r="F842" s="1"/>
    </row>
    <row r="843" spans="6:14" x14ac:dyDescent="0.3">
      <c r="L843" s="1"/>
    </row>
    <row r="844" spans="6:14" x14ac:dyDescent="0.3">
      <c r="F844" s="1"/>
    </row>
    <row r="845" spans="6:14" x14ac:dyDescent="0.3">
      <c r="F845" s="1"/>
      <c r="M845" s="1"/>
    </row>
    <row r="846" spans="6:14" x14ac:dyDescent="0.3">
      <c r="F846" s="1"/>
    </row>
    <row r="848" spans="6:14" x14ac:dyDescent="0.3">
      <c r="F848" s="1"/>
    </row>
    <row r="849" spans="6:14" x14ac:dyDescent="0.3">
      <c r="F849" s="1"/>
    </row>
    <row r="850" spans="6:14" x14ac:dyDescent="0.3">
      <c r="F850" s="1"/>
    </row>
    <row r="851" spans="6:14" x14ac:dyDescent="0.3">
      <c r="F851" s="1"/>
    </row>
    <row r="853" spans="6:14" x14ac:dyDescent="0.3">
      <c r="F853" s="1"/>
    </row>
    <row r="854" spans="6:14" x14ac:dyDescent="0.3">
      <c r="F854" s="1"/>
    </row>
    <row r="855" spans="6:14" x14ac:dyDescent="0.3">
      <c r="F855" s="1"/>
    </row>
    <row r="856" spans="6:14" x14ac:dyDescent="0.3">
      <c r="F856" s="1"/>
      <c r="L856" s="1"/>
      <c r="N856" s="1"/>
    </row>
    <row r="857" spans="6:14" x14ac:dyDescent="0.3">
      <c r="F857" s="1"/>
    </row>
    <row r="858" spans="6:14" x14ac:dyDescent="0.3">
      <c r="F858" s="1"/>
    </row>
    <row r="860" spans="6:14" x14ac:dyDescent="0.3">
      <c r="F860" s="1"/>
    </row>
    <row r="861" spans="6:14" x14ac:dyDescent="0.3">
      <c r="F861" s="1"/>
    </row>
    <row r="863" spans="6:14" x14ac:dyDescent="0.3">
      <c r="F863" s="1"/>
    </row>
    <row r="864" spans="6:14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2" spans="6:15" x14ac:dyDescent="0.3">
      <c r="F882" s="1"/>
    </row>
    <row r="884" spans="6:15" x14ac:dyDescent="0.3">
      <c r="F884" s="1"/>
      <c r="M884" s="1"/>
      <c r="N884" s="1"/>
    </row>
    <row r="885" spans="6:15" x14ac:dyDescent="0.3">
      <c r="F885" s="1"/>
    </row>
    <row r="886" spans="6:15" x14ac:dyDescent="0.3">
      <c r="F886" s="1"/>
    </row>
    <row r="887" spans="6:15" x14ac:dyDescent="0.3">
      <c r="F887" s="1"/>
    </row>
    <row r="888" spans="6:15" x14ac:dyDescent="0.3">
      <c r="F888" s="1"/>
    </row>
    <row r="890" spans="6:15" x14ac:dyDescent="0.3">
      <c r="F890" s="1"/>
    </row>
    <row r="891" spans="6:15" x14ac:dyDescent="0.3">
      <c r="F891" s="1"/>
    </row>
    <row r="892" spans="6:15" x14ac:dyDescent="0.3">
      <c r="F892" s="1"/>
    </row>
    <row r="893" spans="6:15" x14ac:dyDescent="0.3">
      <c r="F893" s="1"/>
    </row>
    <row r="894" spans="6:15" x14ac:dyDescent="0.3">
      <c r="F894" s="1"/>
    </row>
    <row r="895" spans="6:15" x14ac:dyDescent="0.3">
      <c r="M895" s="1"/>
      <c r="N895" s="1"/>
      <c r="O895" s="1"/>
    </row>
    <row r="896" spans="6:15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14" x14ac:dyDescent="0.3">
      <c r="F913" s="1"/>
    </row>
    <row r="914" spans="6:14" x14ac:dyDescent="0.3">
      <c r="F914" s="1"/>
    </row>
    <row r="915" spans="6:14" x14ac:dyDescent="0.3">
      <c r="M915" s="1"/>
    </row>
    <row r="917" spans="6:14" x14ac:dyDescent="0.3">
      <c r="F917" s="1"/>
    </row>
    <row r="918" spans="6:14" x14ac:dyDescent="0.3">
      <c r="L918" s="1"/>
      <c r="N918" s="1"/>
    </row>
    <row r="919" spans="6:14" x14ac:dyDescent="0.3">
      <c r="F919" s="1"/>
    </row>
    <row r="920" spans="6:14" x14ac:dyDescent="0.3">
      <c r="F920" s="1"/>
    </row>
    <row r="921" spans="6:14" x14ac:dyDescent="0.3">
      <c r="F921" s="1"/>
    </row>
    <row r="922" spans="6:14" x14ac:dyDescent="0.3">
      <c r="F922" s="1"/>
    </row>
    <row r="924" spans="6:14" x14ac:dyDescent="0.3">
      <c r="F924" s="1"/>
    </row>
    <row r="925" spans="6:14" x14ac:dyDescent="0.3">
      <c r="F925" s="1"/>
    </row>
    <row r="926" spans="6:14" x14ac:dyDescent="0.3">
      <c r="F926" s="1"/>
    </row>
    <row r="927" spans="6:14" x14ac:dyDescent="0.3">
      <c r="F927" s="1"/>
    </row>
    <row r="928" spans="6:14" x14ac:dyDescent="0.3">
      <c r="F928" s="1"/>
    </row>
    <row r="929" spans="6:14" x14ac:dyDescent="0.3">
      <c r="F929" s="1"/>
    </row>
    <row r="931" spans="6:14" x14ac:dyDescent="0.3">
      <c r="F931" s="1"/>
    </row>
    <row r="932" spans="6:14" x14ac:dyDescent="0.3">
      <c r="F932" s="1"/>
    </row>
    <row r="933" spans="6:14" x14ac:dyDescent="0.3">
      <c r="F933" s="1"/>
    </row>
    <row r="934" spans="6:14" x14ac:dyDescent="0.3">
      <c r="F934" s="1"/>
    </row>
    <row r="935" spans="6:14" x14ac:dyDescent="0.3">
      <c r="F935" s="1"/>
    </row>
    <row r="936" spans="6:14" x14ac:dyDescent="0.3">
      <c r="F936" s="1"/>
    </row>
    <row r="937" spans="6:14" x14ac:dyDescent="0.3">
      <c r="F937" s="1"/>
    </row>
    <row r="938" spans="6:14" x14ac:dyDescent="0.3">
      <c r="F938" s="1"/>
      <c r="L938" s="1"/>
      <c r="M938" s="1"/>
      <c r="N938" s="1"/>
    </row>
    <row r="939" spans="6:14" x14ac:dyDescent="0.3">
      <c r="F939" s="1"/>
    </row>
    <row r="940" spans="6:14" x14ac:dyDescent="0.3">
      <c r="F940" s="1"/>
    </row>
    <row r="941" spans="6:14" x14ac:dyDescent="0.3">
      <c r="F941" s="1"/>
    </row>
    <row r="942" spans="6:14" x14ac:dyDescent="0.3">
      <c r="F942" s="1"/>
    </row>
    <row r="943" spans="6:14" x14ac:dyDescent="0.3">
      <c r="F943" s="1"/>
    </row>
    <row r="944" spans="6:14" x14ac:dyDescent="0.3">
      <c r="F944" s="1"/>
    </row>
    <row r="945" spans="6:6" x14ac:dyDescent="0.3">
      <c r="F945" s="1"/>
    </row>
    <row r="946" spans="6:6" x14ac:dyDescent="0.3">
      <c r="F946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14" x14ac:dyDescent="0.3">
      <c r="F961" s="1"/>
    </row>
    <row r="962" spans="6:14" x14ac:dyDescent="0.3">
      <c r="F962" s="1"/>
      <c r="N962" s="1"/>
    </row>
    <row r="963" spans="6:14" x14ac:dyDescent="0.3">
      <c r="F963" s="1"/>
      <c r="N963" s="1"/>
    </row>
    <row r="964" spans="6:14" x14ac:dyDescent="0.3">
      <c r="F964" s="1"/>
    </row>
    <row r="965" spans="6:14" x14ac:dyDescent="0.3">
      <c r="F965" s="1"/>
    </row>
    <row r="966" spans="6:14" x14ac:dyDescent="0.3">
      <c r="F966" s="1"/>
    </row>
    <row r="967" spans="6:14" x14ac:dyDescent="0.3">
      <c r="F967" s="1"/>
    </row>
    <row r="968" spans="6:14" x14ac:dyDescent="0.3">
      <c r="F968" s="1"/>
    </row>
    <row r="969" spans="6:14" x14ac:dyDescent="0.3">
      <c r="N969" s="1"/>
    </row>
    <row r="970" spans="6:14" x14ac:dyDescent="0.3">
      <c r="F970" s="1"/>
    </row>
    <row r="971" spans="6:14" x14ac:dyDescent="0.3">
      <c r="F971" s="1"/>
    </row>
    <row r="972" spans="6:14" x14ac:dyDescent="0.3">
      <c r="F972" s="1"/>
    </row>
    <row r="973" spans="6:14" x14ac:dyDescent="0.3">
      <c r="F973" s="1"/>
    </row>
    <row r="975" spans="6:14" x14ac:dyDescent="0.3">
      <c r="F975" s="1"/>
    </row>
    <row r="976" spans="6:14" x14ac:dyDescent="0.3">
      <c r="F976" s="1"/>
    </row>
    <row r="977" spans="6:15" x14ac:dyDescent="0.3">
      <c r="F977" s="1"/>
    </row>
    <row r="978" spans="6:15" x14ac:dyDescent="0.3">
      <c r="F978" s="1"/>
    </row>
    <row r="979" spans="6:15" x14ac:dyDescent="0.3">
      <c r="M979" s="1"/>
    </row>
    <row r="980" spans="6:15" x14ac:dyDescent="0.3">
      <c r="F980" s="1"/>
    </row>
    <row r="981" spans="6:15" x14ac:dyDescent="0.3">
      <c r="F981" s="1"/>
    </row>
    <row r="983" spans="6:15" x14ac:dyDescent="0.3">
      <c r="F983" s="1"/>
    </row>
    <row r="984" spans="6:15" x14ac:dyDescent="0.3">
      <c r="F984" s="1"/>
    </row>
    <row r="985" spans="6:15" x14ac:dyDescent="0.3">
      <c r="F985" s="1"/>
    </row>
    <row r="986" spans="6:15" x14ac:dyDescent="0.3">
      <c r="F986" s="1"/>
    </row>
    <row r="987" spans="6:15" x14ac:dyDescent="0.3">
      <c r="F987" s="1"/>
      <c r="L987" s="1"/>
      <c r="M987" s="1"/>
      <c r="N987" s="1"/>
      <c r="O987" s="1"/>
    </row>
    <row r="988" spans="6:15" x14ac:dyDescent="0.3">
      <c r="F988" s="1"/>
    </row>
    <row r="989" spans="6:15" x14ac:dyDescent="0.3">
      <c r="F989" s="1"/>
    </row>
    <row r="990" spans="6:15" x14ac:dyDescent="0.3">
      <c r="F990" s="1"/>
    </row>
    <row r="991" spans="6:15" x14ac:dyDescent="0.3">
      <c r="F991" s="1"/>
    </row>
    <row r="992" spans="6:15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14" x14ac:dyDescent="0.3">
      <c r="F1009" s="1"/>
    </row>
    <row r="1010" spans="6:14" x14ac:dyDescent="0.3">
      <c r="F1010" s="1"/>
    </row>
    <row r="1012" spans="6:14" x14ac:dyDescent="0.3">
      <c r="F1012" s="1"/>
    </row>
    <row r="1013" spans="6:14" x14ac:dyDescent="0.3">
      <c r="F1013" s="1"/>
    </row>
    <row r="1015" spans="6:14" x14ac:dyDescent="0.3">
      <c r="F1015" s="1"/>
      <c r="L1015" s="1"/>
    </row>
    <row r="1016" spans="6:14" x14ac:dyDescent="0.3">
      <c r="F1016" s="1"/>
    </row>
    <row r="1017" spans="6:14" x14ac:dyDescent="0.3">
      <c r="M1017" s="1"/>
      <c r="N1017" s="1"/>
    </row>
    <row r="1018" spans="6:14" x14ac:dyDescent="0.3">
      <c r="F1018" s="1"/>
    </row>
    <row r="1019" spans="6:14" x14ac:dyDescent="0.3">
      <c r="F1019" s="1"/>
    </row>
    <row r="1020" spans="6:14" x14ac:dyDescent="0.3">
      <c r="F1020" s="1"/>
    </row>
    <row r="1021" spans="6:14" x14ac:dyDescent="0.3">
      <c r="F1021" s="1"/>
      <c r="L1021" s="1"/>
      <c r="M1021" s="1"/>
    </row>
    <row r="1022" spans="6:14" x14ac:dyDescent="0.3">
      <c r="F1022" s="1"/>
    </row>
    <row r="1023" spans="6:14" x14ac:dyDescent="0.3">
      <c r="F1023" s="1"/>
    </row>
    <row r="1024" spans="6:14" x14ac:dyDescent="0.3">
      <c r="F1024" s="1"/>
    </row>
    <row r="1025" spans="6:14" x14ac:dyDescent="0.3">
      <c r="F1025" s="1"/>
    </row>
    <row r="1026" spans="6:14" x14ac:dyDescent="0.3">
      <c r="F1026" s="1"/>
    </row>
    <row r="1028" spans="6:14" x14ac:dyDescent="0.3">
      <c r="F1028" s="1"/>
    </row>
    <row r="1029" spans="6:14" x14ac:dyDescent="0.3">
      <c r="F1029" s="1"/>
    </row>
    <row r="1031" spans="6:14" x14ac:dyDescent="0.3">
      <c r="F1031" s="1"/>
    </row>
    <row r="1033" spans="6:14" x14ac:dyDescent="0.3">
      <c r="F1033" s="1"/>
    </row>
    <row r="1034" spans="6:14" x14ac:dyDescent="0.3">
      <c r="F1034" s="1"/>
    </row>
    <row r="1035" spans="6:14" x14ac:dyDescent="0.3">
      <c r="F1035" s="1"/>
    </row>
    <row r="1036" spans="6:14" x14ac:dyDescent="0.3">
      <c r="F1036" s="1"/>
    </row>
    <row r="1037" spans="6:14" x14ac:dyDescent="0.3">
      <c r="F1037" s="1"/>
    </row>
    <row r="1038" spans="6:14" x14ac:dyDescent="0.3">
      <c r="M1038" s="1"/>
      <c r="N1038" s="1"/>
    </row>
    <row r="1039" spans="6:14" x14ac:dyDescent="0.3">
      <c r="F1039" s="1"/>
      <c r="M1039" s="1"/>
    </row>
    <row r="1042" spans="6:15" x14ac:dyDescent="0.3">
      <c r="F1042" s="1"/>
    </row>
    <row r="1043" spans="6:15" x14ac:dyDescent="0.3">
      <c r="F1043" s="1"/>
    </row>
    <row r="1044" spans="6:15" x14ac:dyDescent="0.3">
      <c r="N1044" s="1"/>
    </row>
    <row r="1045" spans="6:15" x14ac:dyDescent="0.3">
      <c r="F1045" s="1"/>
    </row>
    <row r="1046" spans="6:15" x14ac:dyDescent="0.3">
      <c r="F1046" s="1"/>
    </row>
    <row r="1047" spans="6:15" x14ac:dyDescent="0.3">
      <c r="F1047" s="1"/>
    </row>
    <row r="1048" spans="6:15" x14ac:dyDescent="0.3">
      <c r="L1048" s="1"/>
      <c r="M1048" s="1"/>
    </row>
    <row r="1049" spans="6:15" x14ac:dyDescent="0.3">
      <c r="F1049" s="1"/>
    </row>
    <row r="1052" spans="6:15" x14ac:dyDescent="0.3">
      <c r="M1052" s="1"/>
      <c r="O1052" s="1"/>
    </row>
    <row r="1053" spans="6:15" x14ac:dyDescent="0.3">
      <c r="F1053" s="1"/>
    </row>
    <row r="1054" spans="6:15" x14ac:dyDescent="0.3">
      <c r="F1054" s="1"/>
    </row>
    <row r="1055" spans="6:15" x14ac:dyDescent="0.3">
      <c r="F1055" s="1"/>
    </row>
    <row r="1056" spans="6:15" x14ac:dyDescent="0.3">
      <c r="F1056" s="1"/>
    </row>
    <row r="1057" spans="6:14" x14ac:dyDescent="0.3">
      <c r="F1057" s="1"/>
    </row>
    <row r="1059" spans="6:14" x14ac:dyDescent="0.3">
      <c r="F1059" s="1"/>
    </row>
    <row r="1060" spans="6:14" x14ac:dyDescent="0.3">
      <c r="F1060" s="1"/>
    </row>
    <row r="1061" spans="6:14" x14ac:dyDescent="0.3">
      <c r="F1061" s="1"/>
    </row>
    <row r="1062" spans="6:14" x14ac:dyDescent="0.3">
      <c r="F1062" s="1"/>
    </row>
    <row r="1063" spans="6:14" x14ac:dyDescent="0.3">
      <c r="F1063" s="1"/>
    </row>
    <row r="1064" spans="6:14" x14ac:dyDescent="0.3">
      <c r="F1064" s="1"/>
    </row>
    <row r="1066" spans="6:14" x14ac:dyDescent="0.3">
      <c r="F1066" s="1"/>
    </row>
    <row r="1067" spans="6:14" x14ac:dyDescent="0.3">
      <c r="F1067" s="1"/>
    </row>
    <row r="1068" spans="6:14" x14ac:dyDescent="0.3">
      <c r="F1068" s="1"/>
    </row>
    <row r="1069" spans="6:14" x14ac:dyDescent="0.3">
      <c r="F1069" s="1"/>
    </row>
    <row r="1070" spans="6:14" x14ac:dyDescent="0.3">
      <c r="F1070" s="1"/>
      <c r="N1070" s="1"/>
    </row>
    <row r="1071" spans="6:14" x14ac:dyDescent="0.3">
      <c r="F1071" s="1"/>
    </row>
    <row r="1072" spans="6:14" x14ac:dyDescent="0.3">
      <c r="F1072" s="1"/>
    </row>
    <row r="1073" spans="6:15" x14ac:dyDescent="0.3">
      <c r="F1073" s="1"/>
    </row>
    <row r="1075" spans="6:15" x14ac:dyDescent="0.3">
      <c r="F1075" s="1"/>
    </row>
    <row r="1076" spans="6:15" x14ac:dyDescent="0.3">
      <c r="F1076" s="1"/>
    </row>
    <row r="1077" spans="6:15" x14ac:dyDescent="0.3">
      <c r="F1077" s="1"/>
    </row>
    <row r="1078" spans="6:15" x14ac:dyDescent="0.3">
      <c r="F1078" s="1"/>
    </row>
    <row r="1080" spans="6:15" x14ac:dyDescent="0.3">
      <c r="F1080" s="1"/>
    </row>
    <row r="1081" spans="6:15" x14ac:dyDescent="0.3">
      <c r="F1081" s="1"/>
    </row>
    <row r="1083" spans="6:15" x14ac:dyDescent="0.3">
      <c r="F1083" s="1"/>
    </row>
    <row r="1084" spans="6:15" x14ac:dyDescent="0.3">
      <c r="F1084" s="1"/>
    </row>
    <row r="1085" spans="6:15" x14ac:dyDescent="0.3">
      <c r="F1085" s="1"/>
      <c r="M1085" s="1"/>
      <c r="O1085" s="1"/>
    </row>
    <row r="1086" spans="6:15" x14ac:dyDescent="0.3">
      <c r="F1086" s="1"/>
    </row>
    <row r="1087" spans="6:15" x14ac:dyDescent="0.3">
      <c r="F1087" s="1"/>
    </row>
    <row r="1088" spans="6:15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8" spans="6:6" x14ac:dyDescent="0.3">
      <c r="F1098" s="1"/>
    </row>
    <row r="1099" spans="6:6" x14ac:dyDescent="0.3">
      <c r="F1099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15" x14ac:dyDescent="0.3">
      <c r="F1105" s="1"/>
      <c r="N1105" s="1"/>
    </row>
    <row r="1106" spans="6:15" x14ac:dyDescent="0.3">
      <c r="F1106" s="1"/>
    </row>
    <row r="1107" spans="6:15" x14ac:dyDescent="0.3">
      <c r="F1107" s="1"/>
    </row>
    <row r="1108" spans="6:15" x14ac:dyDescent="0.3">
      <c r="F1108" s="1"/>
    </row>
    <row r="1109" spans="6:15" x14ac:dyDescent="0.3">
      <c r="M1109" s="1"/>
      <c r="O1109" s="1"/>
    </row>
    <row r="1110" spans="6:15" x14ac:dyDescent="0.3">
      <c r="F1110" s="1"/>
    </row>
    <row r="1111" spans="6:15" x14ac:dyDescent="0.3">
      <c r="L1111" s="1"/>
      <c r="N1111" s="1"/>
    </row>
    <row r="1112" spans="6:15" x14ac:dyDescent="0.3">
      <c r="F1112" s="1"/>
    </row>
    <row r="1113" spans="6:15" x14ac:dyDescent="0.3">
      <c r="F1113" s="1"/>
    </row>
    <row r="1114" spans="6:15" x14ac:dyDescent="0.3">
      <c r="F1114" s="1"/>
    </row>
    <row r="1115" spans="6:15" x14ac:dyDescent="0.3">
      <c r="F1115" s="1"/>
    </row>
    <row r="1116" spans="6:15" x14ac:dyDescent="0.3">
      <c r="F1116" s="1"/>
    </row>
    <row r="1117" spans="6:15" x14ac:dyDescent="0.3">
      <c r="F1117" s="1"/>
    </row>
    <row r="1118" spans="6:15" x14ac:dyDescent="0.3">
      <c r="F1118" s="1"/>
    </row>
    <row r="1119" spans="6:15" x14ac:dyDescent="0.3">
      <c r="M1119" s="1"/>
    </row>
    <row r="1121" spans="6:14" x14ac:dyDescent="0.3">
      <c r="F1121" s="1"/>
    </row>
    <row r="1122" spans="6:14" x14ac:dyDescent="0.3">
      <c r="F1122" s="1"/>
      <c r="N1122" s="1"/>
    </row>
    <row r="1123" spans="6:14" x14ac:dyDescent="0.3">
      <c r="F1123" s="1"/>
    </row>
    <row r="1125" spans="6:14" x14ac:dyDescent="0.3">
      <c r="F1125" s="1"/>
    </row>
    <row r="1126" spans="6:14" x14ac:dyDescent="0.3">
      <c r="F1126" s="1"/>
    </row>
    <row r="1127" spans="6:14" x14ac:dyDescent="0.3">
      <c r="F1127" s="1"/>
    </row>
    <row r="1128" spans="6:14" x14ac:dyDescent="0.3">
      <c r="F1128" s="1"/>
    </row>
    <row r="1129" spans="6:14" x14ac:dyDescent="0.3">
      <c r="F1129" s="1"/>
    </row>
    <row r="1130" spans="6:14" x14ac:dyDescent="0.3">
      <c r="F1130" s="1"/>
    </row>
    <row r="1131" spans="6:14" x14ac:dyDescent="0.3">
      <c r="F1131" s="1"/>
    </row>
    <row r="1132" spans="6:14" x14ac:dyDescent="0.3">
      <c r="F1132" s="1"/>
    </row>
    <row r="1133" spans="6:14" x14ac:dyDescent="0.3">
      <c r="N1133" s="1"/>
    </row>
    <row r="1134" spans="6:14" x14ac:dyDescent="0.3">
      <c r="F1134" s="1"/>
    </row>
    <row r="1135" spans="6:14" x14ac:dyDescent="0.3">
      <c r="F1135" s="1"/>
    </row>
    <row r="1136" spans="6:14" x14ac:dyDescent="0.3">
      <c r="F1136" s="1"/>
    </row>
    <row r="1137" spans="6:15" x14ac:dyDescent="0.3">
      <c r="F1137" s="1"/>
    </row>
    <row r="1138" spans="6:15" x14ac:dyDescent="0.3">
      <c r="M1138" s="1"/>
    </row>
    <row r="1139" spans="6:15" x14ac:dyDescent="0.3">
      <c r="F1139" s="1"/>
    </row>
    <row r="1140" spans="6:15" x14ac:dyDescent="0.3">
      <c r="F1140" s="1"/>
      <c r="L1140" s="1"/>
      <c r="N1140" s="1"/>
      <c r="O1140" s="1"/>
    </row>
    <row r="1141" spans="6:15" x14ac:dyDescent="0.3">
      <c r="F1141" s="1"/>
    </row>
    <row r="1142" spans="6:15" x14ac:dyDescent="0.3">
      <c r="L1142" s="1"/>
      <c r="N1142" s="1"/>
      <c r="O1142" s="1"/>
    </row>
    <row r="1143" spans="6:15" x14ac:dyDescent="0.3">
      <c r="F1143" s="1"/>
    </row>
    <row r="1144" spans="6:15" x14ac:dyDescent="0.3">
      <c r="F1144" s="1"/>
      <c r="M1144" s="1"/>
      <c r="N1144" s="1"/>
      <c r="O1144" s="1"/>
    </row>
    <row r="1145" spans="6:15" x14ac:dyDescent="0.3">
      <c r="F1145" s="1"/>
      <c r="N1145" s="1"/>
    </row>
    <row r="1146" spans="6:15" x14ac:dyDescent="0.3">
      <c r="F1146" s="1"/>
    </row>
    <row r="1147" spans="6:15" x14ac:dyDescent="0.3">
      <c r="F1147" s="1"/>
    </row>
    <row r="1148" spans="6:15" x14ac:dyDescent="0.3">
      <c r="F1148" s="1"/>
    </row>
    <row r="1149" spans="6:15" x14ac:dyDescent="0.3">
      <c r="F1149" s="1"/>
      <c r="M1149" s="1"/>
    </row>
    <row r="1150" spans="6:15" x14ac:dyDescent="0.3">
      <c r="F1150" s="1"/>
    </row>
    <row r="1151" spans="6:15" x14ac:dyDescent="0.3">
      <c r="F1151" s="1"/>
    </row>
    <row r="1152" spans="6:15" x14ac:dyDescent="0.3">
      <c r="F1152" s="1"/>
    </row>
    <row r="1153" spans="6:15" x14ac:dyDescent="0.3">
      <c r="F1153" s="1"/>
    </row>
    <row r="1155" spans="6:15" x14ac:dyDescent="0.3">
      <c r="L1155" s="1"/>
      <c r="N1155" s="1"/>
    </row>
    <row r="1156" spans="6:15" x14ac:dyDescent="0.3">
      <c r="F1156" s="1"/>
    </row>
    <row r="1158" spans="6:15" x14ac:dyDescent="0.3">
      <c r="F1158" s="1"/>
    </row>
    <row r="1159" spans="6:15" x14ac:dyDescent="0.3">
      <c r="F1159" s="1"/>
    </row>
    <row r="1160" spans="6:15" x14ac:dyDescent="0.3">
      <c r="F1160" s="1"/>
    </row>
    <row r="1161" spans="6:15" x14ac:dyDescent="0.3">
      <c r="F1161" s="1"/>
    </row>
    <row r="1162" spans="6:15" x14ac:dyDescent="0.3">
      <c r="F1162" s="1"/>
    </row>
    <row r="1163" spans="6:15" x14ac:dyDescent="0.3">
      <c r="F1163" s="1"/>
    </row>
    <row r="1164" spans="6:15" x14ac:dyDescent="0.3">
      <c r="F1164" s="1"/>
    </row>
    <row r="1165" spans="6:15" x14ac:dyDescent="0.3">
      <c r="L1165" s="1"/>
    </row>
    <row r="1166" spans="6:15" x14ac:dyDescent="0.3">
      <c r="M1166" s="1"/>
      <c r="N1166" s="1"/>
      <c r="O1166" s="1"/>
    </row>
    <row r="1167" spans="6:15" x14ac:dyDescent="0.3">
      <c r="F1167" s="1"/>
    </row>
    <row r="1168" spans="6:15" x14ac:dyDescent="0.3">
      <c r="F1168" s="1"/>
    </row>
    <row r="1169" spans="6:15" x14ac:dyDescent="0.3">
      <c r="F1169" s="1"/>
    </row>
    <row r="1170" spans="6:15" x14ac:dyDescent="0.3">
      <c r="F1170" s="1"/>
    </row>
    <row r="1171" spans="6:15" x14ac:dyDescent="0.3">
      <c r="F1171" s="1"/>
    </row>
    <row r="1172" spans="6:15" x14ac:dyDescent="0.3">
      <c r="F1172" s="1"/>
    </row>
    <row r="1173" spans="6:15" x14ac:dyDescent="0.3">
      <c r="L1173" s="1"/>
      <c r="N1173" s="1"/>
      <c r="O1173" s="1"/>
    </row>
    <row r="1174" spans="6:15" x14ac:dyDescent="0.3">
      <c r="F1174" s="1"/>
    </row>
    <row r="1175" spans="6:15" x14ac:dyDescent="0.3">
      <c r="F1175" s="1"/>
      <c r="N1175" s="1"/>
    </row>
    <row r="1176" spans="6:15" x14ac:dyDescent="0.3">
      <c r="F1176" s="1"/>
    </row>
    <row r="1177" spans="6:15" x14ac:dyDescent="0.3">
      <c r="F1177" s="1"/>
    </row>
    <row r="1178" spans="6:15" x14ac:dyDescent="0.3">
      <c r="F1178" s="1"/>
    </row>
    <row r="1179" spans="6:15" x14ac:dyDescent="0.3">
      <c r="F1179" s="1"/>
    </row>
    <row r="1180" spans="6:15" x14ac:dyDescent="0.3">
      <c r="F1180" s="1"/>
    </row>
    <row r="1181" spans="6:15" x14ac:dyDescent="0.3">
      <c r="F1181" s="1"/>
    </row>
    <row r="1182" spans="6:15" x14ac:dyDescent="0.3">
      <c r="F1182" s="1"/>
    </row>
    <row r="1183" spans="6:15" x14ac:dyDescent="0.3">
      <c r="F1183" s="1"/>
    </row>
    <row r="1184" spans="6:15" x14ac:dyDescent="0.3">
      <c r="F1184" s="1"/>
    </row>
    <row r="1185" spans="6:15" x14ac:dyDescent="0.3">
      <c r="F1185" s="1"/>
    </row>
    <row r="1187" spans="6:15" x14ac:dyDescent="0.3">
      <c r="F1187" s="1"/>
    </row>
    <row r="1188" spans="6:15" x14ac:dyDescent="0.3">
      <c r="L1188" s="1"/>
      <c r="O1188" s="1"/>
    </row>
    <row r="1189" spans="6:15" x14ac:dyDescent="0.3">
      <c r="F1189" s="1"/>
    </row>
    <row r="1191" spans="6:15" x14ac:dyDescent="0.3">
      <c r="F1191" s="1"/>
    </row>
    <row r="1192" spans="6:15" x14ac:dyDescent="0.3">
      <c r="F1192" s="1"/>
    </row>
    <row r="1193" spans="6:15" x14ac:dyDescent="0.3">
      <c r="F1193" s="1"/>
    </row>
    <row r="1194" spans="6:15" x14ac:dyDescent="0.3">
      <c r="F1194" s="1"/>
    </row>
    <row r="1195" spans="6:15" x14ac:dyDescent="0.3">
      <c r="F1195" s="1"/>
    </row>
    <row r="1197" spans="6:15" x14ac:dyDescent="0.3">
      <c r="F1197" s="1"/>
    </row>
    <row r="1198" spans="6:15" x14ac:dyDescent="0.3">
      <c r="F1198" s="1"/>
    </row>
    <row r="1199" spans="6:15" x14ac:dyDescent="0.3">
      <c r="F1199" s="1"/>
    </row>
    <row r="1200" spans="6:15" x14ac:dyDescent="0.3">
      <c r="F1200" s="1"/>
    </row>
    <row r="1201" spans="6:14" x14ac:dyDescent="0.3">
      <c r="F1201" s="1"/>
    </row>
    <row r="1202" spans="6:14" x14ac:dyDescent="0.3">
      <c r="F1202" s="1"/>
    </row>
    <row r="1203" spans="6:14" x14ac:dyDescent="0.3">
      <c r="F1203" s="1"/>
      <c r="N1203" s="1"/>
    </row>
    <row r="1204" spans="6:14" x14ac:dyDescent="0.3">
      <c r="F1204" s="1"/>
    </row>
    <row r="1205" spans="6:14" x14ac:dyDescent="0.3">
      <c r="F1205" s="1"/>
    </row>
    <row r="1206" spans="6:14" x14ac:dyDescent="0.3">
      <c r="F1206" s="1"/>
    </row>
    <row r="1207" spans="6:14" x14ac:dyDescent="0.3">
      <c r="N1207" s="1"/>
    </row>
    <row r="1208" spans="6:14" x14ac:dyDescent="0.3">
      <c r="F1208" s="1"/>
    </row>
    <row r="1209" spans="6:14" x14ac:dyDescent="0.3">
      <c r="F1209" s="1"/>
      <c r="M1209" s="1"/>
    </row>
    <row r="1210" spans="6:14" x14ac:dyDescent="0.3">
      <c r="F1210" s="1"/>
      <c r="L1210" s="1"/>
    </row>
    <row r="1211" spans="6:14" x14ac:dyDescent="0.3">
      <c r="F1211" s="1"/>
    </row>
    <row r="1212" spans="6:14" x14ac:dyDescent="0.3">
      <c r="F1212" s="1"/>
    </row>
    <row r="1213" spans="6:14" x14ac:dyDescent="0.3">
      <c r="F1213" s="1"/>
    </row>
    <row r="1214" spans="6:14" x14ac:dyDescent="0.3">
      <c r="F1214" s="1"/>
    </row>
    <row r="1215" spans="6:14" x14ac:dyDescent="0.3">
      <c r="F1215" s="1"/>
    </row>
    <row r="1216" spans="6:14" x14ac:dyDescent="0.3">
      <c r="F1216" s="1"/>
    </row>
    <row r="1217" spans="6:12" x14ac:dyDescent="0.3">
      <c r="F1217" s="1"/>
    </row>
    <row r="1218" spans="6:12" x14ac:dyDescent="0.3">
      <c r="F1218" s="1"/>
      <c r="L1218" s="1"/>
    </row>
    <row r="1219" spans="6:12" x14ac:dyDescent="0.3">
      <c r="F1219" s="1"/>
    </row>
    <row r="1220" spans="6:12" x14ac:dyDescent="0.3">
      <c r="F1220" s="1"/>
    </row>
    <row r="1221" spans="6:12" x14ac:dyDescent="0.3">
      <c r="F1221" s="1"/>
    </row>
    <row r="1222" spans="6:12" x14ac:dyDescent="0.3">
      <c r="F1222" s="1"/>
    </row>
    <row r="1223" spans="6:12" x14ac:dyDescent="0.3">
      <c r="F1223" s="1"/>
    </row>
    <row r="1224" spans="6:12" x14ac:dyDescent="0.3">
      <c r="F1224" s="1"/>
    </row>
    <row r="1225" spans="6:12" x14ac:dyDescent="0.3">
      <c r="F1225" s="1"/>
    </row>
    <row r="1226" spans="6:12" x14ac:dyDescent="0.3">
      <c r="F1226" s="1"/>
    </row>
    <row r="1227" spans="6:12" x14ac:dyDescent="0.3">
      <c r="F1227" s="1"/>
    </row>
    <row r="1228" spans="6:12" x14ac:dyDescent="0.3">
      <c r="F1228" s="1"/>
    </row>
    <row r="1230" spans="6:12" x14ac:dyDescent="0.3">
      <c r="F1230" s="1"/>
    </row>
    <row r="1231" spans="6:12" x14ac:dyDescent="0.3">
      <c r="F1231" s="1"/>
    </row>
    <row r="1232" spans="6:12" x14ac:dyDescent="0.3">
      <c r="F1232" s="1"/>
    </row>
    <row r="1234" spans="6:13" x14ac:dyDescent="0.3">
      <c r="F1234" s="1"/>
    </row>
    <row r="1235" spans="6:13" x14ac:dyDescent="0.3">
      <c r="F1235" s="1"/>
    </row>
    <row r="1236" spans="6:13" x14ac:dyDescent="0.3">
      <c r="F1236" s="1"/>
    </row>
    <row r="1238" spans="6:13" x14ac:dyDescent="0.3">
      <c r="F1238" s="1"/>
    </row>
    <row r="1239" spans="6:13" x14ac:dyDescent="0.3">
      <c r="F1239" s="1"/>
      <c r="L1239" s="1"/>
    </row>
    <row r="1240" spans="6:13" x14ac:dyDescent="0.3">
      <c r="F1240" s="1"/>
    </row>
    <row r="1241" spans="6:13" x14ac:dyDescent="0.3">
      <c r="F1241" s="1"/>
    </row>
    <row r="1242" spans="6:13" x14ac:dyDescent="0.3">
      <c r="F1242" s="1"/>
    </row>
    <row r="1243" spans="6:13" x14ac:dyDescent="0.3">
      <c r="F1243" s="1"/>
    </row>
    <row r="1244" spans="6:13" x14ac:dyDescent="0.3">
      <c r="F1244" s="1"/>
      <c r="M1244" s="1"/>
    </row>
    <row r="1245" spans="6:13" x14ac:dyDescent="0.3">
      <c r="F1245" s="1"/>
    </row>
    <row r="1246" spans="6:13" x14ac:dyDescent="0.3">
      <c r="F1246" s="1"/>
    </row>
    <row r="1247" spans="6:13" x14ac:dyDescent="0.3">
      <c r="F1247" s="1"/>
    </row>
    <row r="1248" spans="6:13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9" spans="6:6" x14ac:dyDescent="0.3">
      <c r="F1279" s="1"/>
    </row>
    <row r="1280" spans="6:6" x14ac:dyDescent="0.3">
      <c r="F1280" s="1"/>
    </row>
    <row r="1281" spans="6:15" x14ac:dyDescent="0.3">
      <c r="N1281" s="1"/>
      <c r="O1281" s="1"/>
    </row>
    <row r="1282" spans="6:15" x14ac:dyDescent="0.3">
      <c r="F1282" s="1"/>
    </row>
    <row r="1283" spans="6:15" x14ac:dyDescent="0.3">
      <c r="F1283" s="1"/>
    </row>
    <row r="1284" spans="6:15" x14ac:dyDescent="0.3">
      <c r="F1284" s="1"/>
    </row>
    <row r="1285" spans="6:15" x14ac:dyDescent="0.3">
      <c r="F1285" s="1"/>
    </row>
    <row r="1286" spans="6:15" x14ac:dyDescent="0.3">
      <c r="F1286" s="1"/>
    </row>
    <row r="1288" spans="6:15" x14ac:dyDescent="0.3">
      <c r="F1288" s="1"/>
    </row>
    <row r="1289" spans="6:15" x14ac:dyDescent="0.3">
      <c r="F1289" s="1"/>
      <c r="N1289" s="1"/>
    </row>
    <row r="1290" spans="6:15" x14ac:dyDescent="0.3">
      <c r="F1290" s="1"/>
    </row>
    <row r="1291" spans="6:15" x14ac:dyDescent="0.3">
      <c r="F1291" s="1"/>
    </row>
    <row r="1292" spans="6:15" x14ac:dyDescent="0.3">
      <c r="F1292" s="1"/>
    </row>
    <row r="1293" spans="6:15" x14ac:dyDescent="0.3">
      <c r="F1293" s="1"/>
    </row>
    <row r="1294" spans="6:15" x14ac:dyDescent="0.3">
      <c r="F1294" s="1"/>
    </row>
    <row r="1295" spans="6:15" x14ac:dyDescent="0.3">
      <c r="F1295" s="1"/>
    </row>
    <row r="1296" spans="6:15" x14ac:dyDescent="0.3">
      <c r="F1296" s="1"/>
    </row>
    <row r="1297" spans="6:15" x14ac:dyDescent="0.3">
      <c r="L1297" s="1"/>
      <c r="O1297" s="1"/>
    </row>
    <row r="1298" spans="6:15" x14ac:dyDescent="0.3">
      <c r="F1298" s="1"/>
    </row>
    <row r="1300" spans="6:15" x14ac:dyDescent="0.3">
      <c r="F1300" s="1"/>
    </row>
    <row r="1301" spans="6:15" x14ac:dyDescent="0.3">
      <c r="F1301" s="1"/>
      <c r="M1301" s="1"/>
    </row>
    <row r="1302" spans="6:15" x14ac:dyDescent="0.3">
      <c r="F1302" s="1"/>
      <c r="M1302" s="1"/>
      <c r="N1302" s="1"/>
    </row>
    <row r="1303" spans="6:15" x14ac:dyDescent="0.3">
      <c r="F1303" s="1"/>
    </row>
    <row r="1304" spans="6:15" x14ac:dyDescent="0.3">
      <c r="F1304" s="1"/>
    </row>
    <row r="1305" spans="6:15" x14ac:dyDescent="0.3">
      <c r="F1305" s="1"/>
    </row>
    <row r="1306" spans="6:15" x14ac:dyDescent="0.3">
      <c r="F1306" s="1"/>
    </row>
    <row r="1307" spans="6:15" x14ac:dyDescent="0.3">
      <c r="F1307" s="1"/>
    </row>
    <row r="1308" spans="6:15" x14ac:dyDescent="0.3">
      <c r="F1308" s="1"/>
    </row>
    <row r="1309" spans="6:15" x14ac:dyDescent="0.3">
      <c r="F1309" s="1"/>
    </row>
    <row r="1310" spans="6:15" x14ac:dyDescent="0.3">
      <c r="F1310" s="1"/>
    </row>
    <row r="1311" spans="6:15" x14ac:dyDescent="0.3">
      <c r="F1311" s="1"/>
    </row>
    <row r="1312" spans="6:15" x14ac:dyDescent="0.3">
      <c r="F1312" s="1"/>
    </row>
    <row r="1313" spans="6:13" x14ac:dyDescent="0.3">
      <c r="F1313" s="1"/>
    </row>
    <row r="1314" spans="6:13" x14ac:dyDescent="0.3">
      <c r="F1314" s="1"/>
      <c r="M1314" s="1"/>
    </row>
    <row r="1315" spans="6:13" x14ac:dyDescent="0.3">
      <c r="F1315" s="1"/>
    </row>
    <row r="1316" spans="6:13" x14ac:dyDescent="0.3">
      <c r="F1316" s="1"/>
    </row>
    <row r="1318" spans="6:13" x14ac:dyDescent="0.3">
      <c r="F1318" s="1"/>
    </row>
    <row r="1321" spans="6:13" x14ac:dyDescent="0.3">
      <c r="F1321" s="1"/>
    </row>
    <row r="1322" spans="6:13" x14ac:dyDescent="0.3">
      <c r="F1322" s="1"/>
    </row>
    <row r="1323" spans="6:13" x14ac:dyDescent="0.3">
      <c r="F1323" s="1"/>
    </row>
    <row r="1324" spans="6:13" x14ac:dyDescent="0.3">
      <c r="F1324" s="1"/>
    </row>
    <row r="1325" spans="6:13" x14ac:dyDescent="0.3">
      <c r="F1325" s="1"/>
    </row>
    <row r="1326" spans="6:13" x14ac:dyDescent="0.3">
      <c r="F1326" s="1"/>
    </row>
    <row r="1328" spans="6:13" x14ac:dyDescent="0.3">
      <c r="F1328" s="1"/>
    </row>
    <row r="1329" spans="6:12" x14ac:dyDescent="0.3">
      <c r="F1329" s="1"/>
    </row>
    <row r="1330" spans="6:12" x14ac:dyDescent="0.3">
      <c r="F1330" s="1"/>
    </row>
    <row r="1331" spans="6:12" x14ac:dyDescent="0.3">
      <c r="F1331" s="1"/>
    </row>
    <row r="1332" spans="6:12" x14ac:dyDescent="0.3">
      <c r="F1332" s="1"/>
    </row>
    <row r="1333" spans="6:12" x14ac:dyDescent="0.3">
      <c r="F1333" s="1"/>
    </row>
    <row r="1334" spans="6:12" x14ac:dyDescent="0.3">
      <c r="F1334" s="1"/>
    </row>
    <row r="1335" spans="6:12" x14ac:dyDescent="0.3">
      <c r="F1335" s="1"/>
    </row>
    <row r="1336" spans="6:12" x14ac:dyDescent="0.3">
      <c r="F1336" s="1"/>
    </row>
    <row r="1338" spans="6:12" x14ac:dyDescent="0.3">
      <c r="F1338" s="1"/>
    </row>
    <row r="1339" spans="6:12" x14ac:dyDescent="0.3">
      <c r="L1339" s="1"/>
    </row>
    <row r="1340" spans="6:12" x14ac:dyDescent="0.3">
      <c r="F1340" s="1"/>
    </row>
    <row r="1341" spans="6:12" x14ac:dyDescent="0.3">
      <c r="F1341" s="1"/>
    </row>
    <row r="1342" spans="6:12" x14ac:dyDescent="0.3">
      <c r="F1342" s="1"/>
    </row>
    <row r="1343" spans="6:12" x14ac:dyDescent="0.3">
      <c r="F1343" s="1"/>
    </row>
    <row r="1344" spans="6:12" x14ac:dyDescent="0.3">
      <c r="F1344" s="1"/>
    </row>
    <row r="1345" spans="6:14" x14ac:dyDescent="0.3">
      <c r="F1345" s="1"/>
    </row>
    <row r="1347" spans="6:14" x14ac:dyDescent="0.3">
      <c r="F1347" s="1"/>
    </row>
    <row r="1348" spans="6:14" x14ac:dyDescent="0.3">
      <c r="F1348" s="1"/>
    </row>
    <row r="1349" spans="6:14" x14ac:dyDescent="0.3">
      <c r="F1349" s="1"/>
    </row>
    <row r="1350" spans="6:14" x14ac:dyDescent="0.3">
      <c r="F1350" s="1"/>
    </row>
    <row r="1351" spans="6:14" x14ac:dyDescent="0.3">
      <c r="F1351" s="1"/>
    </row>
    <row r="1352" spans="6:14" x14ac:dyDescent="0.3">
      <c r="F1352" s="1"/>
    </row>
    <row r="1354" spans="6:14" x14ac:dyDescent="0.3">
      <c r="F1354" s="1"/>
    </row>
    <row r="1355" spans="6:14" x14ac:dyDescent="0.3">
      <c r="F1355" s="1"/>
    </row>
    <row r="1356" spans="6:14" x14ac:dyDescent="0.3">
      <c r="F1356" s="1"/>
    </row>
    <row r="1357" spans="6:14" x14ac:dyDescent="0.3">
      <c r="F1357" s="1"/>
    </row>
    <row r="1358" spans="6:14" x14ac:dyDescent="0.3">
      <c r="F1358" s="1"/>
    </row>
    <row r="1359" spans="6:14" x14ac:dyDescent="0.3">
      <c r="F1359" s="1"/>
      <c r="L1359" s="1"/>
    </row>
    <row r="1360" spans="6:14" x14ac:dyDescent="0.3">
      <c r="N1360" s="1"/>
    </row>
    <row r="1361" spans="6:15" x14ac:dyDescent="0.3">
      <c r="F1361" s="1"/>
    </row>
    <row r="1363" spans="6:15" x14ac:dyDescent="0.3">
      <c r="F1363" s="1"/>
    </row>
    <row r="1364" spans="6:15" x14ac:dyDescent="0.3">
      <c r="F1364" s="1"/>
    </row>
    <row r="1365" spans="6:15" x14ac:dyDescent="0.3">
      <c r="F1365" s="1"/>
    </row>
    <row r="1367" spans="6:15" x14ac:dyDescent="0.3">
      <c r="F1367" s="1"/>
    </row>
    <row r="1368" spans="6:15" x14ac:dyDescent="0.3">
      <c r="F1368" s="1"/>
    </row>
    <row r="1369" spans="6:15" x14ac:dyDescent="0.3">
      <c r="F1369" s="1"/>
      <c r="L1369" s="1"/>
      <c r="M1369" s="1"/>
      <c r="O1369" s="1"/>
    </row>
    <row r="1370" spans="6:15" x14ac:dyDescent="0.3">
      <c r="F1370" s="1"/>
    </row>
    <row r="1371" spans="6:15" x14ac:dyDescent="0.3">
      <c r="F1371" s="1"/>
    </row>
    <row r="1372" spans="6:15" x14ac:dyDescent="0.3">
      <c r="F1372" s="1"/>
    </row>
    <row r="1373" spans="6:15" x14ac:dyDescent="0.3">
      <c r="F1373" s="1"/>
    </row>
    <row r="1374" spans="6:15" x14ac:dyDescent="0.3">
      <c r="F1374" s="1"/>
    </row>
    <row r="1375" spans="6:15" x14ac:dyDescent="0.3">
      <c r="F1375" s="1"/>
    </row>
    <row r="1376" spans="6:15" x14ac:dyDescent="0.3">
      <c r="F1376" s="1"/>
      <c r="M1376" s="1"/>
    </row>
    <row r="1378" spans="6:14" x14ac:dyDescent="0.3">
      <c r="F1378" s="1"/>
    </row>
    <row r="1379" spans="6:14" x14ac:dyDescent="0.3">
      <c r="F1379" s="1"/>
    </row>
    <row r="1380" spans="6:14" x14ac:dyDescent="0.3">
      <c r="F1380" s="1"/>
    </row>
    <row r="1381" spans="6:14" x14ac:dyDescent="0.3">
      <c r="F1381" s="1"/>
    </row>
    <row r="1382" spans="6:14" x14ac:dyDescent="0.3">
      <c r="F1382" s="1"/>
      <c r="L1382" s="1"/>
    </row>
    <row r="1383" spans="6:14" x14ac:dyDescent="0.3">
      <c r="F1383" s="1"/>
    </row>
    <row r="1384" spans="6:14" x14ac:dyDescent="0.3">
      <c r="F1384" s="1"/>
      <c r="N1384" s="1"/>
    </row>
    <row r="1385" spans="6:14" x14ac:dyDescent="0.3">
      <c r="F1385" s="1"/>
    </row>
    <row r="1386" spans="6:14" x14ac:dyDescent="0.3">
      <c r="F1386" s="1"/>
    </row>
    <row r="1387" spans="6:14" x14ac:dyDescent="0.3">
      <c r="F1387" s="1"/>
    </row>
    <row r="1388" spans="6:14" x14ac:dyDescent="0.3">
      <c r="F1388" s="1"/>
    </row>
    <row r="1389" spans="6:14" x14ac:dyDescent="0.3">
      <c r="F1389" s="1"/>
    </row>
    <row r="1390" spans="6:14" x14ac:dyDescent="0.3">
      <c r="F1390" s="1"/>
    </row>
    <row r="1391" spans="6:14" x14ac:dyDescent="0.3">
      <c r="F1391" s="1"/>
    </row>
    <row r="1393" spans="6:15" x14ac:dyDescent="0.3">
      <c r="F1393" s="1"/>
    </row>
    <row r="1394" spans="6:15" x14ac:dyDescent="0.3">
      <c r="F1394" s="1"/>
    </row>
    <row r="1395" spans="6:15" x14ac:dyDescent="0.3">
      <c r="F1395" s="1"/>
    </row>
    <row r="1396" spans="6:15" x14ac:dyDescent="0.3">
      <c r="F1396" s="1"/>
    </row>
    <row r="1397" spans="6:15" x14ac:dyDescent="0.3">
      <c r="F1397" s="1"/>
    </row>
    <row r="1398" spans="6:15" x14ac:dyDescent="0.3">
      <c r="F1398" s="1"/>
    </row>
    <row r="1399" spans="6:15" x14ac:dyDescent="0.3">
      <c r="F1399" s="1"/>
    </row>
    <row r="1400" spans="6:15" x14ac:dyDescent="0.3">
      <c r="F1400" s="1"/>
    </row>
    <row r="1401" spans="6:15" x14ac:dyDescent="0.3">
      <c r="F1401" s="1"/>
      <c r="M1401" s="1"/>
    </row>
    <row r="1402" spans="6:15" x14ac:dyDescent="0.3">
      <c r="F1402" s="1"/>
    </row>
    <row r="1403" spans="6:15" x14ac:dyDescent="0.3">
      <c r="F1403" s="1"/>
      <c r="L1403" s="1"/>
      <c r="M1403" s="1"/>
      <c r="N1403" s="1"/>
      <c r="O1403" s="1"/>
    </row>
    <row r="1405" spans="6:15" x14ac:dyDescent="0.3">
      <c r="F1405" s="1"/>
      <c r="M1405" s="1"/>
    </row>
    <row r="1407" spans="6:15" x14ac:dyDescent="0.3">
      <c r="F1407" s="1"/>
    </row>
    <row r="1408" spans="6:15" x14ac:dyDescent="0.3">
      <c r="F1408" s="1"/>
    </row>
    <row r="1409" spans="6:15" x14ac:dyDescent="0.3">
      <c r="F1409" s="1"/>
    </row>
    <row r="1410" spans="6:15" x14ac:dyDescent="0.3">
      <c r="F1410" s="1"/>
    </row>
    <row r="1411" spans="6:15" x14ac:dyDescent="0.3">
      <c r="F1411" s="1"/>
    </row>
    <row r="1413" spans="6:15" x14ac:dyDescent="0.3">
      <c r="F1413" s="1"/>
    </row>
    <row r="1414" spans="6:15" x14ac:dyDescent="0.3">
      <c r="F1414" s="1"/>
    </row>
    <row r="1415" spans="6:15" x14ac:dyDescent="0.3">
      <c r="F1415" s="1"/>
      <c r="L1415" s="1"/>
      <c r="N1415" s="1"/>
      <c r="O1415" s="1"/>
    </row>
    <row r="1416" spans="6:15" x14ac:dyDescent="0.3">
      <c r="F1416" s="1"/>
    </row>
    <row r="1418" spans="6:15" x14ac:dyDescent="0.3">
      <c r="F1418" s="1"/>
    </row>
    <row r="1419" spans="6:15" x14ac:dyDescent="0.3">
      <c r="F1419" s="1"/>
    </row>
    <row r="1420" spans="6:15" x14ac:dyDescent="0.3">
      <c r="F1420" s="1"/>
    </row>
    <row r="1421" spans="6:15" x14ac:dyDescent="0.3">
      <c r="F1421" s="1"/>
    </row>
    <row r="1422" spans="6:15" x14ac:dyDescent="0.3">
      <c r="F1422" s="1"/>
    </row>
    <row r="1423" spans="6:15" x14ac:dyDescent="0.3">
      <c r="F1423" s="1"/>
    </row>
    <row r="1424" spans="6:15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6" spans="6:6" x14ac:dyDescent="0.3">
      <c r="F1436" s="1"/>
    </row>
    <row r="1437" spans="6:6" x14ac:dyDescent="0.3">
      <c r="F1437" s="1"/>
    </row>
    <row r="1439" spans="6:6" x14ac:dyDescent="0.3">
      <c r="F1439" s="1"/>
    </row>
    <row r="1440" spans="6:6" x14ac:dyDescent="0.3">
      <c r="F1440" s="1"/>
    </row>
    <row r="1441" spans="6:14" x14ac:dyDescent="0.3">
      <c r="F1441" s="1"/>
    </row>
    <row r="1442" spans="6:14" x14ac:dyDescent="0.3">
      <c r="F1442" s="1"/>
    </row>
    <row r="1443" spans="6:14" x14ac:dyDescent="0.3">
      <c r="F1443" s="1"/>
    </row>
    <row r="1444" spans="6:14" x14ac:dyDescent="0.3">
      <c r="F1444" s="1"/>
      <c r="N1444" s="1"/>
    </row>
    <row r="1445" spans="6:14" x14ac:dyDescent="0.3">
      <c r="F1445" s="1"/>
    </row>
    <row r="1446" spans="6:14" x14ac:dyDescent="0.3">
      <c r="F1446" s="1"/>
    </row>
    <row r="1447" spans="6:14" x14ac:dyDescent="0.3">
      <c r="F1447" s="1"/>
    </row>
    <row r="1448" spans="6:14" x14ac:dyDescent="0.3">
      <c r="F1448" s="1"/>
    </row>
    <row r="1450" spans="6:14" x14ac:dyDescent="0.3">
      <c r="F1450" s="1"/>
      <c r="L1450" s="1"/>
    </row>
    <row r="1451" spans="6:14" x14ac:dyDescent="0.3">
      <c r="F1451" s="1"/>
    </row>
    <row r="1452" spans="6:14" x14ac:dyDescent="0.3">
      <c r="F1452" s="1"/>
    </row>
    <row r="1453" spans="6:14" x14ac:dyDescent="0.3">
      <c r="F1453" s="1"/>
    </row>
    <row r="1455" spans="6:14" x14ac:dyDescent="0.3">
      <c r="F1455" s="1"/>
    </row>
    <row r="1456" spans="6:14" x14ac:dyDescent="0.3">
      <c r="F1456" s="1"/>
    </row>
    <row r="1457" spans="6:14" x14ac:dyDescent="0.3">
      <c r="F1457" s="1"/>
    </row>
    <row r="1458" spans="6:14" x14ac:dyDescent="0.3">
      <c r="F1458" s="1"/>
    </row>
    <row r="1459" spans="6:14" x14ac:dyDescent="0.3">
      <c r="F1459" s="1"/>
    </row>
    <row r="1460" spans="6:14" x14ac:dyDescent="0.3">
      <c r="F1460" s="1"/>
      <c r="M1460" s="1"/>
      <c r="N1460" s="1"/>
    </row>
    <row r="1461" spans="6:14" x14ac:dyDescent="0.3">
      <c r="F1461" s="1"/>
    </row>
    <row r="1462" spans="6:14" x14ac:dyDescent="0.3">
      <c r="F1462" s="1"/>
    </row>
    <row r="1463" spans="6:14" x14ac:dyDescent="0.3">
      <c r="F1463" s="1"/>
    </row>
    <row r="1464" spans="6:14" x14ac:dyDescent="0.3">
      <c r="F1464" s="1"/>
    </row>
    <row r="1465" spans="6:14" x14ac:dyDescent="0.3">
      <c r="F1465" s="1"/>
    </row>
    <row r="1466" spans="6:14" x14ac:dyDescent="0.3">
      <c r="F1466" s="1"/>
    </row>
    <row r="1467" spans="6:14" x14ac:dyDescent="0.3">
      <c r="F1467" s="1"/>
    </row>
    <row r="1468" spans="6:14" x14ac:dyDescent="0.3">
      <c r="F1468" s="1"/>
    </row>
    <row r="1469" spans="6:14" x14ac:dyDescent="0.3">
      <c r="F1469" s="1"/>
    </row>
    <row r="1470" spans="6:14" x14ac:dyDescent="0.3">
      <c r="F1470" s="1"/>
    </row>
    <row r="1471" spans="6:14" x14ac:dyDescent="0.3">
      <c r="F1471" s="1"/>
    </row>
    <row r="1472" spans="6:14" x14ac:dyDescent="0.3">
      <c r="F1472" s="1"/>
      <c r="L1472" s="1"/>
    </row>
    <row r="1473" spans="6:14" x14ac:dyDescent="0.3">
      <c r="F1473" s="1"/>
    </row>
    <row r="1475" spans="6:14" x14ac:dyDescent="0.3">
      <c r="F1475" s="1"/>
    </row>
    <row r="1476" spans="6:14" x14ac:dyDescent="0.3">
      <c r="L1476" s="1"/>
      <c r="M1476" s="1"/>
      <c r="N1476" s="1"/>
    </row>
    <row r="1477" spans="6:14" x14ac:dyDescent="0.3">
      <c r="F1477" s="1"/>
    </row>
    <row r="1478" spans="6:14" x14ac:dyDescent="0.3">
      <c r="F1478" s="1"/>
    </row>
    <row r="1480" spans="6:14" x14ac:dyDescent="0.3">
      <c r="F1480" s="1"/>
    </row>
    <row r="1481" spans="6:14" x14ac:dyDescent="0.3">
      <c r="F1481" s="1"/>
    </row>
    <row r="1483" spans="6:14" x14ac:dyDescent="0.3">
      <c r="F1483" s="1"/>
    </row>
    <row r="1484" spans="6:14" x14ac:dyDescent="0.3">
      <c r="F1484" s="1"/>
    </row>
    <row r="1485" spans="6:14" x14ac:dyDescent="0.3">
      <c r="F1485" s="1"/>
    </row>
    <row r="1486" spans="6:14" x14ac:dyDescent="0.3">
      <c r="F1486" s="1"/>
    </row>
    <row r="1487" spans="6:14" x14ac:dyDescent="0.3">
      <c r="F1487" s="1"/>
    </row>
    <row r="1488" spans="6:14" x14ac:dyDescent="0.3">
      <c r="F1488" s="1"/>
    </row>
    <row r="1489" spans="6:14" x14ac:dyDescent="0.3">
      <c r="F1489" s="1"/>
    </row>
    <row r="1490" spans="6:14" x14ac:dyDescent="0.3">
      <c r="F1490" s="1"/>
    </row>
    <row r="1491" spans="6:14" x14ac:dyDescent="0.3">
      <c r="F1491" s="1"/>
    </row>
    <row r="1492" spans="6:14" x14ac:dyDescent="0.3">
      <c r="F1492" s="1"/>
    </row>
    <row r="1493" spans="6:14" x14ac:dyDescent="0.3">
      <c r="F1493" s="1"/>
    </row>
    <row r="1494" spans="6:14" x14ac:dyDescent="0.3">
      <c r="F1494" s="1"/>
    </row>
    <row r="1495" spans="6:14" x14ac:dyDescent="0.3">
      <c r="N1495" s="1"/>
    </row>
    <row r="1496" spans="6:14" x14ac:dyDescent="0.3">
      <c r="F1496" s="1"/>
    </row>
    <row r="1497" spans="6:14" x14ac:dyDescent="0.3">
      <c r="F1497" s="1"/>
    </row>
    <row r="1498" spans="6:14" x14ac:dyDescent="0.3">
      <c r="F1498" s="1"/>
    </row>
    <row r="1499" spans="6:14" x14ac:dyDescent="0.3">
      <c r="F1499" s="1"/>
    </row>
    <row r="1500" spans="6:14" x14ac:dyDescent="0.3">
      <c r="F1500" s="1"/>
    </row>
    <row r="1501" spans="6:14" x14ac:dyDescent="0.3">
      <c r="F1501" s="1"/>
    </row>
    <row r="1502" spans="6:14" x14ac:dyDescent="0.3">
      <c r="F1502" s="1"/>
    </row>
    <row r="1503" spans="6:14" x14ac:dyDescent="0.3">
      <c r="F1503" s="1"/>
    </row>
    <row r="1504" spans="6:14" x14ac:dyDescent="0.3">
      <c r="F1504" s="1"/>
    </row>
    <row r="1505" spans="6:14" x14ac:dyDescent="0.3">
      <c r="F1505" s="1"/>
    </row>
    <row r="1506" spans="6:14" x14ac:dyDescent="0.3">
      <c r="F1506" s="1"/>
    </row>
    <row r="1507" spans="6:14" x14ac:dyDescent="0.3">
      <c r="F1507" s="1"/>
    </row>
    <row r="1508" spans="6:14" x14ac:dyDescent="0.3">
      <c r="F1508" s="1"/>
    </row>
    <row r="1509" spans="6:14" x14ac:dyDescent="0.3">
      <c r="F1509" s="1"/>
    </row>
    <row r="1510" spans="6:14" x14ac:dyDescent="0.3">
      <c r="F1510" s="1"/>
    </row>
    <row r="1511" spans="6:14" x14ac:dyDescent="0.3">
      <c r="F1511" s="1"/>
    </row>
    <row r="1512" spans="6:14" x14ac:dyDescent="0.3">
      <c r="F1512" s="1"/>
      <c r="N1512" s="1"/>
    </row>
    <row r="1513" spans="6:14" x14ac:dyDescent="0.3">
      <c r="F1513" s="1"/>
      <c r="M1513" s="1"/>
      <c r="N1513" s="1"/>
    </row>
    <row r="1514" spans="6:14" x14ac:dyDescent="0.3">
      <c r="F1514" s="1"/>
    </row>
    <row r="1515" spans="6:14" x14ac:dyDescent="0.3">
      <c r="F1515" s="1"/>
    </row>
    <row r="1516" spans="6:14" x14ac:dyDescent="0.3">
      <c r="N1516" s="1"/>
    </row>
    <row r="1517" spans="6:14" x14ac:dyDescent="0.3">
      <c r="F1517" s="1"/>
      <c r="L1517" s="1"/>
    </row>
    <row r="1518" spans="6:14" x14ac:dyDescent="0.3">
      <c r="F1518" s="1"/>
    </row>
    <row r="1520" spans="6:14" x14ac:dyDescent="0.3">
      <c r="F1520" s="1"/>
    </row>
    <row r="1521" spans="6:15" x14ac:dyDescent="0.3">
      <c r="F1521" s="1"/>
    </row>
    <row r="1522" spans="6:15" x14ac:dyDescent="0.3">
      <c r="F1522" s="1"/>
    </row>
    <row r="1523" spans="6:15" x14ac:dyDescent="0.3">
      <c r="F1523" s="1"/>
    </row>
    <row r="1524" spans="6:15" x14ac:dyDescent="0.3">
      <c r="F1524" s="1"/>
    </row>
    <row r="1525" spans="6:15" x14ac:dyDescent="0.3">
      <c r="F1525" s="1"/>
    </row>
    <row r="1526" spans="6:15" x14ac:dyDescent="0.3">
      <c r="F1526" s="1"/>
    </row>
    <row r="1527" spans="6:15" x14ac:dyDescent="0.3">
      <c r="F1527" s="1"/>
    </row>
    <row r="1528" spans="6:15" x14ac:dyDescent="0.3">
      <c r="F1528" s="1"/>
    </row>
    <row r="1530" spans="6:15" x14ac:dyDescent="0.3">
      <c r="F1530" s="1"/>
    </row>
    <row r="1531" spans="6:15" x14ac:dyDescent="0.3">
      <c r="F1531" s="1"/>
    </row>
    <row r="1532" spans="6:15" x14ac:dyDescent="0.3">
      <c r="F1532" s="1"/>
    </row>
    <row r="1533" spans="6:15" x14ac:dyDescent="0.3">
      <c r="F1533" s="1"/>
      <c r="L1533" s="1"/>
      <c r="M1533" s="1"/>
      <c r="O1533" s="1"/>
    </row>
    <row r="1534" spans="6:15" x14ac:dyDescent="0.3">
      <c r="F1534" s="1"/>
    </row>
    <row r="1535" spans="6:15" x14ac:dyDescent="0.3">
      <c r="F1535" s="1"/>
    </row>
    <row r="1536" spans="6:15" x14ac:dyDescent="0.3">
      <c r="N1536" s="1"/>
    </row>
    <row r="1537" spans="6:15" x14ac:dyDescent="0.3">
      <c r="F1537" s="1"/>
    </row>
    <row r="1538" spans="6:15" x14ac:dyDescent="0.3">
      <c r="F1538" s="1"/>
    </row>
    <row r="1539" spans="6:15" x14ac:dyDescent="0.3">
      <c r="F1539" s="1"/>
    </row>
    <row r="1540" spans="6:15" x14ac:dyDescent="0.3">
      <c r="F1540" s="1"/>
      <c r="N1540" s="1"/>
    </row>
    <row r="1541" spans="6:15" x14ac:dyDescent="0.3">
      <c r="F1541" s="1"/>
      <c r="N1541" s="1"/>
    </row>
    <row r="1542" spans="6:15" x14ac:dyDescent="0.3">
      <c r="F1542" s="1"/>
    </row>
    <row r="1543" spans="6:15" x14ac:dyDescent="0.3">
      <c r="F1543" s="1"/>
    </row>
    <row r="1544" spans="6:15" x14ac:dyDescent="0.3">
      <c r="F1544" s="1"/>
    </row>
    <row r="1545" spans="6:15" x14ac:dyDescent="0.3">
      <c r="F1545" s="1"/>
    </row>
    <row r="1546" spans="6:15" x14ac:dyDescent="0.3">
      <c r="M1546" s="1"/>
    </row>
    <row r="1548" spans="6:15" x14ac:dyDescent="0.3">
      <c r="F1548" s="1"/>
    </row>
    <row r="1549" spans="6:15" x14ac:dyDescent="0.3">
      <c r="F1549" s="1"/>
    </row>
    <row r="1550" spans="6:15" x14ac:dyDescent="0.3">
      <c r="F1550" s="1"/>
      <c r="O1550" s="1"/>
    </row>
    <row r="1551" spans="6:15" x14ac:dyDescent="0.3">
      <c r="F1551" s="1"/>
    </row>
    <row r="1552" spans="6:15" x14ac:dyDescent="0.3">
      <c r="F1552" s="1"/>
    </row>
    <row r="1553" spans="6:15" x14ac:dyDescent="0.3">
      <c r="F1553" s="1"/>
    </row>
    <row r="1554" spans="6:15" x14ac:dyDescent="0.3">
      <c r="F1554" s="1"/>
    </row>
    <row r="1555" spans="6:15" x14ac:dyDescent="0.3">
      <c r="F1555" s="1"/>
    </row>
    <row r="1556" spans="6:15" x14ac:dyDescent="0.3">
      <c r="F1556" s="1"/>
    </row>
    <row r="1558" spans="6:15" x14ac:dyDescent="0.3">
      <c r="F1558" s="1"/>
    </row>
    <row r="1559" spans="6:15" x14ac:dyDescent="0.3">
      <c r="F1559" s="1"/>
    </row>
    <row r="1560" spans="6:15" x14ac:dyDescent="0.3">
      <c r="F1560" s="1"/>
    </row>
    <row r="1561" spans="6:15" x14ac:dyDescent="0.3">
      <c r="F1561" s="1"/>
    </row>
    <row r="1562" spans="6:15" x14ac:dyDescent="0.3">
      <c r="F1562" s="1"/>
    </row>
    <row r="1563" spans="6:15" x14ac:dyDescent="0.3">
      <c r="F1563" s="1"/>
    </row>
    <row r="1564" spans="6:15" x14ac:dyDescent="0.3">
      <c r="F1564" s="1"/>
    </row>
    <row r="1565" spans="6:15" x14ac:dyDescent="0.3">
      <c r="F1565" s="1"/>
    </row>
    <row r="1566" spans="6:15" x14ac:dyDescent="0.3">
      <c r="F1566" s="1"/>
    </row>
    <row r="1567" spans="6:15" x14ac:dyDescent="0.3">
      <c r="F1567" s="1"/>
    </row>
    <row r="1568" spans="6:15" x14ac:dyDescent="0.3">
      <c r="L1568" s="1"/>
      <c r="M1568" s="1"/>
      <c r="N1568" s="1"/>
      <c r="O1568" s="1"/>
    </row>
    <row r="1570" spans="6:15" x14ac:dyDescent="0.3">
      <c r="F1570" s="1"/>
      <c r="L1570" s="1"/>
    </row>
    <row r="1571" spans="6:15" x14ac:dyDescent="0.3">
      <c r="F1571" s="1"/>
    </row>
    <row r="1572" spans="6:15" x14ac:dyDescent="0.3">
      <c r="F1572" s="1"/>
    </row>
    <row r="1573" spans="6:15" x14ac:dyDescent="0.3">
      <c r="F1573" s="1"/>
      <c r="M1573" s="1"/>
    </row>
    <row r="1574" spans="6:15" x14ac:dyDescent="0.3">
      <c r="F1574" s="1"/>
    </row>
    <row r="1575" spans="6:15" x14ac:dyDescent="0.3">
      <c r="F1575" s="1"/>
    </row>
    <row r="1576" spans="6:15" x14ac:dyDescent="0.3">
      <c r="M1576" s="1"/>
    </row>
    <row r="1578" spans="6:15" x14ac:dyDescent="0.3">
      <c r="F1578" s="1"/>
    </row>
    <row r="1579" spans="6:15" x14ac:dyDescent="0.3">
      <c r="L1579" s="1"/>
      <c r="M1579" s="1"/>
    </row>
    <row r="1580" spans="6:15" x14ac:dyDescent="0.3">
      <c r="F1580" s="1"/>
    </row>
    <row r="1581" spans="6:15" x14ac:dyDescent="0.3">
      <c r="F1581" s="1"/>
      <c r="L1581" s="1"/>
      <c r="M1581" s="1"/>
      <c r="N1581" s="1"/>
      <c r="O1581" s="1"/>
    </row>
    <row r="1582" spans="6:15" x14ac:dyDescent="0.3">
      <c r="L1582" s="1"/>
      <c r="M1582" s="1"/>
      <c r="N1582" s="1"/>
      <c r="O1582" s="1"/>
    </row>
    <row r="1583" spans="6:15" x14ac:dyDescent="0.3">
      <c r="F1583" s="1"/>
    </row>
    <row r="1584" spans="6:15" x14ac:dyDescent="0.3">
      <c r="F1584" s="1"/>
    </row>
    <row r="1585" spans="6:14" x14ac:dyDescent="0.3">
      <c r="F1585" s="1"/>
    </row>
    <row r="1586" spans="6:14" x14ac:dyDescent="0.3">
      <c r="F1586" s="1"/>
      <c r="N1586" s="1"/>
    </row>
    <row r="1587" spans="6:14" x14ac:dyDescent="0.3">
      <c r="F1587" s="1"/>
    </row>
    <row r="1588" spans="6:14" x14ac:dyDescent="0.3">
      <c r="F1588" s="1"/>
    </row>
    <row r="1590" spans="6:14" x14ac:dyDescent="0.3">
      <c r="F1590" s="1"/>
    </row>
    <row r="1591" spans="6:14" x14ac:dyDescent="0.3">
      <c r="F1591" s="1"/>
    </row>
    <row r="1592" spans="6:14" x14ac:dyDescent="0.3">
      <c r="F1592" s="1"/>
    </row>
    <row r="1594" spans="6:14" x14ac:dyDescent="0.3">
      <c r="F1594" s="1"/>
    </row>
    <row r="1595" spans="6:14" x14ac:dyDescent="0.3">
      <c r="F1595" s="1"/>
    </row>
    <row r="1596" spans="6:14" x14ac:dyDescent="0.3">
      <c r="F1596" s="1"/>
    </row>
    <row r="1597" spans="6:14" x14ac:dyDescent="0.3">
      <c r="F1597" s="1"/>
    </row>
    <row r="1598" spans="6:14" x14ac:dyDescent="0.3">
      <c r="F1598" s="1"/>
    </row>
    <row r="1599" spans="6:14" x14ac:dyDescent="0.3">
      <c r="F1599" s="1"/>
    </row>
    <row r="1600" spans="6:14" x14ac:dyDescent="0.3">
      <c r="L1600" s="1"/>
      <c r="M1600" s="1"/>
      <c r="N1600" s="1"/>
    </row>
    <row r="1601" spans="6:14" x14ac:dyDescent="0.3">
      <c r="F1601" s="1"/>
    </row>
    <row r="1602" spans="6:14" x14ac:dyDescent="0.3">
      <c r="F1602" s="1"/>
    </row>
    <row r="1604" spans="6:14" x14ac:dyDescent="0.3">
      <c r="F1604" s="1"/>
    </row>
    <row r="1605" spans="6:14" x14ac:dyDescent="0.3">
      <c r="F1605" s="1"/>
    </row>
    <row r="1606" spans="6:14" x14ac:dyDescent="0.3">
      <c r="F1606" s="1"/>
      <c r="N1606" s="1"/>
    </row>
    <row r="1610" spans="6:14" x14ac:dyDescent="0.3">
      <c r="F1610" s="1"/>
    </row>
    <row r="1611" spans="6:14" x14ac:dyDescent="0.3">
      <c r="F1611" s="1"/>
    </row>
    <row r="1612" spans="6:14" x14ac:dyDescent="0.3">
      <c r="F1612" s="1"/>
    </row>
    <row r="1614" spans="6:14" x14ac:dyDescent="0.3">
      <c r="F1614" s="1"/>
    </row>
    <row r="1615" spans="6:14" x14ac:dyDescent="0.3">
      <c r="F1615" s="1"/>
    </row>
    <row r="1616" spans="6:14" x14ac:dyDescent="0.3">
      <c r="F1616" s="1"/>
    </row>
    <row r="1618" spans="6:15" x14ac:dyDescent="0.3">
      <c r="M1618" s="1"/>
      <c r="N1618" s="1"/>
    </row>
    <row r="1619" spans="6:15" x14ac:dyDescent="0.3">
      <c r="F1619" s="1"/>
    </row>
    <row r="1620" spans="6:15" x14ac:dyDescent="0.3">
      <c r="F1620" s="1"/>
    </row>
    <row r="1621" spans="6:15" x14ac:dyDescent="0.3">
      <c r="F1621" s="1"/>
    </row>
    <row r="1622" spans="6:15" x14ac:dyDescent="0.3">
      <c r="M1622" s="1"/>
    </row>
    <row r="1624" spans="6:15" x14ac:dyDescent="0.3">
      <c r="F1624" s="1"/>
    </row>
    <row r="1625" spans="6:15" x14ac:dyDescent="0.3">
      <c r="F1625" s="1"/>
    </row>
    <row r="1626" spans="6:15" x14ac:dyDescent="0.3">
      <c r="F1626" s="1"/>
    </row>
    <row r="1627" spans="6:15" x14ac:dyDescent="0.3">
      <c r="F1627" s="1"/>
    </row>
    <row r="1628" spans="6:15" x14ac:dyDescent="0.3">
      <c r="F1628" s="1"/>
    </row>
    <row r="1629" spans="6:15" x14ac:dyDescent="0.3">
      <c r="F1629" s="1"/>
    </row>
    <row r="1630" spans="6:15" x14ac:dyDescent="0.3">
      <c r="M1630" s="1"/>
      <c r="O1630" s="1"/>
    </row>
    <row r="1633" spans="6:15" x14ac:dyDescent="0.3">
      <c r="L1633" s="1"/>
      <c r="M1633" s="1"/>
      <c r="N1633" s="1"/>
      <c r="O1633" s="1"/>
    </row>
    <row r="1634" spans="6:15" x14ac:dyDescent="0.3">
      <c r="F1634" s="1"/>
    </row>
    <row r="1635" spans="6:15" x14ac:dyDescent="0.3">
      <c r="F1635" s="1"/>
    </row>
    <row r="1636" spans="6:15" x14ac:dyDescent="0.3">
      <c r="F1636" s="1"/>
    </row>
    <row r="1638" spans="6:15" x14ac:dyDescent="0.3">
      <c r="F1638" s="1"/>
      <c r="M1638" s="1"/>
    </row>
    <row r="1639" spans="6:15" x14ac:dyDescent="0.3">
      <c r="F1639" s="1"/>
    </row>
    <row r="1640" spans="6:15" x14ac:dyDescent="0.3">
      <c r="F1640" s="1"/>
    </row>
    <row r="1641" spans="6:15" x14ac:dyDescent="0.3">
      <c r="F1641" s="1"/>
    </row>
    <row r="1642" spans="6:15" x14ac:dyDescent="0.3">
      <c r="F1642" s="1"/>
    </row>
    <row r="1643" spans="6:15" x14ac:dyDescent="0.3">
      <c r="F1643" s="1"/>
    </row>
    <row r="1645" spans="6:15" x14ac:dyDescent="0.3">
      <c r="L1645" s="1"/>
      <c r="M1645" s="1"/>
      <c r="O1645" s="1"/>
    </row>
    <row r="1646" spans="6:15" x14ac:dyDescent="0.3">
      <c r="F1646" s="1"/>
    </row>
    <row r="1647" spans="6:15" x14ac:dyDescent="0.3">
      <c r="F1647" s="1"/>
    </row>
    <row r="1648" spans="6:15" x14ac:dyDescent="0.3">
      <c r="F1648" s="1"/>
    </row>
    <row r="1649" spans="6:15" x14ac:dyDescent="0.3">
      <c r="F1649" s="1"/>
    </row>
    <row r="1650" spans="6:15" x14ac:dyDescent="0.3">
      <c r="F1650" s="1"/>
    </row>
    <row r="1651" spans="6:15" x14ac:dyDescent="0.3">
      <c r="F1651" s="1"/>
    </row>
    <row r="1652" spans="6:15" x14ac:dyDescent="0.3">
      <c r="F1652" s="1"/>
    </row>
    <row r="1653" spans="6:15" x14ac:dyDescent="0.3">
      <c r="F1653" s="1"/>
    </row>
    <row r="1654" spans="6:15" x14ac:dyDescent="0.3">
      <c r="F1654" s="1"/>
    </row>
    <row r="1659" spans="6:15" x14ac:dyDescent="0.3">
      <c r="F1659" s="1"/>
    </row>
    <row r="1661" spans="6:15" x14ac:dyDescent="0.3">
      <c r="F1661" s="1"/>
    </row>
    <row r="1662" spans="6:15" x14ac:dyDescent="0.3">
      <c r="M1662" s="1"/>
    </row>
    <row r="1663" spans="6:15" x14ac:dyDescent="0.3">
      <c r="F1663" s="1"/>
    </row>
    <row r="1664" spans="6:15" x14ac:dyDescent="0.3">
      <c r="L1664" s="1"/>
      <c r="N1664" s="1"/>
      <c r="O1664" s="1"/>
    </row>
    <row r="1665" spans="6:13" x14ac:dyDescent="0.3">
      <c r="F1665" s="1"/>
    </row>
    <row r="1666" spans="6:13" x14ac:dyDescent="0.3">
      <c r="F1666" s="1"/>
    </row>
    <row r="1667" spans="6:13" x14ac:dyDescent="0.3">
      <c r="F1667" s="1"/>
      <c r="M1667" s="1"/>
    </row>
    <row r="1668" spans="6:13" x14ac:dyDescent="0.3">
      <c r="F1668" s="1"/>
    </row>
    <row r="1669" spans="6:13" x14ac:dyDescent="0.3">
      <c r="F1669" s="1"/>
    </row>
    <row r="1670" spans="6:13" x14ac:dyDescent="0.3">
      <c r="F1670" s="1"/>
    </row>
    <row r="1671" spans="6:13" x14ac:dyDescent="0.3">
      <c r="F1671" s="1"/>
    </row>
    <row r="1672" spans="6:13" x14ac:dyDescent="0.3">
      <c r="F1672" s="1"/>
    </row>
    <row r="1674" spans="6:13" x14ac:dyDescent="0.3">
      <c r="F1674" s="1"/>
    </row>
    <row r="1675" spans="6:13" x14ac:dyDescent="0.3">
      <c r="F1675" s="1"/>
    </row>
    <row r="1676" spans="6:13" x14ac:dyDescent="0.3">
      <c r="F1676" s="1"/>
    </row>
    <row r="1677" spans="6:13" x14ac:dyDescent="0.3">
      <c r="F1677" s="1"/>
    </row>
    <row r="1679" spans="6:13" x14ac:dyDescent="0.3">
      <c r="F1679" s="1"/>
    </row>
    <row r="1680" spans="6:13" x14ac:dyDescent="0.3">
      <c r="F1680" s="1"/>
    </row>
    <row r="1682" spans="6:15" x14ac:dyDescent="0.3">
      <c r="F1682" s="1"/>
    </row>
    <row r="1683" spans="6:15" x14ac:dyDescent="0.3">
      <c r="F1683" s="1"/>
    </row>
    <row r="1684" spans="6:15" x14ac:dyDescent="0.3">
      <c r="F1684" s="1"/>
      <c r="L1684" s="1"/>
      <c r="M1684" s="1"/>
      <c r="O1684" s="1"/>
    </row>
    <row r="1685" spans="6:15" x14ac:dyDescent="0.3">
      <c r="F1685" s="1"/>
    </row>
    <row r="1686" spans="6:15" x14ac:dyDescent="0.3">
      <c r="F1686" s="1"/>
    </row>
    <row r="1687" spans="6:15" x14ac:dyDescent="0.3">
      <c r="F1687" s="1"/>
    </row>
    <row r="1688" spans="6:15" x14ac:dyDescent="0.3">
      <c r="F1688" s="1"/>
    </row>
    <row r="1690" spans="6:15" x14ac:dyDescent="0.3">
      <c r="F1690" s="1"/>
    </row>
    <row r="1691" spans="6:15" x14ac:dyDescent="0.3">
      <c r="F1691" s="1"/>
    </row>
    <row r="1692" spans="6:15" x14ac:dyDescent="0.3">
      <c r="F1692" s="1"/>
    </row>
    <row r="1693" spans="6:15" x14ac:dyDescent="0.3">
      <c r="F1693" s="1"/>
    </row>
    <row r="1694" spans="6:15" x14ac:dyDescent="0.3">
      <c r="F1694" s="1"/>
    </row>
    <row r="1695" spans="6:15" x14ac:dyDescent="0.3">
      <c r="F1695" s="1"/>
    </row>
    <row r="1696" spans="6:15" x14ac:dyDescent="0.3">
      <c r="F1696" s="1"/>
    </row>
    <row r="1697" spans="6:14" x14ac:dyDescent="0.3">
      <c r="F1697" s="1"/>
    </row>
    <row r="1698" spans="6:14" x14ac:dyDescent="0.3">
      <c r="F1698" s="1"/>
    </row>
    <row r="1700" spans="6:14" x14ac:dyDescent="0.3">
      <c r="F1700" s="1"/>
      <c r="M1700" s="1"/>
    </row>
    <row r="1701" spans="6:14" x14ac:dyDescent="0.3">
      <c r="F1701" s="1"/>
      <c r="L1701" s="1"/>
      <c r="M1701" s="1"/>
    </row>
    <row r="1702" spans="6:14" x14ac:dyDescent="0.3">
      <c r="F1702" s="1"/>
    </row>
    <row r="1703" spans="6:14" x14ac:dyDescent="0.3">
      <c r="F1703" s="1"/>
    </row>
    <row r="1704" spans="6:14" x14ac:dyDescent="0.3">
      <c r="F1704" s="1"/>
    </row>
    <row r="1706" spans="6:14" x14ac:dyDescent="0.3">
      <c r="F1706" s="1"/>
    </row>
    <row r="1707" spans="6:14" x14ac:dyDescent="0.3">
      <c r="F1707" s="1"/>
    </row>
    <row r="1708" spans="6:14" x14ac:dyDescent="0.3">
      <c r="F1708" s="1"/>
    </row>
    <row r="1709" spans="6:14" x14ac:dyDescent="0.3">
      <c r="F1709" s="1"/>
    </row>
    <row r="1710" spans="6:14" x14ac:dyDescent="0.3">
      <c r="F1710" s="1"/>
    </row>
    <row r="1711" spans="6:14" x14ac:dyDescent="0.3">
      <c r="F1711" s="1"/>
      <c r="M1711" s="1"/>
    </row>
    <row r="1712" spans="6:14" x14ac:dyDescent="0.3">
      <c r="F1712" s="1"/>
      <c r="N1712" s="1"/>
    </row>
    <row r="1713" spans="6:14" x14ac:dyDescent="0.3">
      <c r="F1713" s="1"/>
    </row>
    <row r="1714" spans="6:14" x14ac:dyDescent="0.3">
      <c r="F1714" s="1"/>
    </row>
    <row r="1715" spans="6:14" x14ac:dyDescent="0.3">
      <c r="F1715" s="1"/>
    </row>
    <row r="1716" spans="6:14" x14ac:dyDescent="0.3">
      <c r="F1716" s="1"/>
    </row>
    <row r="1717" spans="6:14" x14ac:dyDescent="0.3">
      <c r="M1717" s="1"/>
      <c r="N1717" s="1"/>
    </row>
    <row r="1719" spans="6:14" x14ac:dyDescent="0.3">
      <c r="F1719" s="1"/>
    </row>
    <row r="1720" spans="6:14" x14ac:dyDescent="0.3">
      <c r="F1720" s="1"/>
    </row>
    <row r="1721" spans="6:14" x14ac:dyDescent="0.3">
      <c r="F1721" s="1"/>
    </row>
    <row r="1723" spans="6:14" x14ac:dyDescent="0.3">
      <c r="F1723" s="1"/>
    </row>
    <row r="1724" spans="6:14" x14ac:dyDescent="0.3">
      <c r="F1724" s="1"/>
    </row>
    <row r="1725" spans="6:14" x14ac:dyDescent="0.3">
      <c r="F1725" s="1"/>
    </row>
    <row r="1726" spans="6:14" x14ac:dyDescent="0.3">
      <c r="F1726" s="1"/>
    </row>
    <row r="1727" spans="6:14" x14ac:dyDescent="0.3">
      <c r="F1727" s="1"/>
    </row>
    <row r="1728" spans="6:14" x14ac:dyDescent="0.3">
      <c r="F1728" s="1"/>
    </row>
    <row r="1729" spans="6:14" x14ac:dyDescent="0.3">
      <c r="F1729" s="1"/>
    </row>
    <row r="1730" spans="6:14" x14ac:dyDescent="0.3">
      <c r="N1730" s="1"/>
    </row>
    <row r="1731" spans="6:14" x14ac:dyDescent="0.3">
      <c r="F1731" s="1"/>
      <c r="L1731" s="1"/>
    </row>
    <row r="1732" spans="6:14" x14ac:dyDescent="0.3">
      <c r="F1732" s="1"/>
    </row>
    <row r="1733" spans="6:14" x14ac:dyDescent="0.3">
      <c r="F1733" s="1"/>
    </row>
    <row r="1734" spans="6:14" x14ac:dyDescent="0.3">
      <c r="L1734" s="1"/>
      <c r="M1734" s="1"/>
    </row>
    <row r="1737" spans="6:14" x14ac:dyDescent="0.3">
      <c r="F1737" s="1"/>
    </row>
    <row r="1738" spans="6:14" x14ac:dyDescent="0.3">
      <c r="F1738" s="1"/>
    </row>
    <row r="1739" spans="6:14" x14ac:dyDescent="0.3">
      <c r="F1739" s="1"/>
    </row>
    <row r="1740" spans="6:14" x14ac:dyDescent="0.3">
      <c r="F1740" s="1"/>
    </row>
    <row r="1741" spans="6:14" x14ac:dyDescent="0.3">
      <c r="F1741" s="1"/>
    </row>
    <row r="1744" spans="6:14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9" spans="6:6" x14ac:dyDescent="0.3">
      <c r="F1759" s="1"/>
    </row>
    <row r="1760" spans="6:6" x14ac:dyDescent="0.3">
      <c r="F1760" s="1"/>
    </row>
    <row r="1761" spans="6:15" x14ac:dyDescent="0.3">
      <c r="F1761" s="1"/>
    </row>
    <row r="1762" spans="6:15" x14ac:dyDescent="0.3">
      <c r="F1762" s="1"/>
    </row>
    <row r="1763" spans="6:15" x14ac:dyDescent="0.3">
      <c r="F1763" s="1"/>
    </row>
    <row r="1765" spans="6:15" x14ac:dyDescent="0.3">
      <c r="F1765" s="1"/>
    </row>
    <row r="1766" spans="6:15" x14ac:dyDescent="0.3">
      <c r="F1766" s="1"/>
    </row>
    <row r="1767" spans="6:15" x14ac:dyDescent="0.3">
      <c r="F1767" s="1"/>
    </row>
    <row r="1769" spans="6:15" x14ac:dyDescent="0.3">
      <c r="F1769" s="1"/>
    </row>
    <row r="1770" spans="6:15" x14ac:dyDescent="0.3">
      <c r="F1770" s="1"/>
    </row>
    <row r="1771" spans="6:15" x14ac:dyDescent="0.3">
      <c r="F1771" s="1"/>
    </row>
    <row r="1773" spans="6:15" x14ac:dyDescent="0.3">
      <c r="O1773" s="1"/>
    </row>
    <row r="1774" spans="6:15" x14ac:dyDescent="0.3">
      <c r="F1774" s="1"/>
    </row>
    <row r="1775" spans="6:15" x14ac:dyDescent="0.3">
      <c r="F1775" s="1"/>
    </row>
    <row r="1776" spans="6:15" x14ac:dyDescent="0.3">
      <c r="F1776" s="1"/>
    </row>
    <row r="1777" spans="6:6" x14ac:dyDescent="0.3">
      <c r="F1777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14" x14ac:dyDescent="0.3">
      <c r="F1793" s="1"/>
    </row>
    <row r="1794" spans="6:14" x14ac:dyDescent="0.3">
      <c r="F1794" s="1"/>
    </row>
    <row r="1795" spans="6:14" x14ac:dyDescent="0.3">
      <c r="F1795" s="1"/>
    </row>
    <row r="1796" spans="6:14" x14ac:dyDescent="0.3">
      <c r="F1796" s="1"/>
    </row>
    <row r="1797" spans="6:14" x14ac:dyDescent="0.3">
      <c r="F1797" s="1"/>
    </row>
    <row r="1799" spans="6:14" x14ac:dyDescent="0.3">
      <c r="F1799" s="1"/>
      <c r="N1799" s="1"/>
    </row>
    <row r="1800" spans="6:14" x14ac:dyDescent="0.3">
      <c r="F1800" s="1"/>
    </row>
    <row r="1801" spans="6:14" x14ac:dyDescent="0.3">
      <c r="F1801" s="1"/>
    </row>
    <row r="1802" spans="6:14" x14ac:dyDescent="0.3">
      <c r="F1802" s="1"/>
    </row>
    <row r="1803" spans="6:14" x14ac:dyDescent="0.3">
      <c r="F1803" s="1"/>
    </row>
    <row r="1805" spans="6:14" x14ac:dyDescent="0.3">
      <c r="F1805" s="1"/>
      <c r="N1805" s="1"/>
    </row>
    <row r="1806" spans="6:14" x14ac:dyDescent="0.3">
      <c r="F1806" s="1"/>
    </row>
    <row r="1808" spans="6:14" x14ac:dyDescent="0.3">
      <c r="F1808" s="1"/>
    </row>
    <row r="1809" spans="6:15" x14ac:dyDescent="0.3">
      <c r="F1809" s="1"/>
    </row>
    <row r="1810" spans="6:15" x14ac:dyDescent="0.3">
      <c r="F1810" s="1"/>
    </row>
    <row r="1811" spans="6:15" x14ac:dyDescent="0.3">
      <c r="F1811" s="1"/>
    </row>
    <row r="1812" spans="6:15" x14ac:dyDescent="0.3">
      <c r="F1812" s="1"/>
    </row>
    <row r="1813" spans="6:15" x14ac:dyDescent="0.3">
      <c r="F1813" s="1"/>
    </row>
    <row r="1814" spans="6:15" x14ac:dyDescent="0.3">
      <c r="F1814" s="1"/>
    </row>
    <row r="1815" spans="6:15" x14ac:dyDescent="0.3">
      <c r="F1815" s="1"/>
    </row>
    <row r="1816" spans="6:15" x14ac:dyDescent="0.3">
      <c r="F1816" s="1"/>
    </row>
    <row r="1817" spans="6:15" x14ac:dyDescent="0.3">
      <c r="F1817" s="1"/>
    </row>
    <row r="1818" spans="6:15" x14ac:dyDescent="0.3">
      <c r="F1818" s="1"/>
    </row>
    <row r="1819" spans="6:15" x14ac:dyDescent="0.3">
      <c r="F1819" s="1"/>
      <c r="N1819" s="1"/>
    </row>
    <row r="1820" spans="6:15" x14ac:dyDescent="0.3">
      <c r="F1820" s="1"/>
    </row>
    <row r="1821" spans="6:15" x14ac:dyDescent="0.3">
      <c r="F1821" s="1"/>
    </row>
    <row r="1822" spans="6:15" x14ac:dyDescent="0.3">
      <c r="F1822" s="1"/>
    </row>
    <row r="1823" spans="6:15" x14ac:dyDescent="0.3">
      <c r="M1823" s="1"/>
      <c r="O1823" s="1"/>
    </row>
    <row r="1824" spans="6:15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30" spans="6:6" x14ac:dyDescent="0.3">
      <c r="F1830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2" spans="6:14" x14ac:dyDescent="0.3">
      <c r="F1842" s="1"/>
    </row>
    <row r="1843" spans="6:14" x14ac:dyDescent="0.3">
      <c r="F1843" s="1"/>
      <c r="M1843" s="1"/>
    </row>
    <row r="1844" spans="6:14" x14ac:dyDescent="0.3">
      <c r="F1844" s="1"/>
    </row>
    <row r="1845" spans="6:14" x14ac:dyDescent="0.3">
      <c r="F1845" s="1"/>
    </row>
    <row r="1846" spans="6:14" x14ac:dyDescent="0.3">
      <c r="F1846" s="1"/>
    </row>
    <row r="1847" spans="6:14" x14ac:dyDescent="0.3">
      <c r="F1847" s="1"/>
    </row>
    <row r="1848" spans="6:14" x14ac:dyDescent="0.3">
      <c r="F1848" s="1"/>
    </row>
    <row r="1849" spans="6:14" x14ac:dyDescent="0.3">
      <c r="F1849" s="1"/>
    </row>
    <row r="1850" spans="6:14" x14ac:dyDescent="0.3">
      <c r="F1850" s="1"/>
    </row>
    <row r="1851" spans="6:14" x14ac:dyDescent="0.3">
      <c r="F1851" s="1"/>
    </row>
    <row r="1852" spans="6:14" x14ac:dyDescent="0.3">
      <c r="F1852" s="1"/>
      <c r="M1852" s="1"/>
      <c r="N1852" s="1"/>
    </row>
    <row r="1853" spans="6:14" x14ac:dyDescent="0.3">
      <c r="F1853" s="1"/>
    </row>
    <row r="1854" spans="6:14" x14ac:dyDescent="0.3">
      <c r="F1854" s="1"/>
    </row>
    <row r="1855" spans="6:14" x14ac:dyDescent="0.3">
      <c r="F1855" s="1"/>
    </row>
    <row r="1857" spans="6:15" x14ac:dyDescent="0.3">
      <c r="F1857" s="1"/>
      <c r="L1857" s="1"/>
      <c r="M1857" s="1"/>
      <c r="N1857" s="1"/>
      <c r="O1857" s="1"/>
    </row>
    <row r="1858" spans="6:15" x14ac:dyDescent="0.3">
      <c r="F1858" s="1"/>
      <c r="L1858" s="1"/>
      <c r="N1858" s="1"/>
      <c r="O1858" s="1"/>
    </row>
    <row r="1859" spans="6:15" x14ac:dyDescent="0.3">
      <c r="F1859" s="1"/>
    </row>
    <row r="1860" spans="6:15" x14ac:dyDescent="0.3">
      <c r="F1860" s="1"/>
    </row>
    <row r="1861" spans="6:15" x14ac:dyDescent="0.3">
      <c r="F1861" s="1"/>
    </row>
    <row r="1862" spans="6:15" x14ac:dyDescent="0.3">
      <c r="F1862" s="1"/>
      <c r="N1862" s="1"/>
    </row>
    <row r="1863" spans="6:15" x14ac:dyDescent="0.3">
      <c r="F1863" s="1"/>
    </row>
    <row r="1864" spans="6:15" x14ac:dyDescent="0.3">
      <c r="F1864" s="1"/>
    </row>
    <row r="1865" spans="6:15" x14ac:dyDescent="0.3">
      <c r="F1865" s="1"/>
    </row>
    <row r="1867" spans="6:15" x14ac:dyDescent="0.3">
      <c r="F1867" s="1"/>
    </row>
    <row r="1868" spans="6:15" x14ac:dyDescent="0.3">
      <c r="F1868" s="1"/>
    </row>
    <row r="1869" spans="6:15" x14ac:dyDescent="0.3">
      <c r="F1869" s="1"/>
    </row>
    <row r="1870" spans="6:15" x14ac:dyDescent="0.3">
      <c r="F1870" s="1"/>
    </row>
    <row r="1871" spans="6:15" x14ac:dyDescent="0.3">
      <c r="F1871" s="1"/>
    </row>
    <row r="1872" spans="6:15" x14ac:dyDescent="0.3">
      <c r="F1872" s="1"/>
    </row>
    <row r="1873" spans="6:15" x14ac:dyDescent="0.3">
      <c r="F1873" s="1"/>
    </row>
    <row r="1874" spans="6:15" x14ac:dyDescent="0.3">
      <c r="F1874" s="1"/>
    </row>
    <row r="1875" spans="6:15" x14ac:dyDescent="0.3">
      <c r="M1875" s="1"/>
      <c r="N1875" s="1"/>
      <c r="O1875" s="1"/>
    </row>
    <row r="1876" spans="6:15" x14ac:dyDescent="0.3">
      <c r="F1876" s="1"/>
      <c r="M1876" s="1"/>
      <c r="N1876" s="1"/>
    </row>
    <row r="1877" spans="6:15" x14ac:dyDescent="0.3">
      <c r="F1877" s="1"/>
    </row>
    <row r="1878" spans="6:15" x14ac:dyDescent="0.3">
      <c r="F1878" s="1"/>
    </row>
    <row r="1879" spans="6:15" x14ac:dyDescent="0.3">
      <c r="F1879" s="1"/>
    </row>
    <row r="1880" spans="6:15" x14ac:dyDescent="0.3">
      <c r="F1880" s="1"/>
    </row>
    <row r="1881" spans="6:15" x14ac:dyDescent="0.3">
      <c r="F1881" s="1"/>
    </row>
    <row r="1882" spans="6:15" x14ac:dyDescent="0.3">
      <c r="F1882" s="1"/>
    </row>
    <row r="1884" spans="6:15" x14ac:dyDescent="0.3">
      <c r="F1884" s="1"/>
    </row>
    <row r="1885" spans="6:15" x14ac:dyDescent="0.3">
      <c r="F1885" s="1"/>
    </row>
    <row r="1886" spans="6:15" x14ac:dyDescent="0.3">
      <c r="F1886" s="1"/>
    </row>
    <row r="1887" spans="6:15" x14ac:dyDescent="0.3">
      <c r="F1887" s="1"/>
    </row>
    <row r="1888" spans="6:15" x14ac:dyDescent="0.3">
      <c r="F1888" s="1"/>
    </row>
    <row r="1889" spans="6:14" x14ac:dyDescent="0.3">
      <c r="F1889" s="1"/>
    </row>
    <row r="1890" spans="6:14" x14ac:dyDescent="0.3">
      <c r="F1890" s="1"/>
    </row>
    <row r="1891" spans="6:14" x14ac:dyDescent="0.3">
      <c r="F1891" s="1"/>
    </row>
    <row r="1892" spans="6:14" x14ac:dyDescent="0.3">
      <c r="F1892" s="1"/>
    </row>
    <row r="1893" spans="6:14" x14ac:dyDescent="0.3">
      <c r="F1893" s="1"/>
    </row>
    <row r="1894" spans="6:14" x14ac:dyDescent="0.3">
      <c r="F1894" s="1"/>
    </row>
    <row r="1895" spans="6:14" x14ac:dyDescent="0.3">
      <c r="F1895" s="1"/>
      <c r="N1895" s="1"/>
    </row>
    <row r="1896" spans="6:14" x14ac:dyDescent="0.3">
      <c r="F1896" s="1"/>
    </row>
    <row r="1898" spans="6:14" x14ac:dyDescent="0.3">
      <c r="F1898" s="1"/>
    </row>
    <row r="1900" spans="6:14" x14ac:dyDescent="0.3">
      <c r="F1900" s="1"/>
    </row>
    <row r="1901" spans="6:14" x14ac:dyDescent="0.3">
      <c r="F1901" s="1"/>
    </row>
    <row r="1902" spans="6:14" x14ac:dyDescent="0.3">
      <c r="F1902" s="1"/>
    </row>
    <row r="1904" spans="6:14" x14ac:dyDescent="0.3">
      <c r="F1904" s="1"/>
    </row>
    <row r="1905" spans="6:14" x14ac:dyDescent="0.3">
      <c r="F1905" s="1"/>
    </row>
    <row r="1906" spans="6:14" x14ac:dyDescent="0.3">
      <c r="F1906" s="1"/>
    </row>
    <row r="1907" spans="6:14" x14ac:dyDescent="0.3">
      <c r="F1907" s="1"/>
    </row>
    <row r="1909" spans="6:14" x14ac:dyDescent="0.3">
      <c r="F1909" s="1"/>
    </row>
    <row r="1910" spans="6:14" x14ac:dyDescent="0.3">
      <c r="F1910" s="1"/>
    </row>
    <row r="1911" spans="6:14" x14ac:dyDescent="0.3">
      <c r="F1911" s="1"/>
    </row>
    <row r="1912" spans="6:14" x14ac:dyDescent="0.3">
      <c r="F1912" s="1"/>
      <c r="N1912" s="1"/>
    </row>
    <row r="1913" spans="6:14" x14ac:dyDescent="0.3">
      <c r="F1913" s="1"/>
    </row>
    <row r="1915" spans="6:14" x14ac:dyDescent="0.3">
      <c r="F1915" s="1"/>
    </row>
    <row r="1916" spans="6:14" x14ac:dyDescent="0.3">
      <c r="F1916" s="1"/>
    </row>
    <row r="1917" spans="6:14" x14ac:dyDescent="0.3">
      <c r="F1917" s="1"/>
    </row>
    <row r="1918" spans="6:14" x14ac:dyDescent="0.3">
      <c r="F1918" s="1"/>
      <c r="N1918" s="1"/>
    </row>
    <row r="1919" spans="6:14" x14ac:dyDescent="0.3">
      <c r="F1919" s="1"/>
    </row>
    <row r="1920" spans="6:14" x14ac:dyDescent="0.3">
      <c r="F1920" s="1"/>
    </row>
    <row r="1921" spans="6:15" x14ac:dyDescent="0.3">
      <c r="F1921" s="1"/>
    </row>
    <row r="1922" spans="6:15" x14ac:dyDescent="0.3">
      <c r="F1922" s="1"/>
    </row>
    <row r="1923" spans="6:15" x14ac:dyDescent="0.3">
      <c r="F1923" s="1"/>
      <c r="M1923" s="1"/>
    </row>
    <row r="1924" spans="6:15" x14ac:dyDescent="0.3">
      <c r="F1924" s="1"/>
    </row>
    <row r="1925" spans="6:15" x14ac:dyDescent="0.3">
      <c r="F1925" s="1"/>
      <c r="L1925" s="1"/>
    </row>
    <row r="1926" spans="6:15" x14ac:dyDescent="0.3">
      <c r="F1926" s="1"/>
    </row>
    <row r="1927" spans="6:15" x14ac:dyDescent="0.3">
      <c r="F1927" s="1"/>
    </row>
    <row r="1928" spans="6:15" x14ac:dyDescent="0.3">
      <c r="F1928" s="1"/>
    </row>
    <row r="1929" spans="6:15" x14ac:dyDescent="0.3">
      <c r="F1929" s="1"/>
    </row>
    <row r="1930" spans="6:15" x14ac:dyDescent="0.3">
      <c r="F1930" s="1"/>
    </row>
    <row r="1931" spans="6:15" x14ac:dyDescent="0.3">
      <c r="F1931" s="1"/>
    </row>
    <row r="1932" spans="6:15" x14ac:dyDescent="0.3">
      <c r="F1932" s="1"/>
      <c r="M1932" s="1"/>
    </row>
    <row r="1933" spans="6:15" x14ac:dyDescent="0.3">
      <c r="F1933" s="1"/>
    </row>
    <row r="1934" spans="6:15" x14ac:dyDescent="0.3">
      <c r="L1934" s="1"/>
      <c r="O1934" s="1"/>
    </row>
    <row r="1935" spans="6:15" x14ac:dyDescent="0.3">
      <c r="F1935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2" spans="6:6" x14ac:dyDescent="0.3">
      <c r="F1942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14" x14ac:dyDescent="0.3">
      <c r="F1953" s="1"/>
    </row>
    <row r="1954" spans="6:14" x14ac:dyDescent="0.3">
      <c r="F1954" s="1"/>
      <c r="M1954" s="1"/>
    </row>
    <row r="1956" spans="6:14" x14ac:dyDescent="0.3">
      <c r="F1956" s="1"/>
    </row>
    <row r="1957" spans="6:14" x14ac:dyDescent="0.3">
      <c r="M1957" s="1"/>
      <c r="N1957" s="1"/>
    </row>
    <row r="1958" spans="6:14" x14ac:dyDescent="0.3">
      <c r="F1958" s="1"/>
    </row>
    <row r="1959" spans="6:14" x14ac:dyDescent="0.3">
      <c r="F1959" s="1"/>
    </row>
    <row r="1960" spans="6:14" x14ac:dyDescent="0.3">
      <c r="F1960" s="1"/>
    </row>
    <row r="1961" spans="6:14" x14ac:dyDescent="0.3">
      <c r="F1961" s="1"/>
    </row>
    <row r="1962" spans="6:14" x14ac:dyDescent="0.3">
      <c r="F1962" s="1"/>
    </row>
    <row r="1963" spans="6:14" x14ac:dyDescent="0.3">
      <c r="F1963" s="1"/>
    </row>
    <row r="1964" spans="6:14" x14ac:dyDescent="0.3">
      <c r="F1964" s="1"/>
    </row>
    <row r="1965" spans="6:14" x14ac:dyDescent="0.3">
      <c r="F1965" s="1"/>
    </row>
    <row r="1967" spans="6:14" x14ac:dyDescent="0.3">
      <c r="F1967" s="1"/>
    </row>
    <row r="1968" spans="6:14" x14ac:dyDescent="0.3">
      <c r="F1968" s="1"/>
    </row>
    <row r="1969" spans="6:12" x14ac:dyDescent="0.3">
      <c r="F1969" s="1"/>
    </row>
    <row r="1971" spans="6:12" x14ac:dyDescent="0.3">
      <c r="F1971" s="1"/>
    </row>
    <row r="1973" spans="6:12" x14ac:dyDescent="0.3">
      <c r="F1973" s="1"/>
    </row>
    <row r="1974" spans="6:12" x14ac:dyDescent="0.3">
      <c r="F1974" s="1"/>
    </row>
    <row r="1976" spans="6:12" x14ac:dyDescent="0.3">
      <c r="F1976" s="1"/>
    </row>
    <row r="1978" spans="6:12" x14ac:dyDescent="0.3">
      <c r="F1978" s="1"/>
    </row>
    <row r="1979" spans="6:12" x14ac:dyDescent="0.3">
      <c r="F1979" s="1"/>
    </row>
    <row r="1980" spans="6:12" x14ac:dyDescent="0.3">
      <c r="F1980" s="1"/>
      <c r="L1980" s="1"/>
    </row>
    <row r="1981" spans="6:12" x14ac:dyDescent="0.3">
      <c r="F1981" s="1"/>
    </row>
    <row r="1982" spans="6:12" x14ac:dyDescent="0.3">
      <c r="F1982" s="1"/>
    </row>
    <row r="1983" spans="6:12" x14ac:dyDescent="0.3">
      <c r="F1983" s="1"/>
    </row>
    <row r="1984" spans="6:12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14" x14ac:dyDescent="0.3">
      <c r="F2001" s="1"/>
    </row>
    <row r="2002" spans="6:14" x14ac:dyDescent="0.3">
      <c r="F2002" s="1"/>
    </row>
    <row r="2004" spans="6:14" x14ac:dyDescent="0.3">
      <c r="F2004" s="1"/>
    </row>
    <row r="2005" spans="6:14" x14ac:dyDescent="0.3">
      <c r="F2005" s="1"/>
    </row>
    <row r="2006" spans="6:14" x14ac:dyDescent="0.3">
      <c r="F2006" s="1"/>
    </row>
    <row r="2007" spans="6:14" x14ac:dyDescent="0.3">
      <c r="F2007" s="1"/>
    </row>
    <row r="2008" spans="6:14" x14ac:dyDescent="0.3">
      <c r="F2008" s="1"/>
    </row>
    <row r="2009" spans="6:14" x14ac:dyDescent="0.3">
      <c r="F2009" s="1"/>
    </row>
    <row r="2010" spans="6:14" x14ac:dyDescent="0.3">
      <c r="F2010" s="1"/>
      <c r="N2010" s="1"/>
    </row>
    <row r="2011" spans="6:14" x14ac:dyDescent="0.3">
      <c r="F2011" s="1"/>
    </row>
    <row r="2012" spans="6:14" x14ac:dyDescent="0.3">
      <c r="F2012" s="1"/>
    </row>
    <row r="2013" spans="6:14" x14ac:dyDescent="0.3">
      <c r="F2013" s="1"/>
    </row>
    <row r="2014" spans="6:14" x14ac:dyDescent="0.3">
      <c r="L2014" s="1"/>
      <c r="M2014" s="1"/>
    </row>
    <row r="2015" spans="6:14" x14ac:dyDescent="0.3">
      <c r="F2015" s="1"/>
    </row>
    <row r="2016" spans="6:14" x14ac:dyDescent="0.3">
      <c r="F2016" s="1"/>
    </row>
    <row r="2017" spans="6:15" x14ac:dyDescent="0.3">
      <c r="F2017" s="1"/>
    </row>
    <row r="2018" spans="6:15" x14ac:dyDescent="0.3">
      <c r="F2018" s="1"/>
    </row>
    <row r="2020" spans="6:15" x14ac:dyDescent="0.3">
      <c r="F2020" s="1"/>
    </row>
    <row r="2022" spans="6:15" x14ac:dyDescent="0.3">
      <c r="F2022" s="1"/>
    </row>
    <row r="2023" spans="6:15" x14ac:dyDescent="0.3">
      <c r="F2023" s="1"/>
    </row>
    <row r="2024" spans="6:15" x14ac:dyDescent="0.3">
      <c r="F2024" s="1"/>
    </row>
    <row r="2025" spans="6:15" x14ac:dyDescent="0.3">
      <c r="F2025" s="1"/>
    </row>
    <row r="2026" spans="6:15" x14ac:dyDescent="0.3">
      <c r="F2026" s="1"/>
    </row>
    <row r="2028" spans="6:15" x14ac:dyDescent="0.3">
      <c r="F2028" s="1"/>
    </row>
    <row r="2029" spans="6:15" x14ac:dyDescent="0.3">
      <c r="F2029" s="1"/>
    </row>
    <row r="2030" spans="6:15" x14ac:dyDescent="0.3">
      <c r="F2030" s="1"/>
    </row>
    <row r="2032" spans="6:15" x14ac:dyDescent="0.3">
      <c r="M2032" s="1"/>
      <c r="N2032" s="1"/>
      <c r="O2032" s="1"/>
    </row>
    <row r="2033" spans="6:15" x14ac:dyDescent="0.3">
      <c r="F2033" s="1"/>
    </row>
    <row r="2034" spans="6:15" x14ac:dyDescent="0.3">
      <c r="F2034" s="1"/>
      <c r="L2034" s="1"/>
      <c r="M2034" s="1"/>
    </row>
    <row r="2035" spans="6:15" x14ac:dyDescent="0.3">
      <c r="F2035" s="1"/>
    </row>
    <row r="2036" spans="6:15" x14ac:dyDescent="0.3">
      <c r="F2036" s="1"/>
    </row>
    <row r="2037" spans="6:15" x14ac:dyDescent="0.3">
      <c r="F2037" s="1"/>
    </row>
    <row r="2038" spans="6:15" x14ac:dyDescent="0.3">
      <c r="F2038" s="1"/>
    </row>
    <row r="2039" spans="6:15" x14ac:dyDescent="0.3">
      <c r="F2039" s="1"/>
    </row>
    <row r="2040" spans="6:15" x14ac:dyDescent="0.3">
      <c r="F2040" s="1"/>
    </row>
    <row r="2041" spans="6:15" x14ac:dyDescent="0.3">
      <c r="F2041" s="1"/>
    </row>
    <row r="2042" spans="6:15" x14ac:dyDescent="0.3">
      <c r="F2042" s="1"/>
    </row>
    <row r="2043" spans="6:15" x14ac:dyDescent="0.3">
      <c r="F2043" s="1"/>
    </row>
    <row r="2044" spans="6:15" x14ac:dyDescent="0.3">
      <c r="F2044" s="1"/>
    </row>
    <row r="2045" spans="6:15" x14ac:dyDescent="0.3">
      <c r="F2045" s="1"/>
    </row>
    <row r="2046" spans="6:15" x14ac:dyDescent="0.3">
      <c r="F2046" s="1"/>
    </row>
    <row r="2047" spans="6:15" x14ac:dyDescent="0.3">
      <c r="F2047" s="1"/>
    </row>
    <row r="2048" spans="6:15" x14ac:dyDescent="0.3">
      <c r="L2048" s="1"/>
      <c r="M2048" s="1"/>
      <c r="N2048" s="1"/>
      <c r="O2048" s="1"/>
    </row>
    <row r="2049" spans="6:13" x14ac:dyDescent="0.3">
      <c r="F2049" s="1"/>
    </row>
    <row r="2051" spans="6:13" x14ac:dyDescent="0.3">
      <c r="F2051" s="1"/>
    </row>
    <row r="2052" spans="6:13" x14ac:dyDescent="0.3">
      <c r="F2052" s="1"/>
    </row>
    <row r="2053" spans="6:13" x14ac:dyDescent="0.3">
      <c r="F2053" s="1"/>
      <c r="L2053" s="1"/>
      <c r="M2053" s="1"/>
    </row>
    <row r="2054" spans="6:13" x14ac:dyDescent="0.3">
      <c r="F2054" s="1"/>
    </row>
    <row r="2058" spans="6:13" x14ac:dyDescent="0.3">
      <c r="F2058" s="1"/>
    </row>
    <row r="2059" spans="6:13" x14ac:dyDescent="0.3">
      <c r="F2059" s="1"/>
    </row>
    <row r="2060" spans="6:13" x14ac:dyDescent="0.3">
      <c r="F2060" s="1"/>
    </row>
    <row r="2061" spans="6:13" x14ac:dyDescent="0.3">
      <c r="F2061" s="1"/>
    </row>
    <row r="2062" spans="6:13" x14ac:dyDescent="0.3">
      <c r="F2062" s="1"/>
    </row>
    <row r="2063" spans="6:13" x14ac:dyDescent="0.3">
      <c r="F2063" s="1"/>
    </row>
    <row r="2064" spans="6:13" x14ac:dyDescent="0.3">
      <c r="F2064" s="1"/>
    </row>
    <row r="2065" spans="6:14" x14ac:dyDescent="0.3">
      <c r="F2065" s="1"/>
    </row>
    <row r="2066" spans="6:14" x14ac:dyDescent="0.3">
      <c r="F2066" s="1"/>
    </row>
    <row r="2067" spans="6:14" x14ac:dyDescent="0.3">
      <c r="L2067" s="1"/>
    </row>
    <row r="2068" spans="6:14" x14ac:dyDescent="0.3">
      <c r="F2068" s="1"/>
    </row>
    <row r="2069" spans="6:14" x14ac:dyDescent="0.3">
      <c r="F2069" s="1"/>
    </row>
    <row r="2070" spans="6:14" x14ac:dyDescent="0.3">
      <c r="F2070" s="1"/>
    </row>
    <row r="2072" spans="6:14" x14ac:dyDescent="0.3">
      <c r="F2072" s="1"/>
      <c r="N2072" s="1"/>
    </row>
    <row r="2073" spans="6:14" x14ac:dyDescent="0.3">
      <c r="F2073" s="1"/>
    </row>
    <row r="2074" spans="6:14" x14ac:dyDescent="0.3">
      <c r="F2074" s="1"/>
    </row>
    <row r="2075" spans="6:14" x14ac:dyDescent="0.3">
      <c r="F2075" s="1"/>
      <c r="L2075" s="1"/>
    </row>
    <row r="2076" spans="6:14" x14ac:dyDescent="0.3">
      <c r="F2076" s="1"/>
    </row>
    <row r="2077" spans="6:14" x14ac:dyDescent="0.3">
      <c r="F2077" s="1"/>
    </row>
    <row r="2078" spans="6:14" x14ac:dyDescent="0.3">
      <c r="F2078" s="1"/>
    </row>
    <row r="2079" spans="6:14" x14ac:dyDescent="0.3">
      <c r="N2079" s="1"/>
    </row>
    <row r="2080" spans="6:14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14" x14ac:dyDescent="0.3">
      <c r="F2097" s="1"/>
    </row>
    <row r="2098" spans="6:14" x14ac:dyDescent="0.3">
      <c r="F2098" s="1"/>
    </row>
    <row r="2099" spans="6:14" x14ac:dyDescent="0.3">
      <c r="F2099" s="1"/>
    </row>
    <row r="2100" spans="6:14" x14ac:dyDescent="0.3">
      <c r="F2100" s="1"/>
    </row>
    <row r="2101" spans="6:14" x14ac:dyDescent="0.3">
      <c r="F2101" s="1"/>
    </row>
    <row r="2102" spans="6:14" x14ac:dyDescent="0.3">
      <c r="F2102" s="1"/>
    </row>
    <row r="2103" spans="6:14" x14ac:dyDescent="0.3">
      <c r="F2103" s="1"/>
    </row>
    <row r="2104" spans="6:14" x14ac:dyDescent="0.3">
      <c r="F2104" s="1"/>
    </row>
    <row r="2105" spans="6:14" x14ac:dyDescent="0.3">
      <c r="F2105" s="1"/>
    </row>
    <row r="2106" spans="6:14" x14ac:dyDescent="0.3">
      <c r="F2106" s="1"/>
    </row>
    <row r="2107" spans="6:14" x14ac:dyDescent="0.3">
      <c r="F2107" s="1"/>
    </row>
    <row r="2109" spans="6:14" x14ac:dyDescent="0.3">
      <c r="F2109" s="1"/>
    </row>
    <row r="2110" spans="6:14" x14ac:dyDescent="0.3">
      <c r="F2110" s="1"/>
    </row>
    <row r="2111" spans="6:14" x14ac:dyDescent="0.3">
      <c r="F2111" s="1"/>
    </row>
    <row r="2112" spans="6:14" x14ac:dyDescent="0.3">
      <c r="F2112" s="1"/>
      <c r="N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12" x14ac:dyDescent="0.3">
      <c r="F2129" s="1"/>
    </row>
    <row r="2130" spans="6:12" x14ac:dyDescent="0.3">
      <c r="F2130" s="1"/>
    </row>
    <row r="2131" spans="6:12" x14ac:dyDescent="0.3">
      <c r="F2131" s="1"/>
    </row>
    <row r="2132" spans="6:12" x14ac:dyDescent="0.3">
      <c r="F2132" s="1"/>
    </row>
    <row r="2133" spans="6:12" x14ac:dyDescent="0.3">
      <c r="F2133" s="1"/>
    </row>
    <row r="2134" spans="6:12" x14ac:dyDescent="0.3">
      <c r="F2134" s="1"/>
    </row>
    <row r="2135" spans="6:12" x14ac:dyDescent="0.3">
      <c r="F2135" s="1"/>
      <c r="L2135" s="1"/>
    </row>
    <row r="2136" spans="6:12" x14ac:dyDescent="0.3">
      <c r="F2136" s="1"/>
    </row>
    <row r="2137" spans="6:12" x14ac:dyDescent="0.3">
      <c r="F2137" s="1"/>
    </row>
    <row r="2138" spans="6:12" x14ac:dyDescent="0.3">
      <c r="F2138" s="1"/>
    </row>
    <row r="2139" spans="6:12" x14ac:dyDescent="0.3">
      <c r="F2139" s="1"/>
    </row>
    <row r="2140" spans="6:12" x14ac:dyDescent="0.3">
      <c r="F2140" s="1"/>
    </row>
    <row r="2141" spans="6:12" x14ac:dyDescent="0.3">
      <c r="F2141" s="1"/>
    </row>
    <row r="2142" spans="6:12" x14ac:dyDescent="0.3">
      <c r="F2142" s="1"/>
    </row>
    <row r="2143" spans="6:12" x14ac:dyDescent="0.3">
      <c r="F2143" s="1"/>
    </row>
    <row r="2144" spans="6:12" x14ac:dyDescent="0.3">
      <c r="L2144" s="1"/>
    </row>
    <row r="2145" spans="6:14" x14ac:dyDescent="0.3">
      <c r="F2145" s="1"/>
    </row>
    <row r="2146" spans="6:14" x14ac:dyDescent="0.3">
      <c r="F2146" s="1"/>
    </row>
    <row r="2147" spans="6:14" x14ac:dyDescent="0.3">
      <c r="F2147" s="1"/>
    </row>
    <row r="2148" spans="6:14" x14ac:dyDescent="0.3">
      <c r="F2148" s="1"/>
    </row>
    <row r="2149" spans="6:14" x14ac:dyDescent="0.3">
      <c r="F2149" s="1"/>
      <c r="N2149" s="1"/>
    </row>
    <row r="2150" spans="6:14" x14ac:dyDescent="0.3">
      <c r="F2150" s="1"/>
    </row>
    <row r="2151" spans="6:14" x14ac:dyDescent="0.3">
      <c r="F2151" s="1"/>
    </row>
    <row r="2153" spans="6:14" x14ac:dyDescent="0.3">
      <c r="F2153" s="1"/>
    </row>
    <row r="2154" spans="6:14" x14ac:dyDescent="0.3">
      <c r="F2154" s="1"/>
    </row>
    <row r="2155" spans="6:14" x14ac:dyDescent="0.3">
      <c r="F2155" s="1"/>
      <c r="N2155" s="1"/>
    </row>
    <row r="2156" spans="6:14" x14ac:dyDescent="0.3">
      <c r="F2156" s="1"/>
    </row>
    <row r="2157" spans="6:14" x14ac:dyDescent="0.3">
      <c r="F2157" s="1"/>
    </row>
    <row r="2158" spans="6:14" x14ac:dyDescent="0.3">
      <c r="F2158" s="1"/>
    </row>
    <row r="2159" spans="6:14" x14ac:dyDescent="0.3">
      <c r="F2159" s="1"/>
    </row>
    <row r="2160" spans="6:14" x14ac:dyDescent="0.3">
      <c r="F2160" s="1"/>
    </row>
    <row r="2161" spans="6:14" x14ac:dyDescent="0.3">
      <c r="F2161" s="1"/>
      <c r="N2161" s="1"/>
    </row>
    <row r="2162" spans="6:14" x14ac:dyDescent="0.3">
      <c r="F2162" s="1"/>
    </row>
    <row r="2163" spans="6:14" x14ac:dyDescent="0.3">
      <c r="F2163" s="1"/>
    </row>
    <row r="2164" spans="6:14" x14ac:dyDescent="0.3">
      <c r="F2164" s="1"/>
    </row>
    <row r="2165" spans="6:14" x14ac:dyDescent="0.3">
      <c r="F2165" s="1"/>
    </row>
    <row r="2166" spans="6:14" x14ac:dyDescent="0.3">
      <c r="F2166" s="1"/>
    </row>
    <row r="2167" spans="6:14" x14ac:dyDescent="0.3">
      <c r="F2167" s="1"/>
    </row>
    <row r="2168" spans="6:14" x14ac:dyDescent="0.3">
      <c r="F2168" s="1"/>
    </row>
    <row r="2169" spans="6:14" x14ac:dyDescent="0.3">
      <c r="F2169" s="1"/>
    </row>
    <row r="2170" spans="6:14" x14ac:dyDescent="0.3">
      <c r="F2170" s="1"/>
    </row>
    <row r="2171" spans="6:14" x14ac:dyDescent="0.3">
      <c r="F2171" s="1"/>
    </row>
    <row r="2172" spans="6:14" x14ac:dyDescent="0.3">
      <c r="F2172" s="1"/>
    </row>
    <row r="2173" spans="6:14" x14ac:dyDescent="0.3">
      <c r="F2173" s="1"/>
    </row>
    <row r="2175" spans="6:14" x14ac:dyDescent="0.3">
      <c r="F2175" s="1"/>
    </row>
    <row r="2176" spans="6:14" x14ac:dyDescent="0.3">
      <c r="F2176" s="1"/>
    </row>
    <row r="2177" spans="6:14" x14ac:dyDescent="0.3">
      <c r="F2177" s="1"/>
    </row>
    <row r="2178" spans="6:14" x14ac:dyDescent="0.3">
      <c r="F2178" s="1"/>
    </row>
    <row r="2179" spans="6:14" x14ac:dyDescent="0.3">
      <c r="M2179" s="1"/>
      <c r="N2179" s="1"/>
    </row>
    <row r="2181" spans="6:14" x14ac:dyDescent="0.3">
      <c r="F2181" s="1"/>
    </row>
    <row r="2182" spans="6:14" x14ac:dyDescent="0.3">
      <c r="F2182" s="1"/>
    </row>
    <row r="2183" spans="6:14" x14ac:dyDescent="0.3">
      <c r="F2183" s="1"/>
    </row>
    <row r="2184" spans="6:14" x14ac:dyDescent="0.3">
      <c r="F2184" s="1"/>
    </row>
    <row r="2185" spans="6:14" x14ac:dyDescent="0.3">
      <c r="F2185" s="1"/>
    </row>
    <row r="2186" spans="6:14" x14ac:dyDescent="0.3">
      <c r="F2186" s="1"/>
    </row>
    <row r="2187" spans="6:14" x14ac:dyDescent="0.3">
      <c r="F2187" s="1"/>
    </row>
    <row r="2188" spans="6:14" x14ac:dyDescent="0.3">
      <c r="F2188" s="1"/>
    </row>
    <row r="2189" spans="6:14" x14ac:dyDescent="0.3">
      <c r="F2189" s="1"/>
    </row>
    <row r="2190" spans="6:14" x14ac:dyDescent="0.3">
      <c r="F2190" s="1"/>
    </row>
    <row r="2191" spans="6:14" x14ac:dyDescent="0.3">
      <c r="F2191" s="1"/>
    </row>
    <row r="2192" spans="6:14" x14ac:dyDescent="0.3">
      <c r="F2192" s="1"/>
    </row>
    <row r="2193" spans="6:13" x14ac:dyDescent="0.3">
      <c r="F2193" s="1"/>
    </row>
    <row r="2194" spans="6:13" x14ac:dyDescent="0.3">
      <c r="F2194" s="1"/>
    </row>
    <row r="2195" spans="6:13" x14ac:dyDescent="0.3">
      <c r="F2195" s="1"/>
      <c r="L2195" s="1"/>
    </row>
    <row r="2196" spans="6:13" x14ac:dyDescent="0.3">
      <c r="F2196" s="1"/>
    </row>
    <row r="2197" spans="6:13" x14ac:dyDescent="0.3">
      <c r="L2197" s="1"/>
    </row>
    <row r="2199" spans="6:13" x14ac:dyDescent="0.3">
      <c r="F2199" s="1"/>
    </row>
    <row r="2200" spans="6:13" x14ac:dyDescent="0.3">
      <c r="F2200" s="1"/>
    </row>
    <row r="2201" spans="6:13" x14ac:dyDescent="0.3">
      <c r="F2201" s="1"/>
    </row>
    <row r="2202" spans="6:13" x14ac:dyDescent="0.3">
      <c r="F2202" s="1"/>
    </row>
    <row r="2203" spans="6:13" x14ac:dyDescent="0.3">
      <c r="F2203" s="1"/>
    </row>
    <row r="2204" spans="6:13" x14ac:dyDescent="0.3">
      <c r="F2204" s="1"/>
    </row>
    <row r="2205" spans="6:13" x14ac:dyDescent="0.3">
      <c r="F2205" s="1"/>
    </row>
    <row r="2206" spans="6:13" x14ac:dyDescent="0.3">
      <c r="F2206" s="1"/>
    </row>
    <row r="2207" spans="6:13" x14ac:dyDescent="0.3">
      <c r="F2207" s="1"/>
      <c r="L2207" s="1"/>
      <c r="M2207" s="1"/>
    </row>
    <row r="2210" spans="6:13" x14ac:dyDescent="0.3">
      <c r="M2210" s="1"/>
    </row>
    <row r="2211" spans="6:13" x14ac:dyDescent="0.3">
      <c r="F2211" s="1"/>
    </row>
    <row r="2212" spans="6:13" x14ac:dyDescent="0.3">
      <c r="F2212" s="1"/>
    </row>
    <row r="2213" spans="6:13" x14ac:dyDescent="0.3">
      <c r="F2213" s="1"/>
    </row>
    <row r="2214" spans="6:13" x14ac:dyDescent="0.3">
      <c r="F2214" s="1"/>
    </row>
    <row r="2215" spans="6:13" x14ac:dyDescent="0.3">
      <c r="F2215" s="1"/>
    </row>
    <row r="2216" spans="6:13" x14ac:dyDescent="0.3">
      <c r="F2216" s="1"/>
    </row>
    <row r="2217" spans="6:13" x14ac:dyDescent="0.3">
      <c r="F2217" s="1"/>
    </row>
    <row r="2218" spans="6:13" x14ac:dyDescent="0.3">
      <c r="F2218" s="1"/>
    </row>
    <row r="2219" spans="6:13" x14ac:dyDescent="0.3">
      <c r="F2219" s="1"/>
    </row>
    <row r="2220" spans="6:13" x14ac:dyDescent="0.3">
      <c r="F2220" s="1"/>
    </row>
    <row r="2222" spans="6:13" x14ac:dyDescent="0.3">
      <c r="F2222" s="1"/>
    </row>
    <row r="2223" spans="6:13" x14ac:dyDescent="0.3">
      <c r="F2223" s="1"/>
    </row>
    <row r="2224" spans="6:13" x14ac:dyDescent="0.3">
      <c r="F2224" s="1"/>
    </row>
    <row r="2225" spans="6:13" x14ac:dyDescent="0.3">
      <c r="F2225" s="1"/>
    </row>
    <row r="2226" spans="6:13" x14ac:dyDescent="0.3">
      <c r="F2226" s="1"/>
      <c r="M2226" s="1"/>
    </row>
    <row r="2227" spans="6:13" x14ac:dyDescent="0.3">
      <c r="L2227" s="1"/>
    </row>
    <row r="2228" spans="6:13" x14ac:dyDescent="0.3">
      <c r="F2228" s="1"/>
    </row>
    <row r="2230" spans="6:13" x14ac:dyDescent="0.3">
      <c r="F2230" s="1"/>
    </row>
    <row r="2231" spans="6:13" x14ac:dyDescent="0.3">
      <c r="F2231" s="1"/>
    </row>
    <row r="2232" spans="6:13" x14ac:dyDescent="0.3">
      <c r="F2232" s="1"/>
    </row>
    <row r="2233" spans="6:13" x14ac:dyDescent="0.3">
      <c r="F2233" s="1"/>
      <c r="L2233" s="1"/>
    </row>
    <row r="2236" spans="6:13" x14ac:dyDescent="0.3">
      <c r="F2236" s="1"/>
    </row>
    <row r="2239" spans="6:13" x14ac:dyDescent="0.3">
      <c r="F2239" s="1"/>
    </row>
    <row r="2240" spans="6:13" x14ac:dyDescent="0.3">
      <c r="F2240" s="1"/>
      <c r="L2240" s="1"/>
    </row>
    <row r="2241" spans="6:15" x14ac:dyDescent="0.3">
      <c r="M2241" s="1"/>
      <c r="N2241" s="1"/>
      <c r="O2241" s="1"/>
    </row>
    <row r="2242" spans="6:15" x14ac:dyDescent="0.3">
      <c r="F2242" s="1"/>
    </row>
    <row r="2244" spans="6:15" x14ac:dyDescent="0.3">
      <c r="F2244" s="1"/>
    </row>
    <row r="2245" spans="6:15" x14ac:dyDescent="0.3">
      <c r="O2245" s="1"/>
    </row>
    <row r="2246" spans="6:15" x14ac:dyDescent="0.3">
      <c r="F2246" s="1"/>
    </row>
    <row r="2247" spans="6:15" x14ac:dyDescent="0.3">
      <c r="F2247" s="1"/>
    </row>
    <row r="2248" spans="6:15" x14ac:dyDescent="0.3">
      <c r="F2248" s="1"/>
    </row>
    <row r="2249" spans="6:15" x14ac:dyDescent="0.3">
      <c r="L2249" s="1"/>
      <c r="O2249" s="1"/>
    </row>
    <row r="2250" spans="6:15" x14ac:dyDescent="0.3">
      <c r="F2250" s="1"/>
    </row>
    <row r="2251" spans="6:15" x14ac:dyDescent="0.3">
      <c r="F2251" s="1"/>
    </row>
    <row r="2253" spans="6:15" x14ac:dyDescent="0.3">
      <c r="F2253" s="1"/>
    </row>
    <row r="2254" spans="6:15" x14ac:dyDescent="0.3">
      <c r="F2254" s="1"/>
    </row>
    <row r="2255" spans="6:15" x14ac:dyDescent="0.3">
      <c r="F2255" s="1"/>
    </row>
    <row r="2256" spans="6:15" x14ac:dyDescent="0.3">
      <c r="F2256" s="1"/>
    </row>
    <row r="2257" spans="6:15" x14ac:dyDescent="0.3">
      <c r="F2257" s="1"/>
      <c r="N2257" s="1"/>
    </row>
    <row r="2258" spans="6:15" x14ac:dyDescent="0.3">
      <c r="F2258" s="1"/>
    </row>
    <row r="2259" spans="6:15" x14ac:dyDescent="0.3">
      <c r="F2259" s="1"/>
    </row>
    <row r="2260" spans="6:15" x14ac:dyDescent="0.3">
      <c r="F2260" s="1"/>
    </row>
    <row r="2261" spans="6:15" x14ac:dyDescent="0.3">
      <c r="F2261" s="1"/>
    </row>
    <row r="2262" spans="6:15" x14ac:dyDescent="0.3">
      <c r="F2262" s="1"/>
    </row>
    <row r="2263" spans="6:15" x14ac:dyDescent="0.3">
      <c r="F2263" s="1"/>
    </row>
    <row r="2265" spans="6:15" x14ac:dyDescent="0.3">
      <c r="F2265" s="1"/>
    </row>
    <row r="2266" spans="6:15" x14ac:dyDescent="0.3">
      <c r="F2266" s="1"/>
    </row>
    <row r="2267" spans="6:15" x14ac:dyDescent="0.3">
      <c r="F2267" s="1"/>
    </row>
    <row r="2268" spans="6:15" x14ac:dyDescent="0.3">
      <c r="F2268" s="1"/>
    </row>
    <row r="2270" spans="6:15" x14ac:dyDescent="0.3">
      <c r="L2270" s="1"/>
      <c r="M2270" s="1"/>
      <c r="O2270" s="1"/>
    </row>
    <row r="2272" spans="6:15" x14ac:dyDescent="0.3">
      <c r="F2272" s="1"/>
    </row>
    <row r="2273" spans="6:15" x14ac:dyDescent="0.3">
      <c r="F2273" s="1"/>
    </row>
    <row r="2274" spans="6:15" x14ac:dyDescent="0.3">
      <c r="F2274" s="1"/>
    </row>
    <row r="2275" spans="6:15" x14ac:dyDescent="0.3">
      <c r="F2275" s="1"/>
    </row>
    <row r="2276" spans="6:15" x14ac:dyDescent="0.3">
      <c r="F2276" s="1"/>
    </row>
    <row r="2277" spans="6:15" x14ac:dyDescent="0.3">
      <c r="F2277" s="1"/>
    </row>
    <row r="2278" spans="6:15" x14ac:dyDescent="0.3">
      <c r="F2278" s="1"/>
    </row>
    <row r="2279" spans="6:15" x14ac:dyDescent="0.3">
      <c r="F2279" s="1"/>
    </row>
    <row r="2281" spans="6:15" x14ac:dyDescent="0.3">
      <c r="F2281" s="1"/>
    </row>
    <row r="2282" spans="6:15" x14ac:dyDescent="0.3">
      <c r="F2282" s="1"/>
    </row>
    <row r="2283" spans="6:15" x14ac:dyDescent="0.3">
      <c r="F2283" s="1"/>
    </row>
    <row r="2284" spans="6:15" x14ac:dyDescent="0.3">
      <c r="F2284" s="1"/>
    </row>
    <row r="2285" spans="6:15" x14ac:dyDescent="0.3">
      <c r="F2285" s="1"/>
    </row>
    <row r="2286" spans="6:15" x14ac:dyDescent="0.3">
      <c r="F2286" s="1"/>
    </row>
    <row r="2287" spans="6:15" x14ac:dyDescent="0.3">
      <c r="L2287" s="1"/>
    </row>
    <row r="2288" spans="6:15" x14ac:dyDescent="0.3">
      <c r="M2288" s="1"/>
      <c r="O2288" s="1"/>
    </row>
    <row r="2290" spans="6:13" x14ac:dyDescent="0.3">
      <c r="F2290" s="1"/>
      <c r="L2290" s="1"/>
    </row>
    <row r="2291" spans="6:13" x14ac:dyDescent="0.3">
      <c r="F2291" s="1"/>
    </row>
    <row r="2292" spans="6:13" x14ac:dyDescent="0.3">
      <c r="F2292" s="1"/>
    </row>
    <row r="2293" spans="6:13" x14ac:dyDescent="0.3">
      <c r="L2293" s="1"/>
    </row>
    <row r="2294" spans="6:13" x14ac:dyDescent="0.3">
      <c r="F2294" s="1"/>
    </row>
    <row r="2295" spans="6:13" x14ac:dyDescent="0.3">
      <c r="F2295" s="1"/>
    </row>
    <row r="2296" spans="6:13" x14ac:dyDescent="0.3">
      <c r="F2296" s="1"/>
      <c r="L2296" s="1"/>
      <c r="M2296" s="1"/>
    </row>
    <row r="2298" spans="6:13" x14ac:dyDescent="0.3">
      <c r="F2298" s="1"/>
    </row>
    <row r="2299" spans="6:13" x14ac:dyDescent="0.3">
      <c r="F2299" s="1"/>
    </row>
    <row r="2300" spans="6:13" x14ac:dyDescent="0.3">
      <c r="F2300" s="1"/>
    </row>
    <row r="2301" spans="6:13" x14ac:dyDescent="0.3">
      <c r="F2301" s="1"/>
    </row>
    <row r="2304" spans="6:13" x14ac:dyDescent="0.3">
      <c r="F2304" s="1"/>
      <c r="L2304" s="1"/>
    </row>
    <row r="2305" spans="6:14" x14ac:dyDescent="0.3">
      <c r="F2305" s="1"/>
    </row>
    <row r="2306" spans="6:14" x14ac:dyDescent="0.3">
      <c r="F2306" s="1"/>
    </row>
    <row r="2307" spans="6:14" x14ac:dyDescent="0.3">
      <c r="F2307" s="1"/>
    </row>
    <row r="2308" spans="6:14" x14ac:dyDescent="0.3">
      <c r="F2308" s="1"/>
    </row>
    <row r="2309" spans="6:14" x14ac:dyDescent="0.3">
      <c r="F2309" s="1"/>
    </row>
    <row r="2311" spans="6:14" x14ac:dyDescent="0.3">
      <c r="F2311" s="1"/>
    </row>
    <row r="2314" spans="6:14" x14ac:dyDescent="0.3">
      <c r="F2314" s="1"/>
      <c r="N2314" s="1"/>
    </row>
    <row r="2315" spans="6:14" x14ac:dyDescent="0.3">
      <c r="F2315" s="1"/>
    </row>
    <row r="2316" spans="6:14" x14ac:dyDescent="0.3">
      <c r="F2316" s="1"/>
    </row>
    <row r="2317" spans="6:14" x14ac:dyDescent="0.3">
      <c r="F2317" s="1"/>
    </row>
    <row r="2318" spans="6:14" x14ac:dyDescent="0.3">
      <c r="F2318" s="1"/>
      <c r="L2318" s="1"/>
    </row>
    <row r="2319" spans="6:14" x14ac:dyDescent="0.3">
      <c r="F2319" s="1"/>
      <c r="L2319" s="1"/>
    </row>
    <row r="2320" spans="6:14" x14ac:dyDescent="0.3">
      <c r="F2320" s="1"/>
    </row>
    <row r="2322" spans="6:14" x14ac:dyDescent="0.3">
      <c r="F2322" s="1"/>
    </row>
    <row r="2323" spans="6:14" x14ac:dyDescent="0.3">
      <c r="F2323" s="1"/>
      <c r="N2323" s="1"/>
    </row>
    <row r="2325" spans="6:14" x14ac:dyDescent="0.3">
      <c r="F2325" s="1"/>
    </row>
    <row r="2326" spans="6:14" x14ac:dyDescent="0.3">
      <c r="F2326" s="1"/>
      <c r="M2326" s="1"/>
    </row>
    <row r="2327" spans="6:14" x14ac:dyDescent="0.3">
      <c r="F2327" s="1"/>
    </row>
    <row r="2329" spans="6:14" x14ac:dyDescent="0.3">
      <c r="F2329" s="1"/>
    </row>
    <row r="2330" spans="6:14" x14ac:dyDescent="0.3">
      <c r="F2330" s="1"/>
    </row>
    <row r="2331" spans="6:14" x14ac:dyDescent="0.3">
      <c r="F2331" s="1"/>
    </row>
    <row r="2332" spans="6:14" x14ac:dyDescent="0.3">
      <c r="F2332" s="1"/>
    </row>
    <row r="2333" spans="6:14" x14ac:dyDescent="0.3">
      <c r="F2333" s="1"/>
    </row>
    <row r="2334" spans="6:14" x14ac:dyDescent="0.3">
      <c r="F2334" s="1"/>
    </row>
    <row r="2335" spans="6:14" x14ac:dyDescent="0.3">
      <c r="F2335" s="1"/>
    </row>
    <row r="2336" spans="6:14" x14ac:dyDescent="0.3">
      <c r="F2336" s="1"/>
    </row>
    <row r="2337" spans="6:15" x14ac:dyDescent="0.3">
      <c r="F2337" s="1"/>
    </row>
    <row r="2338" spans="6:15" x14ac:dyDescent="0.3">
      <c r="F2338" s="1"/>
    </row>
    <row r="2339" spans="6:15" x14ac:dyDescent="0.3">
      <c r="F2339" s="1"/>
    </row>
    <row r="2340" spans="6:15" x14ac:dyDescent="0.3">
      <c r="F2340" s="1"/>
    </row>
    <row r="2341" spans="6:15" x14ac:dyDescent="0.3">
      <c r="L2341" s="1"/>
      <c r="M2341" s="1"/>
      <c r="N2341" s="1"/>
      <c r="O2341" s="1"/>
    </row>
    <row r="2342" spans="6:15" x14ac:dyDescent="0.3">
      <c r="F2342" s="1"/>
    </row>
    <row r="2343" spans="6:15" x14ac:dyDescent="0.3">
      <c r="F2343" s="1"/>
      <c r="N2343" s="1"/>
    </row>
    <row r="2344" spans="6:15" x14ac:dyDescent="0.3">
      <c r="F2344" s="1"/>
      <c r="N2344" s="1"/>
    </row>
    <row r="2345" spans="6:15" x14ac:dyDescent="0.3">
      <c r="F2345" s="1"/>
    </row>
    <row r="2346" spans="6:15" x14ac:dyDescent="0.3">
      <c r="L2346" s="1"/>
      <c r="M2346" s="1"/>
      <c r="N2346" s="1"/>
    </row>
    <row r="2347" spans="6:15" x14ac:dyDescent="0.3">
      <c r="F2347" s="1"/>
    </row>
    <row r="2348" spans="6:15" x14ac:dyDescent="0.3">
      <c r="F2348" s="1"/>
    </row>
    <row r="2349" spans="6:15" x14ac:dyDescent="0.3">
      <c r="F2349" s="1"/>
    </row>
    <row r="2350" spans="6:15" x14ac:dyDescent="0.3">
      <c r="F2350" s="1"/>
    </row>
    <row r="2351" spans="6:15" x14ac:dyDescent="0.3">
      <c r="F2351" s="1"/>
    </row>
    <row r="2352" spans="6:15" x14ac:dyDescent="0.3">
      <c r="F2352" s="1"/>
    </row>
    <row r="2353" spans="6:14" x14ac:dyDescent="0.3">
      <c r="F2353" s="1"/>
    </row>
    <row r="2354" spans="6:14" x14ac:dyDescent="0.3">
      <c r="F2354" s="1"/>
    </row>
    <row r="2355" spans="6:14" x14ac:dyDescent="0.3">
      <c r="F2355" s="1"/>
    </row>
    <row r="2356" spans="6:14" x14ac:dyDescent="0.3">
      <c r="F2356" s="1"/>
      <c r="N2356" s="1"/>
    </row>
    <row r="2357" spans="6:14" x14ac:dyDescent="0.3">
      <c r="F2357" s="1"/>
    </row>
    <row r="2358" spans="6:14" x14ac:dyDescent="0.3">
      <c r="F2358" s="1"/>
    </row>
    <row r="2359" spans="6:14" x14ac:dyDescent="0.3">
      <c r="F2359" s="1"/>
    </row>
    <row r="2361" spans="6:14" x14ac:dyDescent="0.3">
      <c r="F2361" s="1"/>
    </row>
    <row r="2362" spans="6:14" x14ac:dyDescent="0.3">
      <c r="F2362" s="1"/>
    </row>
    <row r="2363" spans="6:14" x14ac:dyDescent="0.3">
      <c r="F2363" s="1"/>
    </row>
    <row r="2364" spans="6:14" x14ac:dyDescent="0.3">
      <c r="F2364" s="1"/>
    </row>
    <row r="2365" spans="6:14" x14ac:dyDescent="0.3">
      <c r="F2365" s="1"/>
    </row>
    <row r="2366" spans="6:14" x14ac:dyDescent="0.3">
      <c r="F2366" s="1"/>
    </row>
    <row r="2367" spans="6:14" x14ac:dyDescent="0.3">
      <c r="F2367" s="1"/>
    </row>
    <row r="2368" spans="6:14" x14ac:dyDescent="0.3">
      <c r="F2368" s="1"/>
    </row>
    <row r="2370" spans="6:15" x14ac:dyDescent="0.3">
      <c r="F2370" s="1"/>
    </row>
    <row r="2372" spans="6:15" x14ac:dyDescent="0.3">
      <c r="F2372" s="1"/>
    </row>
    <row r="2373" spans="6:15" x14ac:dyDescent="0.3">
      <c r="F2373" s="1"/>
    </row>
    <row r="2374" spans="6:15" x14ac:dyDescent="0.3">
      <c r="F2374" s="1"/>
    </row>
    <row r="2375" spans="6:15" x14ac:dyDescent="0.3">
      <c r="F2375" s="1"/>
    </row>
    <row r="2376" spans="6:15" x14ac:dyDescent="0.3">
      <c r="F2376" s="1"/>
      <c r="L2376" s="1"/>
      <c r="M2376" s="1"/>
      <c r="N2376" s="1"/>
    </row>
    <row r="2377" spans="6:15" x14ac:dyDescent="0.3">
      <c r="N2377" s="1"/>
      <c r="O2377" s="1"/>
    </row>
    <row r="2378" spans="6:15" x14ac:dyDescent="0.3">
      <c r="F2378" s="1"/>
    </row>
    <row r="2379" spans="6:15" x14ac:dyDescent="0.3">
      <c r="F2379" s="1"/>
    </row>
    <row r="2380" spans="6:15" x14ac:dyDescent="0.3">
      <c r="F2380" s="1"/>
      <c r="M2380" s="1"/>
      <c r="N2380" s="1"/>
    </row>
    <row r="2381" spans="6:15" x14ac:dyDescent="0.3">
      <c r="F2381" s="1"/>
      <c r="L2381" s="1"/>
      <c r="N2381" s="1"/>
    </row>
    <row r="2382" spans="6:15" x14ac:dyDescent="0.3">
      <c r="F2382" s="1"/>
    </row>
    <row r="2383" spans="6:15" x14ac:dyDescent="0.3">
      <c r="F2383" s="1"/>
    </row>
    <row r="2385" spans="6:12" x14ac:dyDescent="0.3">
      <c r="F2385" s="1"/>
    </row>
    <row r="2386" spans="6:12" x14ac:dyDescent="0.3">
      <c r="F2386" s="1"/>
    </row>
    <row r="2387" spans="6:12" x14ac:dyDescent="0.3">
      <c r="F2387" s="1"/>
    </row>
    <row r="2388" spans="6:12" x14ac:dyDescent="0.3">
      <c r="F2388" s="1"/>
    </row>
    <row r="2389" spans="6:12" x14ac:dyDescent="0.3">
      <c r="F2389" s="1"/>
    </row>
    <row r="2390" spans="6:12" x14ac:dyDescent="0.3">
      <c r="F2390" s="1"/>
    </row>
    <row r="2391" spans="6:12" x14ac:dyDescent="0.3">
      <c r="F2391" s="1"/>
    </row>
    <row r="2392" spans="6:12" x14ac:dyDescent="0.3">
      <c r="F2392" s="1"/>
      <c r="L2392" s="1"/>
    </row>
    <row r="2393" spans="6:12" x14ac:dyDescent="0.3">
      <c r="F2393" s="1"/>
    </row>
    <row r="2394" spans="6:12" x14ac:dyDescent="0.3">
      <c r="F2394" s="1"/>
    </row>
    <row r="2395" spans="6:12" x14ac:dyDescent="0.3">
      <c r="F2395" s="1"/>
    </row>
    <row r="2396" spans="6:12" x14ac:dyDescent="0.3">
      <c r="F2396" s="1"/>
    </row>
    <row r="2397" spans="6:12" x14ac:dyDescent="0.3">
      <c r="F2397" s="1"/>
    </row>
    <row r="2398" spans="6:12" x14ac:dyDescent="0.3">
      <c r="F2398" s="1"/>
    </row>
    <row r="2400" spans="6:12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4" spans="6:6" x14ac:dyDescent="0.3">
      <c r="F2414" s="1"/>
    </row>
    <row r="2416" spans="6:6" x14ac:dyDescent="0.3">
      <c r="F2416" s="1"/>
    </row>
    <row r="2417" spans="6:15" x14ac:dyDescent="0.3">
      <c r="F2417" s="1"/>
    </row>
    <row r="2418" spans="6:15" x14ac:dyDescent="0.3">
      <c r="F2418" s="1"/>
      <c r="N2418" s="1"/>
    </row>
    <row r="2419" spans="6:15" x14ac:dyDescent="0.3">
      <c r="F2419" s="1"/>
    </row>
    <row r="2420" spans="6:15" x14ac:dyDescent="0.3">
      <c r="F2420" s="1"/>
    </row>
    <row r="2421" spans="6:15" x14ac:dyDescent="0.3">
      <c r="F2421" s="1"/>
    </row>
    <row r="2422" spans="6:15" x14ac:dyDescent="0.3">
      <c r="F2422" s="1"/>
    </row>
    <row r="2423" spans="6:15" x14ac:dyDescent="0.3">
      <c r="F2423" s="1"/>
    </row>
    <row r="2424" spans="6:15" x14ac:dyDescent="0.3">
      <c r="F2424" s="1"/>
    </row>
    <row r="2426" spans="6:15" x14ac:dyDescent="0.3">
      <c r="O2426" s="1"/>
    </row>
    <row r="2427" spans="6:15" x14ac:dyDescent="0.3">
      <c r="F2427" s="1"/>
    </row>
    <row r="2428" spans="6:15" x14ac:dyDescent="0.3">
      <c r="F2428" s="1"/>
    </row>
    <row r="2429" spans="6:15" x14ac:dyDescent="0.3">
      <c r="F2429" s="1"/>
    </row>
    <row r="2430" spans="6:15" x14ac:dyDescent="0.3">
      <c r="F2430" s="1"/>
    </row>
    <row r="2431" spans="6:15" x14ac:dyDescent="0.3">
      <c r="F2431" s="1"/>
    </row>
    <row r="2432" spans="6:15" x14ac:dyDescent="0.3">
      <c r="F2432" s="1"/>
    </row>
    <row r="2434" spans="6:15" x14ac:dyDescent="0.3">
      <c r="F2434" s="1"/>
    </row>
    <row r="2435" spans="6:15" x14ac:dyDescent="0.3">
      <c r="F2435" s="1"/>
    </row>
    <row r="2436" spans="6:15" x14ac:dyDescent="0.3">
      <c r="F2436" s="1"/>
    </row>
    <row r="2437" spans="6:15" x14ac:dyDescent="0.3">
      <c r="F2437" s="1"/>
    </row>
    <row r="2438" spans="6:15" x14ac:dyDescent="0.3">
      <c r="L2438" s="1"/>
      <c r="M2438" s="1"/>
      <c r="N2438" s="1"/>
      <c r="O2438" s="1"/>
    </row>
    <row r="2439" spans="6:15" x14ac:dyDescent="0.3">
      <c r="F2439" s="1"/>
    </row>
    <row r="2440" spans="6:15" x14ac:dyDescent="0.3">
      <c r="L2440" s="1"/>
      <c r="M2440" s="1"/>
      <c r="O2440" s="1"/>
    </row>
    <row r="2442" spans="6:15" x14ac:dyDescent="0.3">
      <c r="F2442" s="1"/>
    </row>
    <row r="2443" spans="6:15" x14ac:dyDescent="0.3">
      <c r="F2443" s="1"/>
    </row>
    <row r="2444" spans="6:15" x14ac:dyDescent="0.3">
      <c r="F2444" s="1"/>
      <c r="N2444" s="1"/>
    </row>
    <row r="2445" spans="6:15" x14ac:dyDescent="0.3">
      <c r="F2445" s="1"/>
    </row>
    <row r="2447" spans="6:15" x14ac:dyDescent="0.3">
      <c r="F2447" s="1"/>
      <c r="L2447" s="1"/>
      <c r="N2447" s="1"/>
    </row>
    <row r="2448" spans="6:15" x14ac:dyDescent="0.3">
      <c r="L2448" s="1"/>
      <c r="O2448" s="1"/>
    </row>
    <row r="2449" spans="6:14" x14ac:dyDescent="0.3">
      <c r="N2449" s="1"/>
    </row>
    <row r="2450" spans="6:14" x14ac:dyDescent="0.3">
      <c r="F2450" s="1"/>
    </row>
    <row r="2451" spans="6:14" x14ac:dyDescent="0.3">
      <c r="F2451" s="1"/>
      <c r="N2451" s="1"/>
    </row>
    <row r="2452" spans="6:14" x14ac:dyDescent="0.3">
      <c r="F2452" s="1"/>
    </row>
    <row r="2453" spans="6:14" x14ac:dyDescent="0.3">
      <c r="F2453" s="1"/>
    </row>
    <row r="2455" spans="6:14" x14ac:dyDescent="0.3">
      <c r="F2455" s="1"/>
    </row>
    <row r="2456" spans="6:14" x14ac:dyDescent="0.3">
      <c r="F2456" s="1"/>
    </row>
    <row r="2457" spans="6:14" x14ac:dyDescent="0.3">
      <c r="F2457" s="1"/>
    </row>
    <row r="2458" spans="6:14" x14ac:dyDescent="0.3">
      <c r="F2458" s="1"/>
    </row>
    <row r="2460" spans="6:14" x14ac:dyDescent="0.3">
      <c r="F2460" s="1"/>
    </row>
    <row r="2461" spans="6:14" x14ac:dyDescent="0.3">
      <c r="F2461" s="1"/>
    </row>
    <row r="2462" spans="6:14" x14ac:dyDescent="0.3">
      <c r="F2462" s="1"/>
    </row>
    <row r="2463" spans="6:14" x14ac:dyDescent="0.3">
      <c r="F2463" s="1"/>
    </row>
    <row r="2464" spans="6:14" x14ac:dyDescent="0.3">
      <c r="F2464" s="1"/>
    </row>
    <row r="2465" spans="6:15" x14ac:dyDescent="0.3">
      <c r="F2465" s="1"/>
    </row>
    <row r="2466" spans="6:15" x14ac:dyDescent="0.3">
      <c r="F2466" s="1"/>
    </row>
    <row r="2467" spans="6:15" x14ac:dyDescent="0.3">
      <c r="F2467" s="1"/>
    </row>
    <row r="2468" spans="6:15" x14ac:dyDescent="0.3">
      <c r="F2468" s="1"/>
    </row>
    <row r="2469" spans="6:15" x14ac:dyDescent="0.3">
      <c r="F2469" s="1"/>
      <c r="L2469" s="1"/>
      <c r="M2469" s="1"/>
    </row>
    <row r="2470" spans="6:15" x14ac:dyDescent="0.3">
      <c r="F2470" s="1"/>
      <c r="M2470" s="1"/>
      <c r="O2470" s="1"/>
    </row>
    <row r="2471" spans="6:15" x14ac:dyDescent="0.3">
      <c r="F2471" s="1"/>
    </row>
    <row r="2472" spans="6:15" x14ac:dyDescent="0.3">
      <c r="F2472" s="1"/>
    </row>
    <row r="2473" spans="6:15" x14ac:dyDescent="0.3">
      <c r="F2473" s="1"/>
    </row>
    <row r="2474" spans="6:15" x14ac:dyDescent="0.3">
      <c r="F2474" s="1"/>
    </row>
    <row r="2475" spans="6:15" x14ac:dyDescent="0.3">
      <c r="F2475" s="1"/>
    </row>
    <row r="2476" spans="6:15" x14ac:dyDescent="0.3">
      <c r="F2476" s="1"/>
    </row>
    <row r="2477" spans="6:15" x14ac:dyDescent="0.3">
      <c r="F2477" s="1"/>
    </row>
    <row r="2478" spans="6:15" x14ac:dyDescent="0.3">
      <c r="F2478" s="1"/>
    </row>
    <row r="2479" spans="6:15" x14ac:dyDescent="0.3">
      <c r="N2479" s="1"/>
    </row>
    <row r="2480" spans="6:15" x14ac:dyDescent="0.3">
      <c r="F2480" s="1"/>
    </row>
    <row r="2481" spans="6:6" x14ac:dyDescent="0.3">
      <c r="F2481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7" spans="6:12" x14ac:dyDescent="0.3">
      <c r="F2497" s="1"/>
    </row>
    <row r="2498" spans="6:12" x14ac:dyDescent="0.3">
      <c r="F2498" s="1"/>
    </row>
    <row r="2499" spans="6:12" x14ac:dyDescent="0.3">
      <c r="F2499" s="1"/>
      <c r="L2499" s="1"/>
    </row>
    <row r="2500" spans="6:12" x14ac:dyDescent="0.3">
      <c r="F2500" s="1"/>
    </row>
    <row r="2501" spans="6:12" x14ac:dyDescent="0.3">
      <c r="F2501" s="1"/>
    </row>
    <row r="2502" spans="6:12" x14ac:dyDescent="0.3">
      <c r="F2502" s="1"/>
    </row>
    <row r="2503" spans="6:12" x14ac:dyDescent="0.3">
      <c r="F2503" s="1"/>
    </row>
    <row r="2505" spans="6:12" x14ac:dyDescent="0.3">
      <c r="F2505" s="1"/>
    </row>
    <row r="2506" spans="6:12" x14ac:dyDescent="0.3">
      <c r="F2506" s="1"/>
    </row>
    <row r="2507" spans="6:12" x14ac:dyDescent="0.3">
      <c r="F2507" s="1"/>
    </row>
    <row r="2508" spans="6:12" x14ac:dyDescent="0.3">
      <c r="F2508" s="1"/>
    </row>
    <row r="2509" spans="6:12" x14ac:dyDescent="0.3">
      <c r="F2509" s="1"/>
    </row>
    <row r="2510" spans="6:12" x14ac:dyDescent="0.3">
      <c r="F2510" s="1"/>
    </row>
    <row r="2511" spans="6:12" x14ac:dyDescent="0.3">
      <c r="F2511" s="1"/>
      <c r="L2511" s="1"/>
    </row>
    <row r="2512" spans="6:12" x14ac:dyDescent="0.3">
      <c r="F2512" s="1"/>
    </row>
    <row r="2513" spans="6:15" x14ac:dyDescent="0.3">
      <c r="F2513" s="1"/>
    </row>
    <row r="2514" spans="6:15" x14ac:dyDescent="0.3">
      <c r="F2514" s="1"/>
    </row>
    <row r="2515" spans="6:15" x14ac:dyDescent="0.3">
      <c r="F2515" s="1"/>
    </row>
    <row r="2516" spans="6:15" x14ac:dyDescent="0.3">
      <c r="F2516" s="1"/>
    </row>
    <row r="2517" spans="6:15" x14ac:dyDescent="0.3">
      <c r="F2517" s="1"/>
    </row>
    <row r="2518" spans="6:15" x14ac:dyDescent="0.3">
      <c r="F2518" s="1"/>
    </row>
    <row r="2519" spans="6:15" x14ac:dyDescent="0.3">
      <c r="F2519" s="1"/>
    </row>
    <row r="2520" spans="6:15" x14ac:dyDescent="0.3">
      <c r="F2520" s="1"/>
    </row>
    <row r="2521" spans="6:15" x14ac:dyDescent="0.3">
      <c r="F2521" s="1"/>
    </row>
    <row r="2522" spans="6:15" x14ac:dyDescent="0.3">
      <c r="F2522" s="1"/>
    </row>
    <row r="2525" spans="6:15" x14ac:dyDescent="0.3">
      <c r="F2525" s="1"/>
    </row>
    <row r="2526" spans="6:15" x14ac:dyDescent="0.3">
      <c r="M2526" s="1"/>
      <c r="O2526" s="1"/>
    </row>
    <row r="2527" spans="6:15" x14ac:dyDescent="0.3">
      <c r="F2527" s="1"/>
    </row>
    <row r="2528" spans="6:15" x14ac:dyDescent="0.3">
      <c r="F2528" s="1"/>
    </row>
    <row r="2529" spans="6:15" x14ac:dyDescent="0.3">
      <c r="F2529" s="1"/>
    </row>
    <row r="2531" spans="6:15" x14ac:dyDescent="0.3">
      <c r="F2531" s="1"/>
    </row>
    <row r="2532" spans="6:15" x14ac:dyDescent="0.3">
      <c r="F2532" s="1"/>
    </row>
    <row r="2533" spans="6:15" x14ac:dyDescent="0.3">
      <c r="F2533" s="1"/>
      <c r="L2533" s="1"/>
      <c r="M2533" s="1"/>
      <c r="N2533" s="1"/>
      <c r="O2533" s="1"/>
    </row>
    <row r="2534" spans="6:15" x14ac:dyDescent="0.3">
      <c r="F2534" s="1"/>
    </row>
    <row r="2535" spans="6:15" x14ac:dyDescent="0.3">
      <c r="F2535" s="1"/>
    </row>
    <row r="2536" spans="6:15" x14ac:dyDescent="0.3">
      <c r="F2536" s="1"/>
    </row>
    <row r="2537" spans="6:15" x14ac:dyDescent="0.3">
      <c r="F2537" s="1"/>
    </row>
    <row r="2538" spans="6:15" x14ac:dyDescent="0.3">
      <c r="F2538" s="1"/>
    </row>
    <row r="2539" spans="6:15" x14ac:dyDescent="0.3">
      <c r="F2539" s="1"/>
    </row>
    <row r="2540" spans="6:15" x14ac:dyDescent="0.3">
      <c r="F2540" s="1"/>
    </row>
    <row r="2541" spans="6:15" x14ac:dyDescent="0.3">
      <c r="F2541" s="1"/>
    </row>
    <row r="2544" spans="6:15" x14ac:dyDescent="0.3">
      <c r="F2544" s="1"/>
      <c r="N2544" s="1"/>
    </row>
    <row r="2545" spans="6:12" x14ac:dyDescent="0.3">
      <c r="F2545" s="1"/>
    </row>
    <row r="2546" spans="6:12" x14ac:dyDescent="0.3">
      <c r="F2546" s="1"/>
    </row>
    <row r="2547" spans="6:12" x14ac:dyDescent="0.3">
      <c r="F2547" s="1"/>
    </row>
    <row r="2548" spans="6:12" x14ac:dyDescent="0.3">
      <c r="F2548" s="1"/>
      <c r="L2548" s="1"/>
    </row>
    <row r="2549" spans="6:12" x14ac:dyDescent="0.3">
      <c r="F2549" s="1"/>
    </row>
    <row r="2550" spans="6:12" x14ac:dyDescent="0.3">
      <c r="F2550" s="1"/>
    </row>
    <row r="2551" spans="6:12" x14ac:dyDescent="0.3">
      <c r="F2551" s="1"/>
    </row>
    <row r="2552" spans="6:12" x14ac:dyDescent="0.3">
      <c r="F2552" s="1"/>
    </row>
    <row r="2553" spans="6:12" x14ac:dyDescent="0.3">
      <c r="F2553" s="1"/>
    </row>
    <row r="2554" spans="6:12" x14ac:dyDescent="0.3">
      <c r="F2554" s="1"/>
    </row>
    <row r="2555" spans="6:12" x14ac:dyDescent="0.3">
      <c r="F2555" s="1"/>
    </row>
    <row r="2556" spans="6:12" x14ac:dyDescent="0.3">
      <c r="F2556" s="1"/>
    </row>
    <row r="2557" spans="6:12" x14ac:dyDescent="0.3">
      <c r="F2557" s="1"/>
    </row>
    <row r="2558" spans="6:12" x14ac:dyDescent="0.3">
      <c r="F2558" s="1"/>
    </row>
    <row r="2559" spans="6:12" x14ac:dyDescent="0.3">
      <c r="F2559" s="1"/>
      <c r="L2559" s="1"/>
    </row>
    <row r="2560" spans="6:12" x14ac:dyDescent="0.3">
      <c r="F2560" s="1"/>
    </row>
    <row r="2561" spans="6:12" x14ac:dyDescent="0.3">
      <c r="F2561" s="1"/>
    </row>
    <row r="2565" spans="6:12" x14ac:dyDescent="0.3">
      <c r="F2565" s="1"/>
    </row>
    <row r="2566" spans="6:12" x14ac:dyDescent="0.3">
      <c r="F2566" s="1"/>
    </row>
    <row r="2568" spans="6:12" x14ac:dyDescent="0.3">
      <c r="F2568" s="1"/>
    </row>
    <row r="2569" spans="6:12" x14ac:dyDescent="0.3">
      <c r="F2569" s="1"/>
    </row>
    <row r="2570" spans="6:12" x14ac:dyDescent="0.3">
      <c r="F2570" s="1"/>
    </row>
    <row r="2571" spans="6:12" x14ac:dyDescent="0.3">
      <c r="F2571" s="1"/>
    </row>
    <row r="2572" spans="6:12" x14ac:dyDescent="0.3">
      <c r="F2572" s="1"/>
    </row>
    <row r="2573" spans="6:12" x14ac:dyDescent="0.3">
      <c r="F2573" s="1"/>
    </row>
    <row r="2574" spans="6:12" x14ac:dyDescent="0.3">
      <c r="F2574" s="1"/>
    </row>
    <row r="2575" spans="6:12" x14ac:dyDescent="0.3">
      <c r="F2575" s="1"/>
    </row>
    <row r="2576" spans="6:12" x14ac:dyDescent="0.3">
      <c r="F2576" s="1"/>
      <c r="L2576" s="1"/>
    </row>
    <row r="2577" spans="6:15" x14ac:dyDescent="0.3">
      <c r="F2577" s="1"/>
    </row>
    <row r="2578" spans="6:15" x14ac:dyDescent="0.3">
      <c r="F2578" s="1"/>
      <c r="M2578" s="1"/>
    </row>
    <row r="2580" spans="6:15" x14ac:dyDescent="0.3">
      <c r="F2580" s="1"/>
      <c r="O2580" s="1"/>
    </row>
    <row r="2581" spans="6:15" x14ac:dyDescent="0.3">
      <c r="F2581" s="1"/>
    </row>
    <row r="2582" spans="6:15" x14ac:dyDescent="0.3">
      <c r="F2582" s="1"/>
    </row>
    <row r="2583" spans="6:15" x14ac:dyDescent="0.3">
      <c r="F2583" s="1"/>
    </row>
    <row r="2584" spans="6:15" x14ac:dyDescent="0.3">
      <c r="F2584" s="1"/>
    </row>
    <row r="2585" spans="6:15" x14ac:dyDescent="0.3">
      <c r="F2585" s="1"/>
    </row>
    <row r="2586" spans="6:15" x14ac:dyDescent="0.3">
      <c r="F2586" s="1"/>
      <c r="L2586" s="1"/>
    </row>
    <row r="2587" spans="6:15" x14ac:dyDescent="0.3">
      <c r="F2587" s="1"/>
      <c r="M2587" s="1"/>
    </row>
    <row r="2591" spans="6:15" x14ac:dyDescent="0.3">
      <c r="M2591" s="1"/>
    </row>
    <row r="2592" spans="6:15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7" spans="6:6" x14ac:dyDescent="0.3">
      <c r="F2607" s="1"/>
    </row>
    <row r="2609" spans="6:15" x14ac:dyDescent="0.3">
      <c r="F2609" s="1"/>
    </row>
    <row r="2611" spans="6:15" x14ac:dyDescent="0.3">
      <c r="F2611" s="1"/>
      <c r="M2611" s="1"/>
    </row>
    <row r="2613" spans="6:15" x14ac:dyDescent="0.3">
      <c r="F2613" s="1"/>
    </row>
    <row r="2614" spans="6:15" x14ac:dyDescent="0.3">
      <c r="F2614" s="1"/>
      <c r="L2614" s="1"/>
      <c r="M2614" s="1"/>
      <c r="N2614" s="1"/>
      <c r="O2614" s="1"/>
    </row>
    <row r="2615" spans="6:15" x14ac:dyDescent="0.3">
      <c r="F2615" s="1"/>
    </row>
    <row r="2616" spans="6:15" x14ac:dyDescent="0.3">
      <c r="F2616" s="1"/>
    </row>
    <row r="2617" spans="6:15" x14ac:dyDescent="0.3">
      <c r="F2617" s="1"/>
    </row>
    <row r="2618" spans="6:15" x14ac:dyDescent="0.3">
      <c r="F2618" s="1"/>
      <c r="L2618" s="1"/>
      <c r="N2618" s="1"/>
    </row>
    <row r="2622" spans="6:15" x14ac:dyDescent="0.3">
      <c r="F2622" s="1"/>
    </row>
    <row r="2624" spans="6:15" x14ac:dyDescent="0.3">
      <c r="F2624" s="1"/>
    </row>
    <row r="2625" spans="6:14" x14ac:dyDescent="0.3">
      <c r="F2625" s="1"/>
      <c r="L2625" s="1"/>
    </row>
    <row r="2626" spans="6:14" x14ac:dyDescent="0.3">
      <c r="F2626" s="1"/>
    </row>
    <row r="2627" spans="6:14" x14ac:dyDescent="0.3">
      <c r="F2627" s="1"/>
    </row>
    <row r="2628" spans="6:14" x14ac:dyDescent="0.3">
      <c r="F2628" s="1"/>
    </row>
    <row r="2629" spans="6:14" x14ac:dyDescent="0.3">
      <c r="F2629" s="1"/>
    </row>
    <row r="2630" spans="6:14" x14ac:dyDescent="0.3">
      <c r="F2630" s="1"/>
    </row>
    <row r="2631" spans="6:14" x14ac:dyDescent="0.3">
      <c r="F2631" s="1"/>
    </row>
    <row r="2632" spans="6:14" x14ac:dyDescent="0.3">
      <c r="F2632" s="1"/>
    </row>
    <row r="2633" spans="6:14" x14ac:dyDescent="0.3">
      <c r="F2633" s="1"/>
    </row>
    <row r="2634" spans="6:14" x14ac:dyDescent="0.3">
      <c r="F2634" s="1"/>
    </row>
    <row r="2635" spans="6:14" x14ac:dyDescent="0.3">
      <c r="F2635" s="1"/>
    </row>
    <row r="2636" spans="6:14" x14ac:dyDescent="0.3">
      <c r="N2636" s="1"/>
    </row>
    <row r="2637" spans="6:14" x14ac:dyDescent="0.3">
      <c r="F2637" s="1"/>
    </row>
    <row r="2638" spans="6:14" x14ac:dyDescent="0.3">
      <c r="F2638" s="1"/>
    </row>
    <row r="2639" spans="6:14" x14ac:dyDescent="0.3">
      <c r="F2639" s="1"/>
    </row>
    <row r="2640" spans="6:14" x14ac:dyDescent="0.3">
      <c r="F2640" s="1"/>
    </row>
    <row r="2641" spans="6:15" x14ac:dyDescent="0.3">
      <c r="F2641" s="1"/>
    </row>
    <row r="2642" spans="6:15" x14ac:dyDescent="0.3">
      <c r="N2642" s="1"/>
    </row>
    <row r="2643" spans="6:15" x14ac:dyDescent="0.3">
      <c r="F2643" s="1"/>
    </row>
    <row r="2644" spans="6:15" x14ac:dyDescent="0.3">
      <c r="F2644" s="1"/>
    </row>
    <row r="2645" spans="6:15" x14ac:dyDescent="0.3">
      <c r="F2645" s="1"/>
      <c r="M2645" s="1"/>
      <c r="O2645" s="1"/>
    </row>
    <row r="2646" spans="6:15" x14ac:dyDescent="0.3">
      <c r="L2646" s="1"/>
    </row>
    <row r="2647" spans="6:15" x14ac:dyDescent="0.3">
      <c r="F2647" s="1"/>
    </row>
    <row r="2649" spans="6:15" x14ac:dyDescent="0.3">
      <c r="F2649" s="1"/>
    </row>
    <row r="2650" spans="6:15" x14ac:dyDescent="0.3">
      <c r="F2650" s="1"/>
    </row>
    <row r="2651" spans="6:15" x14ac:dyDescent="0.3">
      <c r="F2651" s="1"/>
    </row>
    <row r="2652" spans="6:15" x14ac:dyDescent="0.3">
      <c r="F2652" s="1"/>
    </row>
    <row r="2653" spans="6:15" x14ac:dyDescent="0.3">
      <c r="F2653" s="1"/>
    </row>
    <row r="2654" spans="6:15" x14ac:dyDescent="0.3">
      <c r="F2654" s="1"/>
    </row>
    <row r="2655" spans="6:15" x14ac:dyDescent="0.3">
      <c r="F2655" s="1"/>
    </row>
    <row r="2656" spans="6:15" x14ac:dyDescent="0.3">
      <c r="F2656" s="1"/>
    </row>
    <row r="2658" spans="6:15" x14ac:dyDescent="0.3">
      <c r="F2658" s="1"/>
    </row>
    <row r="2659" spans="6:15" x14ac:dyDescent="0.3">
      <c r="F2659" s="1"/>
    </row>
    <row r="2660" spans="6:15" x14ac:dyDescent="0.3">
      <c r="F2660" s="1"/>
    </row>
    <row r="2661" spans="6:15" x14ac:dyDescent="0.3">
      <c r="F2661" s="1"/>
    </row>
    <row r="2662" spans="6:15" x14ac:dyDescent="0.3">
      <c r="F2662" s="1"/>
    </row>
    <row r="2663" spans="6:15" x14ac:dyDescent="0.3">
      <c r="F2663" s="1"/>
    </row>
    <row r="2664" spans="6:15" x14ac:dyDescent="0.3">
      <c r="F2664" s="1"/>
    </row>
    <row r="2665" spans="6:15" x14ac:dyDescent="0.3">
      <c r="F2665" s="1"/>
    </row>
    <row r="2666" spans="6:15" x14ac:dyDescent="0.3">
      <c r="F2666" s="1"/>
    </row>
    <row r="2667" spans="6:15" x14ac:dyDescent="0.3">
      <c r="F2667" s="1"/>
    </row>
    <row r="2668" spans="6:15" x14ac:dyDescent="0.3">
      <c r="F2668" s="1"/>
    </row>
    <row r="2670" spans="6:15" x14ac:dyDescent="0.3">
      <c r="N2670" s="1"/>
      <c r="O2670" s="1"/>
    </row>
    <row r="2671" spans="6:15" x14ac:dyDescent="0.3">
      <c r="F2671" s="1"/>
    </row>
    <row r="2672" spans="6:15" x14ac:dyDescent="0.3">
      <c r="F2672" s="1"/>
    </row>
    <row r="2674" spans="6:15" x14ac:dyDescent="0.3">
      <c r="F2674" s="1"/>
      <c r="M2674" s="1"/>
      <c r="N2674" s="1"/>
    </row>
    <row r="2675" spans="6:15" x14ac:dyDescent="0.3">
      <c r="F2675" s="1"/>
    </row>
    <row r="2676" spans="6:15" x14ac:dyDescent="0.3">
      <c r="F2676" s="1"/>
      <c r="L2676" s="1"/>
      <c r="M2676" s="1"/>
      <c r="O2676" s="1"/>
    </row>
    <row r="2677" spans="6:15" x14ac:dyDescent="0.3">
      <c r="F2677" s="1"/>
    </row>
    <row r="2678" spans="6:15" x14ac:dyDescent="0.3">
      <c r="F2678" s="1"/>
    </row>
    <row r="2679" spans="6:15" x14ac:dyDescent="0.3">
      <c r="F2679" s="1"/>
      <c r="N2679" s="1"/>
    </row>
    <row r="2680" spans="6:15" x14ac:dyDescent="0.3">
      <c r="F2680" s="1"/>
      <c r="N2680" s="1"/>
    </row>
    <row r="2681" spans="6:15" x14ac:dyDescent="0.3">
      <c r="F2681" s="1"/>
    </row>
    <row r="2682" spans="6:15" x14ac:dyDescent="0.3">
      <c r="F2682" s="1"/>
    </row>
    <row r="2683" spans="6:15" x14ac:dyDescent="0.3">
      <c r="F2683" s="1"/>
    </row>
    <row r="2684" spans="6:15" x14ac:dyDescent="0.3">
      <c r="F2684" s="1"/>
    </row>
    <row r="2685" spans="6:15" x14ac:dyDescent="0.3">
      <c r="F2685" s="1"/>
    </row>
    <row r="2686" spans="6:15" x14ac:dyDescent="0.3">
      <c r="F2686" s="1"/>
    </row>
    <row r="2687" spans="6:15" x14ac:dyDescent="0.3">
      <c r="F2687" s="1"/>
    </row>
    <row r="2688" spans="6:15" x14ac:dyDescent="0.3">
      <c r="F2688" s="1"/>
      <c r="O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12" x14ac:dyDescent="0.3">
      <c r="F2705" s="1"/>
    </row>
    <row r="2706" spans="6:12" x14ac:dyDescent="0.3">
      <c r="F2706" s="1"/>
    </row>
    <row r="2707" spans="6:12" x14ac:dyDescent="0.3">
      <c r="F2707" s="1"/>
    </row>
    <row r="2708" spans="6:12" x14ac:dyDescent="0.3">
      <c r="F2708" s="1"/>
    </row>
    <row r="2709" spans="6:12" x14ac:dyDescent="0.3">
      <c r="F2709" s="1"/>
    </row>
    <row r="2710" spans="6:12" x14ac:dyDescent="0.3">
      <c r="F2710" s="1"/>
    </row>
    <row r="2711" spans="6:12" x14ac:dyDescent="0.3">
      <c r="F2711" s="1"/>
    </row>
    <row r="2712" spans="6:12" x14ac:dyDescent="0.3">
      <c r="F2712" s="1"/>
    </row>
    <row r="2713" spans="6:12" x14ac:dyDescent="0.3">
      <c r="F2713" s="1"/>
    </row>
    <row r="2714" spans="6:12" x14ac:dyDescent="0.3">
      <c r="L2714" s="1"/>
    </row>
    <row r="2715" spans="6:12" x14ac:dyDescent="0.3">
      <c r="F2715" s="1"/>
    </row>
    <row r="2716" spans="6:12" x14ac:dyDescent="0.3">
      <c r="F2716" s="1"/>
    </row>
    <row r="2717" spans="6:12" x14ac:dyDescent="0.3">
      <c r="F2717" s="1"/>
    </row>
    <row r="2718" spans="6:12" x14ac:dyDescent="0.3">
      <c r="F2718" s="1"/>
    </row>
    <row r="2719" spans="6:12" x14ac:dyDescent="0.3">
      <c r="F2719" s="1"/>
    </row>
    <row r="2720" spans="6:12" x14ac:dyDescent="0.3">
      <c r="F2720" s="1"/>
    </row>
    <row r="2721" spans="6:14" x14ac:dyDescent="0.3">
      <c r="F2721" s="1"/>
    </row>
    <row r="2722" spans="6:14" x14ac:dyDescent="0.3">
      <c r="F2722" s="1"/>
      <c r="M2722" s="1"/>
    </row>
    <row r="2723" spans="6:14" x14ac:dyDescent="0.3">
      <c r="F2723" s="1"/>
    </row>
    <row r="2724" spans="6:14" x14ac:dyDescent="0.3">
      <c r="F2724" s="1"/>
    </row>
    <row r="2725" spans="6:14" x14ac:dyDescent="0.3">
      <c r="F2725" s="1"/>
    </row>
    <row r="2726" spans="6:14" x14ac:dyDescent="0.3">
      <c r="F2726" s="1"/>
    </row>
    <row r="2727" spans="6:14" x14ac:dyDescent="0.3">
      <c r="F2727" s="1"/>
    </row>
    <row r="2728" spans="6:14" x14ac:dyDescent="0.3">
      <c r="F2728" s="1"/>
      <c r="M2728" s="1"/>
      <c r="N2728" s="1"/>
    </row>
    <row r="2729" spans="6:14" x14ac:dyDescent="0.3">
      <c r="F2729" s="1"/>
    </row>
    <row r="2730" spans="6:14" x14ac:dyDescent="0.3">
      <c r="F2730" s="1"/>
    </row>
    <row r="2731" spans="6:14" x14ac:dyDescent="0.3">
      <c r="F2731" s="1"/>
    </row>
    <row r="2732" spans="6:14" x14ac:dyDescent="0.3">
      <c r="F2732" s="1"/>
    </row>
    <row r="2733" spans="6:14" x14ac:dyDescent="0.3">
      <c r="F2733" s="1"/>
    </row>
    <row r="2734" spans="6:14" x14ac:dyDescent="0.3">
      <c r="F2734" s="1"/>
    </row>
    <row r="2737" spans="6:14" x14ac:dyDescent="0.3">
      <c r="F2737" s="1"/>
    </row>
    <row r="2738" spans="6:14" x14ac:dyDescent="0.3">
      <c r="F2738" s="1"/>
    </row>
    <row r="2739" spans="6:14" x14ac:dyDescent="0.3">
      <c r="F2739" s="1"/>
    </row>
    <row r="2740" spans="6:14" x14ac:dyDescent="0.3">
      <c r="F2740" s="1"/>
    </row>
    <row r="2741" spans="6:14" x14ac:dyDescent="0.3">
      <c r="F2741" s="1"/>
    </row>
    <row r="2742" spans="6:14" x14ac:dyDescent="0.3">
      <c r="F2742" s="1"/>
      <c r="N2742" s="1"/>
    </row>
    <row r="2743" spans="6:14" x14ac:dyDescent="0.3">
      <c r="F2743" s="1"/>
    </row>
    <row r="2744" spans="6:14" x14ac:dyDescent="0.3">
      <c r="F2744" s="1"/>
    </row>
    <row r="2745" spans="6:14" x14ac:dyDescent="0.3">
      <c r="F2745" s="1"/>
    </row>
    <row r="2746" spans="6:14" x14ac:dyDescent="0.3">
      <c r="F2746" s="1"/>
    </row>
    <row r="2747" spans="6:14" x14ac:dyDescent="0.3">
      <c r="F2747" s="1"/>
    </row>
    <row r="2748" spans="6:14" x14ac:dyDescent="0.3">
      <c r="F2748" s="1"/>
    </row>
    <row r="2749" spans="6:14" x14ac:dyDescent="0.3">
      <c r="F2749" s="1"/>
    </row>
    <row r="2750" spans="6:14" x14ac:dyDescent="0.3">
      <c r="F2750" s="1"/>
    </row>
    <row r="2751" spans="6:14" x14ac:dyDescent="0.3">
      <c r="F2751" s="1"/>
    </row>
    <row r="2752" spans="6:14" x14ac:dyDescent="0.3">
      <c r="F2752" s="1"/>
    </row>
    <row r="2753" spans="6:14" x14ac:dyDescent="0.3">
      <c r="F2753" s="1"/>
    </row>
    <row r="2755" spans="6:14" x14ac:dyDescent="0.3">
      <c r="F2755" s="1"/>
    </row>
    <row r="2756" spans="6:14" x14ac:dyDescent="0.3">
      <c r="F2756" s="1"/>
      <c r="L2756" s="1"/>
    </row>
    <row r="2757" spans="6:14" x14ac:dyDescent="0.3">
      <c r="F2757" s="1"/>
    </row>
    <row r="2758" spans="6:14" x14ac:dyDescent="0.3">
      <c r="F2758" s="1"/>
    </row>
    <row r="2759" spans="6:14" x14ac:dyDescent="0.3">
      <c r="F2759" s="1"/>
    </row>
    <row r="2760" spans="6:14" x14ac:dyDescent="0.3">
      <c r="F2760" s="1"/>
    </row>
    <row r="2763" spans="6:14" x14ac:dyDescent="0.3">
      <c r="F2763" s="1"/>
    </row>
    <row r="2764" spans="6:14" x14ac:dyDescent="0.3">
      <c r="F2764" s="1"/>
    </row>
    <row r="2765" spans="6:14" x14ac:dyDescent="0.3">
      <c r="F2765" s="1"/>
    </row>
    <row r="2767" spans="6:14" x14ac:dyDescent="0.3">
      <c r="F2767" s="1"/>
    </row>
    <row r="2768" spans="6:14" x14ac:dyDescent="0.3">
      <c r="F2768" s="1"/>
      <c r="M2768" s="1"/>
      <c r="N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4" spans="6:6" x14ac:dyDescent="0.3">
      <c r="F2784" s="1"/>
    </row>
    <row r="2785" spans="6:15" x14ac:dyDescent="0.3">
      <c r="F2785" s="1"/>
    </row>
    <row r="2786" spans="6:15" x14ac:dyDescent="0.3">
      <c r="F2786" s="1"/>
    </row>
    <row r="2787" spans="6:15" x14ac:dyDescent="0.3">
      <c r="F2787" s="1"/>
    </row>
    <row r="2788" spans="6:15" x14ac:dyDescent="0.3">
      <c r="F2788" s="1"/>
    </row>
    <row r="2789" spans="6:15" x14ac:dyDescent="0.3">
      <c r="F2789" s="1"/>
    </row>
    <row r="2790" spans="6:15" x14ac:dyDescent="0.3">
      <c r="F2790" s="1"/>
    </row>
    <row r="2791" spans="6:15" x14ac:dyDescent="0.3">
      <c r="F2791" s="1"/>
    </row>
    <row r="2792" spans="6:15" x14ac:dyDescent="0.3">
      <c r="F2792" s="1"/>
      <c r="M2792" s="1"/>
      <c r="N2792" s="1"/>
      <c r="O2792" s="1"/>
    </row>
    <row r="2794" spans="6:15" x14ac:dyDescent="0.3">
      <c r="F2794" s="1"/>
    </row>
    <row r="2795" spans="6:15" x14ac:dyDescent="0.3">
      <c r="F2795" s="1"/>
    </row>
    <row r="2796" spans="6:15" x14ac:dyDescent="0.3">
      <c r="F2796" s="1"/>
    </row>
    <row r="2797" spans="6:15" x14ac:dyDescent="0.3">
      <c r="L2797" s="1"/>
      <c r="N2797" s="1"/>
    </row>
    <row r="2798" spans="6:15" x14ac:dyDescent="0.3">
      <c r="F2798" s="1"/>
    </row>
    <row r="2799" spans="6:15" x14ac:dyDescent="0.3">
      <c r="F2799" s="1"/>
    </row>
    <row r="2800" spans="6:15" x14ac:dyDescent="0.3">
      <c r="F2800" s="1"/>
    </row>
    <row r="2801" spans="6:14" x14ac:dyDescent="0.3">
      <c r="F2801" s="1"/>
    </row>
    <row r="2802" spans="6:14" x14ac:dyDescent="0.3">
      <c r="F2802" s="1"/>
    </row>
    <row r="2803" spans="6:14" x14ac:dyDescent="0.3">
      <c r="F2803" s="1"/>
    </row>
    <row r="2804" spans="6:14" x14ac:dyDescent="0.3">
      <c r="F2804" s="1"/>
    </row>
    <row r="2805" spans="6:14" x14ac:dyDescent="0.3">
      <c r="F2805" s="1"/>
    </row>
    <row r="2806" spans="6:14" x14ac:dyDescent="0.3">
      <c r="F2806" s="1"/>
    </row>
    <row r="2807" spans="6:14" x14ac:dyDescent="0.3">
      <c r="F2807" s="1"/>
    </row>
    <row r="2808" spans="6:14" x14ac:dyDescent="0.3">
      <c r="F2808" s="1"/>
    </row>
    <row r="2809" spans="6:14" x14ac:dyDescent="0.3">
      <c r="F2809" s="1"/>
    </row>
    <row r="2811" spans="6:14" x14ac:dyDescent="0.3">
      <c r="F2811" s="1"/>
    </row>
    <row r="2812" spans="6:14" x14ac:dyDescent="0.3">
      <c r="F2812" s="1"/>
    </row>
    <row r="2813" spans="6:14" x14ac:dyDescent="0.3">
      <c r="F2813" s="1"/>
    </row>
    <row r="2814" spans="6:14" x14ac:dyDescent="0.3">
      <c r="F2814" s="1"/>
    </row>
    <row r="2815" spans="6:14" x14ac:dyDescent="0.3">
      <c r="F2815" s="1"/>
      <c r="N2815" s="1"/>
    </row>
    <row r="2816" spans="6:14" x14ac:dyDescent="0.3">
      <c r="F2816" s="1"/>
    </row>
    <row r="2817" spans="6:15" x14ac:dyDescent="0.3">
      <c r="F2817" s="1"/>
    </row>
    <row r="2818" spans="6:15" x14ac:dyDescent="0.3">
      <c r="F2818" s="1"/>
      <c r="M2818" s="1"/>
    </row>
    <row r="2819" spans="6:15" x14ac:dyDescent="0.3">
      <c r="F2819" s="1"/>
      <c r="L2819" s="1"/>
      <c r="M2819" s="1"/>
      <c r="N2819" s="1"/>
      <c r="O2819" s="1"/>
    </row>
    <row r="2820" spans="6:15" x14ac:dyDescent="0.3">
      <c r="F2820" s="1"/>
    </row>
    <row r="2821" spans="6:15" x14ac:dyDescent="0.3">
      <c r="F2821" s="1"/>
    </row>
    <row r="2822" spans="6:15" x14ac:dyDescent="0.3">
      <c r="F2822" s="1"/>
    </row>
    <row r="2823" spans="6:15" x14ac:dyDescent="0.3">
      <c r="F2823" s="1"/>
    </row>
    <row r="2824" spans="6:15" x14ac:dyDescent="0.3">
      <c r="F2824" s="1"/>
    </row>
    <row r="2826" spans="6:15" x14ac:dyDescent="0.3">
      <c r="F2826" s="1"/>
    </row>
    <row r="2827" spans="6:15" x14ac:dyDescent="0.3">
      <c r="F2827" s="1"/>
    </row>
    <row r="2828" spans="6:15" x14ac:dyDescent="0.3">
      <c r="F2828" s="1"/>
    </row>
    <row r="2829" spans="6:15" x14ac:dyDescent="0.3">
      <c r="F2829" s="1"/>
    </row>
    <row r="2830" spans="6:15" x14ac:dyDescent="0.3">
      <c r="F2830" s="1"/>
    </row>
    <row r="2831" spans="6:15" x14ac:dyDescent="0.3">
      <c r="F2831" s="1"/>
    </row>
    <row r="2832" spans="6:15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2" spans="6:6" x14ac:dyDescent="0.3">
      <c r="F2842" s="1"/>
    </row>
    <row r="2846" spans="6:6" x14ac:dyDescent="0.3">
      <c r="F2846" s="1"/>
    </row>
    <row r="2848" spans="6:6" x14ac:dyDescent="0.3">
      <c r="F2848" s="1"/>
    </row>
    <row r="2849" spans="6:15" x14ac:dyDescent="0.3">
      <c r="F2849" s="1"/>
      <c r="L2849" s="1"/>
    </row>
    <row r="2850" spans="6:15" x14ac:dyDescent="0.3">
      <c r="F2850" s="1"/>
      <c r="L2850" s="1"/>
      <c r="N2850" s="1"/>
    </row>
    <row r="2851" spans="6:15" x14ac:dyDescent="0.3">
      <c r="F2851" s="1"/>
    </row>
    <row r="2852" spans="6:15" x14ac:dyDescent="0.3">
      <c r="F2852" s="1"/>
    </row>
    <row r="2853" spans="6:15" x14ac:dyDescent="0.3">
      <c r="F2853" s="1"/>
    </row>
    <row r="2854" spans="6:15" x14ac:dyDescent="0.3">
      <c r="F2854" s="1"/>
    </row>
    <row r="2855" spans="6:15" x14ac:dyDescent="0.3">
      <c r="F2855" s="1"/>
      <c r="L2855" s="1"/>
    </row>
    <row r="2856" spans="6:15" x14ac:dyDescent="0.3">
      <c r="F2856" s="1"/>
      <c r="N2856" s="1"/>
    </row>
    <row r="2857" spans="6:15" x14ac:dyDescent="0.3">
      <c r="F2857" s="1"/>
    </row>
    <row r="2858" spans="6:15" x14ac:dyDescent="0.3">
      <c r="F2858" s="1"/>
    </row>
    <row r="2860" spans="6:15" x14ac:dyDescent="0.3">
      <c r="L2860" s="1"/>
      <c r="M2860" s="1"/>
      <c r="N2860" s="1"/>
      <c r="O2860" s="1"/>
    </row>
    <row r="2861" spans="6:15" x14ac:dyDescent="0.3">
      <c r="F2861" s="1"/>
    </row>
    <row r="2863" spans="6:15" x14ac:dyDescent="0.3">
      <c r="F2863" s="1"/>
    </row>
    <row r="2864" spans="6:15" x14ac:dyDescent="0.3">
      <c r="F2864" s="1"/>
    </row>
    <row r="2865" spans="6:14" x14ac:dyDescent="0.3">
      <c r="F2865" s="1"/>
      <c r="N2865" s="1"/>
    </row>
    <row r="2866" spans="6:14" x14ac:dyDescent="0.3">
      <c r="F2866" s="1"/>
    </row>
    <row r="2867" spans="6:14" x14ac:dyDescent="0.3">
      <c r="F2867" s="1"/>
    </row>
    <row r="2868" spans="6:14" x14ac:dyDescent="0.3">
      <c r="F2868" s="1"/>
    </row>
    <row r="2869" spans="6:14" x14ac:dyDescent="0.3">
      <c r="M2869" s="1"/>
    </row>
    <row r="2870" spans="6:14" x14ac:dyDescent="0.3">
      <c r="F2870" s="1"/>
    </row>
    <row r="2871" spans="6:14" x14ac:dyDescent="0.3">
      <c r="F2871" s="1"/>
    </row>
    <row r="2872" spans="6:14" x14ac:dyDescent="0.3">
      <c r="F2872" s="1"/>
    </row>
    <row r="2873" spans="6:14" x14ac:dyDescent="0.3">
      <c r="F2873" s="1"/>
    </row>
    <row r="2874" spans="6:14" x14ac:dyDescent="0.3">
      <c r="F2874" s="1"/>
    </row>
    <row r="2875" spans="6:14" x14ac:dyDescent="0.3">
      <c r="F2875" s="1"/>
      <c r="M2875" s="1"/>
    </row>
    <row r="2876" spans="6:14" x14ac:dyDescent="0.3">
      <c r="F2876" s="1"/>
    </row>
    <row r="2877" spans="6:14" x14ac:dyDescent="0.3">
      <c r="F2877" s="1"/>
      <c r="M2877" s="1"/>
      <c r="N2877" s="1"/>
    </row>
    <row r="2878" spans="6:14" x14ac:dyDescent="0.3">
      <c r="F2878" s="1"/>
    </row>
    <row r="2879" spans="6:14" x14ac:dyDescent="0.3">
      <c r="F2879" s="1"/>
    </row>
    <row r="2880" spans="6:14" x14ac:dyDescent="0.3">
      <c r="F2880" s="1"/>
    </row>
    <row r="2881" spans="6:15" x14ac:dyDescent="0.3">
      <c r="F2881" s="1"/>
    </row>
    <row r="2882" spans="6:15" x14ac:dyDescent="0.3">
      <c r="F2882" s="1"/>
    </row>
    <row r="2883" spans="6:15" x14ac:dyDescent="0.3">
      <c r="F2883" s="1"/>
    </row>
    <row r="2885" spans="6:15" x14ac:dyDescent="0.3">
      <c r="F2885" s="1"/>
    </row>
    <row r="2886" spans="6:15" x14ac:dyDescent="0.3">
      <c r="F2886" s="1"/>
    </row>
    <row r="2887" spans="6:15" x14ac:dyDescent="0.3">
      <c r="F2887" s="1"/>
    </row>
    <row r="2888" spans="6:15" x14ac:dyDescent="0.3">
      <c r="F2888" s="1"/>
    </row>
    <row r="2890" spans="6:15" x14ac:dyDescent="0.3">
      <c r="F2890" s="1"/>
      <c r="M2890" s="1"/>
      <c r="N2890" s="1"/>
      <c r="O2890" s="1"/>
    </row>
    <row r="2892" spans="6:15" x14ac:dyDescent="0.3">
      <c r="L2892" s="1"/>
      <c r="M2892" s="1"/>
      <c r="O2892" s="1"/>
    </row>
    <row r="2893" spans="6:15" x14ac:dyDescent="0.3">
      <c r="F2893" s="1"/>
    </row>
    <row r="2894" spans="6:15" x14ac:dyDescent="0.3">
      <c r="F2894" s="1"/>
      <c r="L2894" s="1"/>
      <c r="M2894" s="1"/>
      <c r="N2894" s="1"/>
    </row>
    <row r="2895" spans="6:15" x14ac:dyDescent="0.3">
      <c r="F2895" s="1"/>
    </row>
    <row r="2896" spans="6:15" x14ac:dyDescent="0.3">
      <c r="F2896" s="1"/>
    </row>
    <row r="2898" spans="6:14" x14ac:dyDescent="0.3">
      <c r="F2898" s="1"/>
    </row>
    <row r="2899" spans="6:14" x14ac:dyDescent="0.3">
      <c r="F2899" s="1"/>
    </row>
    <row r="2900" spans="6:14" x14ac:dyDescent="0.3">
      <c r="F2900" s="1"/>
    </row>
    <row r="2901" spans="6:14" x14ac:dyDescent="0.3">
      <c r="F2901" s="1"/>
      <c r="N2901" s="1"/>
    </row>
    <row r="2902" spans="6:14" x14ac:dyDescent="0.3">
      <c r="F2902" s="1"/>
    </row>
    <row r="2903" spans="6:14" x14ac:dyDescent="0.3">
      <c r="F2903" s="1"/>
    </row>
    <row r="2904" spans="6:14" x14ac:dyDescent="0.3">
      <c r="F2904" s="1"/>
    </row>
    <row r="2905" spans="6:14" x14ac:dyDescent="0.3">
      <c r="F2905" s="1"/>
    </row>
    <row r="2907" spans="6:14" x14ac:dyDescent="0.3">
      <c r="F2907" s="1"/>
    </row>
    <row r="2908" spans="6:14" x14ac:dyDescent="0.3">
      <c r="F2908" s="1"/>
    </row>
    <row r="2909" spans="6:14" x14ac:dyDescent="0.3">
      <c r="F2909" s="1"/>
    </row>
    <row r="2910" spans="6:14" x14ac:dyDescent="0.3">
      <c r="F2910" s="1"/>
    </row>
    <row r="2911" spans="6:14" x14ac:dyDescent="0.3">
      <c r="F2911" s="1"/>
    </row>
    <row r="2912" spans="6:14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14" x14ac:dyDescent="0.3">
      <c r="F2929" s="1"/>
    </row>
    <row r="2930" spans="6:14" x14ac:dyDescent="0.3">
      <c r="F2930" s="1"/>
    </row>
    <row r="2931" spans="6:14" x14ac:dyDescent="0.3">
      <c r="F2931" s="1"/>
    </row>
    <row r="2932" spans="6:14" x14ac:dyDescent="0.3">
      <c r="F2932" s="1"/>
    </row>
    <row r="2933" spans="6:14" x14ac:dyDescent="0.3">
      <c r="F2933" s="1"/>
    </row>
    <row r="2934" spans="6:14" x14ac:dyDescent="0.3">
      <c r="F2934" s="1"/>
    </row>
    <row r="2935" spans="6:14" x14ac:dyDescent="0.3">
      <c r="F2935" s="1"/>
    </row>
    <row r="2936" spans="6:14" x14ac:dyDescent="0.3">
      <c r="F2936" s="1"/>
    </row>
    <row r="2937" spans="6:14" x14ac:dyDescent="0.3">
      <c r="F2937" s="1"/>
    </row>
    <row r="2940" spans="6:14" x14ac:dyDescent="0.3">
      <c r="F2940" s="1"/>
    </row>
    <row r="2941" spans="6:14" x14ac:dyDescent="0.3">
      <c r="F2941" s="1"/>
    </row>
    <row r="2942" spans="6:14" x14ac:dyDescent="0.3">
      <c r="F2942" s="1"/>
    </row>
    <row r="2943" spans="6:14" x14ac:dyDescent="0.3">
      <c r="F2943" s="1"/>
    </row>
    <row r="2944" spans="6:14" x14ac:dyDescent="0.3">
      <c r="F2944" s="1"/>
      <c r="N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2" spans="6:14" x14ac:dyDescent="0.3">
      <c r="F2962" s="1"/>
      <c r="L2962" s="1"/>
      <c r="M2962" s="1"/>
    </row>
    <row r="2963" spans="6:14" x14ac:dyDescent="0.3">
      <c r="F2963" s="1"/>
      <c r="M2963" s="1"/>
    </row>
    <row r="2964" spans="6:14" x14ac:dyDescent="0.3">
      <c r="F2964" s="1"/>
    </row>
    <row r="2966" spans="6:14" x14ac:dyDescent="0.3">
      <c r="F2966" s="1"/>
    </row>
    <row r="2967" spans="6:14" x14ac:dyDescent="0.3">
      <c r="F2967" s="1"/>
      <c r="L2967" s="1"/>
      <c r="N2967" s="1"/>
    </row>
    <row r="2968" spans="6:14" x14ac:dyDescent="0.3">
      <c r="F2968" s="1"/>
    </row>
    <row r="2969" spans="6:14" x14ac:dyDescent="0.3">
      <c r="F2969" s="1"/>
    </row>
    <row r="2970" spans="6:14" x14ac:dyDescent="0.3">
      <c r="F2970" s="1"/>
    </row>
    <row r="2971" spans="6:14" x14ac:dyDescent="0.3">
      <c r="F2971" s="1"/>
    </row>
    <row r="2972" spans="6:14" x14ac:dyDescent="0.3">
      <c r="F2972" s="1"/>
    </row>
    <row r="2973" spans="6:14" x14ac:dyDescent="0.3">
      <c r="F2973" s="1"/>
    </row>
    <row r="2974" spans="6:14" x14ac:dyDescent="0.3">
      <c r="L2974" s="1"/>
      <c r="M2974" s="1"/>
    </row>
    <row r="2975" spans="6:14" x14ac:dyDescent="0.3">
      <c r="F2975" s="1"/>
    </row>
    <row r="2976" spans="6:14" x14ac:dyDescent="0.3">
      <c r="F2976" s="1"/>
    </row>
    <row r="2977" spans="6:14" x14ac:dyDescent="0.3">
      <c r="F2977" s="1"/>
    </row>
    <row r="2978" spans="6:14" x14ac:dyDescent="0.3">
      <c r="F2978" s="1"/>
    </row>
    <row r="2980" spans="6:14" x14ac:dyDescent="0.3">
      <c r="N2980" s="1"/>
    </row>
    <row r="2981" spans="6:14" x14ac:dyDescent="0.3">
      <c r="F2981" s="1"/>
      <c r="L2981" s="1"/>
      <c r="N2981" s="1"/>
    </row>
    <row r="2983" spans="6:14" x14ac:dyDescent="0.3">
      <c r="F2983" s="1"/>
    </row>
    <row r="2984" spans="6:14" x14ac:dyDescent="0.3">
      <c r="F2984" s="1"/>
    </row>
    <row r="2985" spans="6:14" x14ac:dyDescent="0.3">
      <c r="F2985" s="1"/>
    </row>
    <row r="2987" spans="6:14" x14ac:dyDescent="0.3">
      <c r="F2987" s="1"/>
      <c r="N2987" s="1"/>
    </row>
    <row r="2988" spans="6:14" x14ac:dyDescent="0.3">
      <c r="F2988" s="1"/>
    </row>
    <row r="2989" spans="6:14" x14ac:dyDescent="0.3">
      <c r="F2989" s="1"/>
    </row>
    <row r="2990" spans="6:14" x14ac:dyDescent="0.3">
      <c r="F2990" s="1"/>
    </row>
    <row r="2991" spans="6:14" x14ac:dyDescent="0.3">
      <c r="F2991" s="1"/>
    </row>
    <row r="2992" spans="6:14" x14ac:dyDescent="0.3">
      <c r="F2992" s="1"/>
      <c r="L2992" s="1"/>
      <c r="M2992" s="1"/>
    </row>
    <row r="2993" spans="6:14" x14ac:dyDescent="0.3">
      <c r="F2993" s="1"/>
    </row>
    <row r="2994" spans="6:14" x14ac:dyDescent="0.3">
      <c r="F2994" s="1"/>
    </row>
    <row r="2997" spans="6:14" x14ac:dyDescent="0.3">
      <c r="F2997" s="1"/>
    </row>
    <row r="2998" spans="6:14" x14ac:dyDescent="0.3">
      <c r="F2998" s="1"/>
    </row>
    <row r="2999" spans="6:14" x14ac:dyDescent="0.3">
      <c r="L2999" s="1"/>
      <c r="M2999" s="1"/>
    </row>
    <row r="3000" spans="6:14" x14ac:dyDescent="0.3">
      <c r="F3000" s="1"/>
    </row>
    <row r="3001" spans="6:14" x14ac:dyDescent="0.3">
      <c r="F3001" s="1"/>
    </row>
    <row r="3003" spans="6:14" x14ac:dyDescent="0.3">
      <c r="F3003" s="1"/>
    </row>
    <row r="3004" spans="6:14" x14ac:dyDescent="0.3">
      <c r="F3004" s="1"/>
    </row>
    <row r="3005" spans="6:14" x14ac:dyDescent="0.3">
      <c r="F3005" s="1"/>
    </row>
    <row r="3006" spans="6:14" x14ac:dyDescent="0.3">
      <c r="F3006" s="1"/>
    </row>
    <row r="3007" spans="6:14" x14ac:dyDescent="0.3">
      <c r="M3007" s="1"/>
      <c r="N3007" s="1"/>
    </row>
    <row r="3008" spans="6:14" x14ac:dyDescent="0.3">
      <c r="F3008" s="1"/>
    </row>
    <row r="3009" spans="6:15" x14ac:dyDescent="0.3">
      <c r="F3009" s="1"/>
      <c r="L3009" s="1"/>
      <c r="M3009" s="1"/>
    </row>
    <row r="3011" spans="6:15" x14ac:dyDescent="0.3">
      <c r="F3011" s="1"/>
    </row>
    <row r="3013" spans="6:15" x14ac:dyDescent="0.3">
      <c r="F3013" s="1"/>
    </row>
    <row r="3014" spans="6:15" x14ac:dyDescent="0.3">
      <c r="F3014" s="1"/>
    </row>
    <row r="3015" spans="6:15" x14ac:dyDescent="0.3">
      <c r="F3015" s="1"/>
    </row>
    <row r="3016" spans="6:15" x14ac:dyDescent="0.3">
      <c r="F3016" s="1"/>
    </row>
    <row r="3017" spans="6:15" x14ac:dyDescent="0.3">
      <c r="F3017" s="1"/>
    </row>
    <row r="3018" spans="6:15" x14ac:dyDescent="0.3">
      <c r="F3018" s="1"/>
    </row>
    <row r="3019" spans="6:15" x14ac:dyDescent="0.3">
      <c r="F3019" s="1"/>
    </row>
    <row r="3020" spans="6:15" x14ac:dyDescent="0.3">
      <c r="F3020" s="1"/>
    </row>
    <row r="3021" spans="6:15" x14ac:dyDescent="0.3">
      <c r="F3021" s="1"/>
    </row>
    <row r="3022" spans="6:15" x14ac:dyDescent="0.3">
      <c r="F3022" s="1"/>
    </row>
    <row r="3023" spans="6:15" x14ac:dyDescent="0.3">
      <c r="N3023" s="1"/>
      <c r="O3023" s="1"/>
    </row>
    <row r="3024" spans="6:15" x14ac:dyDescent="0.3">
      <c r="F3024" s="1"/>
    </row>
    <row r="3025" spans="6:15" x14ac:dyDescent="0.3">
      <c r="F3025" s="1"/>
    </row>
    <row r="3026" spans="6:15" x14ac:dyDescent="0.3">
      <c r="F3026" s="1"/>
    </row>
    <row r="3027" spans="6:15" x14ac:dyDescent="0.3">
      <c r="F3027" s="1"/>
    </row>
    <row r="3028" spans="6:15" x14ac:dyDescent="0.3">
      <c r="F3028" s="1"/>
    </row>
    <row r="3029" spans="6:15" x14ac:dyDescent="0.3">
      <c r="F3029" s="1"/>
    </row>
    <row r="3030" spans="6:15" x14ac:dyDescent="0.3">
      <c r="F3030" s="1"/>
    </row>
    <row r="3031" spans="6:15" x14ac:dyDescent="0.3">
      <c r="F3031" s="1"/>
    </row>
    <row r="3032" spans="6:15" x14ac:dyDescent="0.3">
      <c r="M3032" s="1"/>
      <c r="N3032" s="1"/>
      <c r="O3032" s="1"/>
    </row>
    <row r="3033" spans="6:15" x14ac:dyDescent="0.3">
      <c r="F3033" s="1"/>
    </row>
    <row r="3034" spans="6:15" x14ac:dyDescent="0.3">
      <c r="F3034" s="1"/>
    </row>
    <row r="3035" spans="6:15" x14ac:dyDescent="0.3">
      <c r="F3035" s="1"/>
    </row>
    <row r="3036" spans="6:15" x14ac:dyDescent="0.3">
      <c r="F3036" s="1"/>
      <c r="N3036" s="1"/>
    </row>
    <row r="3038" spans="6:15" x14ac:dyDescent="0.3">
      <c r="F3038" s="1"/>
    </row>
    <row r="3039" spans="6:15" x14ac:dyDescent="0.3">
      <c r="F3039" s="1"/>
      <c r="N3039" s="1"/>
    </row>
    <row r="3040" spans="6:15" x14ac:dyDescent="0.3">
      <c r="F3040" s="1"/>
    </row>
    <row r="3041" spans="6:15" x14ac:dyDescent="0.3">
      <c r="F3041" s="1"/>
    </row>
    <row r="3042" spans="6:15" x14ac:dyDescent="0.3">
      <c r="F3042" s="1"/>
    </row>
    <row r="3043" spans="6:15" x14ac:dyDescent="0.3">
      <c r="F3043" s="1"/>
    </row>
    <row r="3044" spans="6:15" x14ac:dyDescent="0.3">
      <c r="M3044" s="1"/>
    </row>
    <row r="3045" spans="6:15" x14ac:dyDescent="0.3">
      <c r="F3045" s="1"/>
    </row>
    <row r="3046" spans="6:15" x14ac:dyDescent="0.3">
      <c r="F3046" s="1"/>
    </row>
    <row r="3047" spans="6:15" x14ac:dyDescent="0.3">
      <c r="F3047" s="1"/>
    </row>
    <row r="3048" spans="6:15" x14ac:dyDescent="0.3">
      <c r="L3048" s="1"/>
      <c r="M3048" s="1"/>
      <c r="O3048" s="1"/>
    </row>
    <row r="3049" spans="6:15" x14ac:dyDescent="0.3">
      <c r="F3049" s="1"/>
    </row>
    <row r="3050" spans="6:15" x14ac:dyDescent="0.3">
      <c r="F3050" s="1"/>
    </row>
    <row r="3051" spans="6:15" x14ac:dyDescent="0.3">
      <c r="F3051" s="1"/>
    </row>
    <row r="3052" spans="6:15" x14ac:dyDescent="0.3">
      <c r="F3052" s="1"/>
      <c r="L3052" s="1"/>
      <c r="M3052" s="1"/>
    </row>
    <row r="3053" spans="6:15" x14ac:dyDescent="0.3">
      <c r="F3053" s="1"/>
    </row>
    <row r="3054" spans="6:15" x14ac:dyDescent="0.3">
      <c r="F3054" s="1"/>
    </row>
    <row r="3055" spans="6:15" x14ac:dyDescent="0.3">
      <c r="O3055" s="1"/>
    </row>
    <row r="3056" spans="6:15" x14ac:dyDescent="0.3">
      <c r="F3056" s="1"/>
    </row>
    <row r="3057" spans="6:15" x14ac:dyDescent="0.3">
      <c r="F3057" s="1"/>
    </row>
    <row r="3058" spans="6:15" x14ac:dyDescent="0.3">
      <c r="F3058" s="1"/>
    </row>
    <row r="3059" spans="6:15" x14ac:dyDescent="0.3">
      <c r="F3059" s="1"/>
    </row>
    <row r="3060" spans="6:15" x14ac:dyDescent="0.3">
      <c r="L3060" s="1"/>
      <c r="M3060" s="1"/>
      <c r="N3060" s="1"/>
      <c r="O3060" s="1"/>
    </row>
    <row r="3061" spans="6:15" x14ac:dyDescent="0.3">
      <c r="F3061" s="1"/>
    </row>
    <row r="3062" spans="6:15" x14ac:dyDescent="0.3">
      <c r="F3062" s="1"/>
    </row>
    <row r="3063" spans="6:15" x14ac:dyDescent="0.3">
      <c r="F3063" s="1"/>
    </row>
    <row r="3065" spans="6:15" x14ac:dyDescent="0.3">
      <c r="F3065" s="1"/>
    </row>
    <row r="3066" spans="6:15" x14ac:dyDescent="0.3">
      <c r="F3066" s="1"/>
    </row>
    <row r="3068" spans="6:15" x14ac:dyDescent="0.3">
      <c r="F3068" s="1"/>
    </row>
    <row r="3069" spans="6:15" x14ac:dyDescent="0.3">
      <c r="F3069" s="1"/>
    </row>
    <row r="3070" spans="6:15" x14ac:dyDescent="0.3">
      <c r="F3070" s="1"/>
    </row>
    <row r="3071" spans="6:15" x14ac:dyDescent="0.3">
      <c r="F3071" s="1"/>
    </row>
    <row r="3072" spans="6:15" x14ac:dyDescent="0.3">
      <c r="L3072" s="1"/>
      <c r="O3072" s="1"/>
    </row>
    <row r="3073" spans="6:12" x14ac:dyDescent="0.3">
      <c r="F3073" s="1"/>
      <c r="L3073" s="1"/>
    </row>
    <row r="3074" spans="6:12" x14ac:dyDescent="0.3">
      <c r="F3074" s="1"/>
    </row>
    <row r="3075" spans="6:12" x14ac:dyDescent="0.3">
      <c r="F3075" s="1"/>
    </row>
    <row r="3076" spans="6:12" x14ac:dyDescent="0.3">
      <c r="F3076" s="1"/>
    </row>
    <row r="3077" spans="6:12" x14ac:dyDescent="0.3">
      <c r="F3077" s="1"/>
    </row>
    <row r="3078" spans="6:12" x14ac:dyDescent="0.3">
      <c r="F3078" s="1"/>
    </row>
    <row r="3079" spans="6:12" x14ac:dyDescent="0.3">
      <c r="F3079" s="1"/>
    </row>
    <row r="3080" spans="6:12" x14ac:dyDescent="0.3">
      <c r="F3080" s="1"/>
    </row>
    <row r="3081" spans="6:12" x14ac:dyDescent="0.3">
      <c r="F3081" s="1"/>
    </row>
    <row r="3082" spans="6:12" x14ac:dyDescent="0.3">
      <c r="F3082" s="1"/>
    </row>
    <row r="3083" spans="6:12" x14ac:dyDescent="0.3">
      <c r="F3083" s="1"/>
    </row>
    <row r="3084" spans="6:12" x14ac:dyDescent="0.3">
      <c r="F3084" s="1"/>
    </row>
    <row r="3085" spans="6:12" x14ac:dyDescent="0.3">
      <c r="F3085" s="1"/>
    </row>
    <row r="3086" spans="6:12" x14ac:dyDescent="0.3">
      <c r="F3086" s="1"/>
    </row>
    <row r="3087" spans="6:12" x14ac:dyDescent="0.3">
      <c r="F3087" s="1"/>
    </row>
    <row r="3088" spans="6:12" x14ac:dyDescent="0.3">
      <c r="F3088" s="1"/>
    </row>
    <row r="3089" spans="6:13" x14ac:dyDescent="0.3">
      <c r="F3089" s="1"/>
    </row>
    <row r="3090" spans="6:13" x14ac:dyDescent="0.3">
      <c r="F3090" s="1"/>
    </row>
    <row r="3091" spans="6:13" x14ac:dyDescent="0.3">
      <c r="F3091" s="1"/>
    </row>
    <row r="3092" spans="6:13" x14ac:dyDescent="0.3">
      <c r="F3092" s="1"/>
    </row>
    <row r="3094" spans="6:13" x14ac:dyDescent="0.3">
      <c r="F3094" s="1"/>
    </row>
    <row r="3095" spans="6:13" x14ac:dyDescent="0.3">
      <c r="F3095" s="1"/>
    </row>
    <row r="3096" spans="6:13" x14ac:dyDescent="0.3">
      <c r="M3096" s="1"/>
    </row>
    <row r="3097" spans="6:13" x14ac:dyDescent="0.3">
      <c r="F3097" s="1"/>
    </row>
    <row r="3098" spans="6:13" x14ac:dyDescent="0.3">
      <c r="F3098" s="1"/>
    </row>
    <row r="3099" spans="6:13" x14ac:dyDescent="0.3">
      <c r="F3099" s="1"/>
    </row>
    <row r="3100" spans="6:13" x14ac:dyDescent="0.3">
      <c r="F3100" s="1"/>
    </row>
    <row r="3102" spans="6:13" x14ac:dyDescent="0.3">
      <c r="F3102" s="1"/>
    </row>
    <row r="3103" spans="6:13" x14ac:dyDescent="0.3">
      <c r="F3103" s="1"/>
    </row>
    <row r="3104" spans="6:13" x14ac:dyDescent="0.3">
      <c r="F3104" s="1"/>
    </row>
    <row r="3105" spans="6:15" x14ac:dyDescent="0.3">
      <c r="F3105" s="1"/>
    </row>
    <row r="3106" spans="6:15" x14ac:dyDescent="0.3">
      <c r="F3106" s="1"/>
      <c r="M3106" s="1"/>
    </row>
    <row r="3107" spans="6:15" x14ac:dyDescent="0.3">
      <c r="F3107" s="1"/>
    </row>
    <row r="3108" spans="6:15" x14ac:dyDescent="0.3">
      <c r="L3108" s="1"/>
    </row>
    <row r="3109" spans="6:15" x14ac:dyDescent="0.3">
      <c r="F3109" s="1"/>
    </row>
    <row r="3110" spans="6:15" x14ac:dyDescent="0.3">
      <c r="F3110" s="1"/>
    </row>
    <row r="3112" spans="6:15" x14ac:dyDescent="0.3">
      <c r="F3112" s="1"/>
    </row>
    <row r="3114" spans="6:15" x14ac:dyDescent="0.3">
      <c r="F3114" s="1"/>
    </row>
    <row r="3115" spans="6:15" x14ac:dyDescent="0.3">
      <c r="F3115" s="1"/>
    </row>
    <row r="3116" spans="6:15" x14ac:dyDescent="0.3">
      <c r="F3116" s="1"/>
    </row>
    <row r="3117" spans="6:15" x14ac:dyDescent="0.3">
      <c r="F3117" s="1"/>
    </row>
    <row r="3118" spans="6:15" x14ac:dyDescent="0.3">
      <c r="F3118" s="1"/>
    </row>
    <row r="3119" spans="6:15" x14ac:dyDescent="0.3">
      <c r="F3119" s="1"/>
    </row>
    <row r="3120" spans="6:15" x14ac:dyDescent="0.3">
      <c r="F3120" s="1"/>
      <c r="M3120" s="1"/>
      <c r="O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15" x14ac:dyDescent="0.3">
      <c r="F3153" s="1"/>
    </row>
    <row r="3154" spans="6:15" x14ac:dyDescent="0.3">
      <c r="F3154" s="1"/>
    </row>
    <row r="3155" spans="6:15" x14ac:dyDescent="0.3">
      <c r="F3155" s="1"/>
    </row>
    <row r="3156" spans="6:15" x14ac:dyDescent="0.3">
      <c r="F3156" s="1"/>
    </row>
    <row r="3157" spans="6:15" x14ac:dyDescent="0.3">
      <c r="F3157" s="1"/>
    </row>
    <row r="3158" spans="6:15" x14ac:dyDescent="0.3">
      <c r="F3158" s="1"/>
    </row>
    <row r="3160" spans="6:15" x14ac:dyDescent="0.3">
      <c r="F3160" s="1"/>
    </row>
    <row r="3161" spans="6:15" x14ac:dyDescent="0.3">
      <c r="F3161" s="1"/>
    </row>
    <row r="3162" spans="6:15" x14ac:dyDescent="0.3">
      <c r="F3162" s="1"/>
    </row>
    <row r="3163" spans="6:15" x14ac:dyDescent="0.3">
      <c r="F3163" s="1"/>
    </row>
    <row r="3164" spans="6:15" x14ac:dyDescent="0.3">
      <c r="F3164" s="1"/>
    </row>
    <row r="3165" spans="6:15" x14ac:dyDescent="0.3">
      <c r="F3165" s="1"/>
    </row>
    <row r="3166" spans="6:15" x14ac:dyDescent="0.3">
      <c r="F3166" s="1"/>
    </row>
    <row r="3167" spans="6:15" x14ac:dyDescent="0.3">
      <c r="F3167" s="1"/>
      <c r="M3167" s="1"/>
      <c r="O3167" s="1"/>
    </row>
    <row r="3168" spans="6:15" x14ac:dyDescent="0.3">
      <c r="F3168" s="1"/>
    </row>
    <row r="3169" spans="6:14" x14ac:dyDescent="0.3">
      <c r="F3169" s="1"/>
    </row>
    <row r="3170" spans="6:14" x14ac:dyDescent="0.3">
      <c r="F3170" s="1"/>
    </row>
    <row r="3171" spans="6:14" x14ac:dyDescent="0.3">
      <c r="F3171" s="1"/>
    </row>
    <row r="3172" spans="6:14" x14ac:dyDescent="0.3">
      <c r="F3172" s="1"/>
    </row>
    <row r="3173" spans="6:14" x14ac:dyDescent="0.3">
      <c r="M3173" s="1"/>
      <c r="N3173" s="1"/>
    </row>
    <row r="3174" spans="6:14" x14ac:dyDescent="0.3">
      <c r="F3174" s="1"/>
    </row>
    <row r="3175" spans="6:14" x14ac:dyDescent="0.3">
      <c r="F3175" s="1"/>
    </row>
    <row r="3176" spans="6:14" x14ac:dyDescent="0.3">
      <c r="F3176" s="1"/>
    </row>
    <row r="3177" spans="6:14" x14ac:dyDescent="0.3">
      <c r="F3177" s="1"/>
    </row>
    <row r="3178" spans="6:14" x14ac:dyDescent="0.3">
      <c r="F3178" s="1"/>
    </row>
    <row r="3179" spans="6:14" x14ac:dyDescent="0.3">
      <c r="F3179" s="1"/>
    </row>
    <row r="3180" spans="6:14" x14ac:dyDescent="0.3">
      <c r="L3180" s="1"/>
      <c r="M3180" s="1"/>
      <c r="N3180" s="1"/>
    </row>
    <row r="3182" spans="6:14" x14ac:dyDescent="0.3">
      <c r="F3182" s="1"/>
    </row>
    <row r="3183" spans="6:14" x14ac:dyDescent="0.3">
      <c r="F3183" s="1"/>
    </row>
    <row r="3184" spans="6:14" x14ac:dyDescent="0.3">
      <c r="F3184" s="1"/>
      <c r="L3184" s="1"/>
      <c r="N3184" s="1"/>
    </row>
    <row r="3185" spans="6:15" x14ac:dyDescent="0.3">
      <c r="F3185" s="1"/>
    </row>
    <row r="3186" spans="6:15" x14ac:dyDescent="0.3">
      <c r="F3186" s="1"/>
    </row>
    <row r="3187" spans="6:15" x14ac:dyDescent="0.3">
      <c r="L3187" s="1"/>
      <c r="N3187" s="1"/>
      <c r="O3187" s="1"/>
    </row>
    <row r="3188" spans="6:15" x14ac:dyDescent="0.3">
      <c r="F3188" s="1"/>
      <c r="L3188" s="1"/>
      <c r="M3188" s="1"/>
    </row>
    <row r="3189" spans="6:15" x14ac:dyDescent="0.3">
      <c r="F3189" s="1"/>
    </row>
    <row r="3190" spans="6:15" x14ac:dyDescent="0.3">
      <c r="F3190" s="1"/>
    </row>
    <row r="3191" spans="6:15" x14ac:dyDescent="0.3">
      <c r="F3191" s="1"/>
    </row>
    <row r="3192" spans="6:15" x14ac:dyDescent="0.3">
      <c r="F3192" s="1"/>
    </row>
    <row r="3193" spans="6:15" x14ac:dyDescent="0.3">
      <c r="F3193" s="1"/>
    </row>
    <row r="3196" spans="6:15" x14ac:dyDescent="0.3">
      <c r="F3196" s="1"/>
    </row>
    <row r="3198" spans="6:15" x14ac:dyDescent="0.3">
      <c r="F3198" s="1"/>
    </row>
    <row r="3199" spans="6:15" x14ac:dyDescent="0.3">
      <c r="F3199" s="1"/>
    </row>
    <row r="3201" spans="6:15" x14ac:dyDescent="0.3">
      <c r="F3201" s="1"/>
    </row>
    <row r="3203" spans="6:15" x14ac:dyDescent="0.3">
      <c r="F3203" s="1"/>
    </row>
    <row r="3204" spans="6:15" x14ac:dyDescent="0.3">
      <c r="F3204" s="1"/>
    </row>
    <row r="3205" spans="6:15" x14ac:dyDescent="0.3">
      <c r="F3205" s="1"/>
    </row>
    <row r="3206" spans="6:15" x14ac:dyDescent="0.3">
      <c r="F3206" s="1"/>
    </row>
    <row r="3207" spans="6:15" x14ac:dyDescent="0.3">
      <c r="F3207" s="1"/>
      <c r="M3207" s="1"/>
      <c r="N3207" s="1"/>
      <c r="O3207" s="1"/>
    </row>
    <row r="3208" spans="6:15" x14ac:dyDescent="0.3">
      <c r="F3208" s="1"/>
    </row>
    <row r="3209" spans="6:15" x14ac:dyDescent="0.3">
      <c r="L3209" s="1"/>
    </row>
    <row r="3210" spans="6:15" x14ac:dyDescent="0.3">
      <c r="F3210" s="1"/>
    </row>
    <row r="3211" spans="6:15" x14ac:dyDescent="0.3">
      <c r="F3211" s="1"/>
    </row>
    <row r="3212" spans="6:15" x14ac:dyDescent="0.3">
      <c r="M3212" s="1"/>
      <c r="N3212" s="1"/>
      <c r="O3212" s="1"/>
    </row>
    <row r="3213" spans="6:15" x14ac:dyDescent="0.3">
      <c r="F3213" s="1"/>
    </row>
    <row r="3214" spans="6:15" x14ac:dyDescent="0.3">
      <c r="F3214" s="1"/>
    </row>
    <row r="3215" spans="6:15" x14ac:dyDescent="0.3">
      <c r="F3215" s="1"/>
      <c r="M3215" s="1"/>
    </row>
    <row r="3216" spans="6:15" x14ac:dyDescent="0.3">
      <c r="F3216" s="1"/>
    </row>
    <row r="3217" spans="6:6" x14ac:dyDescent="0.3">
      <c r="F3217" s="1"/>
    </row>
    <row r="3218" spans="6:6" x14ac:dyDescent="0.3">
      <c r="F3218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30" spans="6:6" x14ac:dyDescent="0.3">
      <c r="F3230" s="1"/>
    </row>
    <row r="3232" spans="6:6" x14ac:dyDescent="0.3">
      <c r="F3232" s="1"/>
    </row>
    <row r="3233" spans="6:14" x14ac:dyDescent="0.3">
      <c r="F3233" s="1"/>
    </row>
    <row r="3234" spans="6:14" x14ac:dyDescent="0.3">
      <c r="F3234" s="1"/>
    </row>
    <row r="3235" spans="6:14" x14ac:dyDescent="0.3">
      <c r="F3235" s="1"/>
    </row>
    <row r="3236" spans="6:14" x14ac:dyDescent="0.3">
      <c r="F3236" s="1"/>
    </row>
    <row r="3237" spans="6:14" x14ac:dyDescent="0.3">
      <c r="F3237" s="1"/>
    </row>
    <row r="3238" spans="6:14" x14ac:dyDescent="0.3">
      <c r="F3238" s="1"/>
    </row>
    <row r="3240" spans="6:14" x14ac:dyDescent="0.3">
      <c r="F3240" s="1"/>
    </row>
    <row r="3241" spans="6:14" x14ac:dyDescent="0.3">
      <c r="F3241" s="1"/>
    </row>
    <row r="3242" spans="6:14" x14ac:dyDescent="0.3">
      <c r="F3242" s="1"/>
    </row>
    <row r="3243" spans="6:14" x14ac:dyDescent="0.3">
      <c r="F3243" s="1"/>
    </row>
    <row r="3244" spans="6:14" x14ac:dyDescent="0.3">
      <c r="F3244" s="1"/>
      <c r="L3244" s="1"/>
      <c r="N3244" s="1"/>
    </row>
    <row r="3245" spans="6:14" x14ac:dyDescent="0.3">
      <c r="F3245" s="1"/>
    </row>
    <row r="3246" spans="6:14" x14ac:dyDescent="0.3">
      <c r="F3246" s="1"/>
    </row>
    <row r="3247" spans="6:14" x14ac:dyDescent="0.3">
      <c r="F3247" s="1"/>
    </row>
    <row r="3248" spans="6:14" x14ac:dyDescent="0.3">
      <c r="F3248" s="1"/>
    </row>
    <row r="3249" spans="6:14" x14ac:dyDescent="0.3">
      <c r="F3249" s="1"/>
    </row>
    <row r="3250" spans="6:14" x14ac:dyDescent="0.3">
      <c r="F3250" s="1"/>
    </row>
    <row r="3251" spans="6:14" x14ac:dyDescent="0.3">
      <c r="F3251" s="1"/>
    </row>
    <row r="3252" spans="6:14" x14ac:dyDescent="0.3">
      <c r="F3252" s="1"/>
    </row>
    <row r="3253" spans="6:14" x14ac:dyDescent="0.3">
      <c r="F3253" s="1"/>
    </row>
    <row r="3254" spans="6:14" x14ac:dyDescent="0.3">
      <c r="F3254" s="1"/>
      <c r="L3254" s="1"/>
      <c r="N3254" s="1"/>
    </row>
    <row r="3255" spans="6:14" x14ac:dyDescent="0.3">
      <c r="F3255" s="1"/>
    </row>
    <row r="3256" spans="6:14" x14ac:dyDescent="0.3">
      <c r="F3256" s="1"/>
    </row>
    <row r="3257" spans="6:14" x14ac:dyDescent="0.3">
      <c r="F3257" s="1"/>
    </row>
    <row r="3258" spans="6:14" x14ac:dyDescent="0.3">
      <c r="F3258" s="1"/>
    </row>
    <row r="3261" spans="6:14" x14ac:dyDescent="0.3">
      <c r="F3261" s="1"/>
    </row>
    <row r="3262" spans="6:14" x14ac:dyDescent="0.3">
      <c r="F3262" s="1"/>
    </row>
    <row r="3263" spans="6:14" x14ac:dyDescent="0.3">
      <c r="F3263" s="1"/>
    </row>
    <row r="3264" spans="6:14" x14ac:dyDescent="0.3">
      <c r="F3264" s="1"/>
      <c r="L3264" s="1"/>
    </row>
    <row r="3265" spans="6:15" x14ac:dyDescent="0.3">
      <c r="L3265" s="1"/>
    </row>
    <row r="3266" spans="6:15" x14ac:dyDescent="0.3">
      <c r="F3266" s="1"/>
    </row>
    <row r="3267" spans="6:15" x14ac:dyDescent="0.3">
      <c r="F3267" s="1"/>
    </row>
    <row r="3268" spans="6:15" x14ac:dyDescent="0.3">
      <c r="F3268" s="1"/>
      <c r="L3268" s="1"/>
      <c r="O3268" s="1"/>
    </row>
    <row r="3269" spans="6:15" x14ac:dyDescent="0.3">
      <c r="F3269" s="1"/>
      <c r="L3269" s="1"/>
    </row>
    <row r="3270" spans="6:15" x14ac:dyDescent="0.3">
      <c r="F3270" s="1"/>
    </row>
    <row r="3271" spans="6:15" x14ac:dyDescent="0.3">
      <c r="F3271" s="1"/>
    </row>
    <row r="3273" spans="6:15" x14ac:dyDescent="0.3">
      <c r="F3273" s="1"/>
    </row>
    <row r="3274" spans="6:15" x14ac:dyDescent="0.3">
      <c r="F3274" s="1"/>
    </row>
    <row r="3275" spans="6:15" x14ac:dyDescent="0.3">
      <c r="L3275" s="1"/>
      <c r="O3275" s="1"/>
    </row>
    <row r="3276" spans="6:15" x14ac:dyDescent="0.3">
      <c r="F3276" s="1"/>
    </row>
    <row r="3277" spans="6:15" x14ac:dyDescent="0.3">
      <c r="F3277" s="1"/>
    </row>
    <row r="3279" spans="6:15" x14ac:dyDescent="0.3">
      <c r="F3279" s="1"/>
    </row>
    <row r="3280" spans="6:15" x14ac:dyDescent="0.3">
      <c r="F3280" s="1"/>
    </row>
    <row r="3281" spans="6:15" x14ac:dyDescent="0.3">
      <c r="F3281" s="1"/>
    </row>
    <row r="3282" spans="6:15" x14ac:dyDescent="0.3">
      <c r="M3282" s="1"/>
      <c r="N3282" s="1"/>
      <c r="O3282" s="1"/>
    </row>
    <row r="3284" spans="6:15" x14ac:dyDescent="0.3">
      <c r="F3284" s="1"/>
    </row>
    <row r="3285" spans="6:15" x14ac:dyDescent="0.3">
      <c r="F3285" s="1"/>
    </row>
    <row r="3286" spans="6:15" x14ac:dyDescent="0.3">
      <c r="F3286" s="1"/>
    </row>
    <row r="3287" spans="6:15" x14ac:dyDescent="0.3">
      <c r="F3287" s="1"/>
    </row>
    <row r="3288" spans="6:15" x14ac:dyDescent="0.3">
      <c r="M3288" s="1"/>
    </row>
    <row r="3289" spans="6:15" x14ac:dyDescent="0.3">
      <c r="F3289" s="1"/>
    </row>
    <row r="3290" spans="6:15" x14ac:dyDescent="0.3">
      <c r="F3290" s="1"/>
    </row>
    <row r="3291" spans="6:15" x14ac:dyDescent="0.3">
      <c r="N3291" s="1"/>
    </row>
    <row r="3292" spans="6:15" x14ac:dyDescent="0.3">
      <c r="F3292" s="1"/>
    </row>
    <row r="3293" spans="6:15" x14ac:dyDescent="0.3">
      <c r="F3293" s="1"/>
    </row>
    <row r="3294" spans="6:15" x14ac:dyDescent="0.3">
      <c r="F3294" s="1"/>
    </row>
    <row r="3295" spans="6:15" x14ac:dyDescent="0.3">
      <c r="F3295" s="1"/>
    </row>
    <row r="3296" spans="6:15" x14ac:dyDescent="0.3">
      <c r="F3296" s="1"/>
    </row>
    <row r="3297" spans="6:15" x14ac:dyDescent="0.3">
      <c r="F3297" s="1"/>
    </row>
    <row r="3298" spans="6:15" x14ac:dyDescent="0.3">
      <c r="L3298" s="1"/>
      <c r="M3298" s="1"/>
      <c r="N3298" s="1"/>
      <c r="O3298" s="1"/>
    </row>
    <row r="3299" spans="6:15" x14ac:dyDescent="0.3">
      <c r="F3299" s="1"/>
    </row>
    <row r="3300" spans="6:15" x14ac:dyDescent="0.3">
      <c r="F3300" s="1"/>
    </row>
    <row r="3301" spans="6:15" x14ac:dyDescent="0.3">
      <c r="F3301" s="1"/>
    </row>
    <row r="3302" spans="6:15" x14ac:dyDescent="0.3">
      <c r="F3302" s="1"/>
    </row>
    <row r="3303" spans="6:15" x14ac:dyDescent="0.3">
      <c r="F3303" s="1"/>
    </row>
    <row r="3304" spans="6:15" x14ac:dyDescent="0.3">
      <c r="F3304" s="1"/>
    </row>
    <row r="3306" spans="6:15" x14ac:dyDescent="0.3">
      <c r="F3306" s="1"/>
    </row>
    <row r="3308" spans="6:15" x14ac:dyDescent="0.3">
      <c r="F3308" s="1"/>
    </row>
    <row r="3309" spans="6:15" x14ac:dyDescent="0.3">
      <c r="F3309" s="1"/>
    </row>
    <row r="3310" spans="6:15" x14ac:dyDescent="0.3">
      <c r="F3310" s="1"/>
    </row>
    <row r="3311" spans="6:15" x14ac:dyDescent="0.3">
      <c r="F3311" s="1"/>
    </row>
    <row r="3312" spans="6:15" x14ac:dyDescent="0.3">
      <c r="F3312" s="1"/>
    </row>
    <row r="3313" spans="6:6" x14ac:dyDescent="0.3">
      <c r="F3313" s="1"/>
    </row>
    <row r="3314" spans="6:6" x14ac:dyDescent="0.3">
      <c r="F3314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14" x14ac:dyDescent="0.3">
      <c r="F3329" s="1"/>
    </row>
    <row r="3330" spans="6:14" x14ac:dyDescent="0.3">
      <c r="F3330" s="1"/>
    </row>
    <row r="3331" spans="6:14" x14ac:dyDescent="0.3">
      <c r="F3331" s="1"/>
    </row>
    <row r="3332" spans="6:14" x14ac:dyDescent="0.3">
      <c r="F3332" s="1"/>
    </row>
    <row r="3333" spans="6:14" x14ac:dyDescent="0.3">
      <c r="F3333" s="1"/>
    </row>
    <row r="3334" spans="6:14" x14ac:dyDescent="0.3">
      <c r="F3334" s="1"/>
    </row>
    <row r="3335" spans="6:14" x14ac:dyDescent="0.3">
      <c r="F3335" s="1"/>
    </row>
    <row r="3337" spans="6:14" x14ac:dyDescent="0.3">
      <c r="F3337" s="1"/>
    </row>
    <row r="3338" spans="6:14" x14ac:dyDescent="0.3">
      <c r="F3338" s="1"/>
    </row>
    <row r="3339" spans="6:14" x14ac:dyDescent="0.3">
      <c r="F3339" s="1"/>
    </row>
    <row r="3340" spans="6:14" x14ac:dyDescent="0.3">
      <c r="F3340" s="1"/>
    </row>
    <row r="3341" spans="6:14" x14ac:dyDescent="0.3">
      <c r="F3341" s="1"/>
    </row>
    <row r="3342" spans="6:14" x14ac:dyDescent="0.3">
      <c r="F3342" s="1"/>
    </row>
    <row r="3344" spans="6:14" x14ac:dyDescent="0.3">
      <c r="M3344" s="1"/>
      <c r="N3344" s="1"/>
    </row>
    <row r="3345" spans="6:13" x14ac:dyDescent="0.3">
      <c r="F3345" s="1"/>
    </row>
    <row r="3346" spans="6:13" x14ac:dyDescent="0.3">
      <c r="F3346" s="1"/>
    </row>
    <row r="3347" spans="6:13" x14ac:dyDescent="0.3">
      <c r="F3347" s="1"/>
    </row>
    <row r="3348" spans="6:13" x14ac:dyDescent="0.3">
      <c r="F3348" s="1"/>
    </row>
    <row r="3349" spans="6:13" x14ac:dyDescent="0.3">
      <c r="F3349" s="1"/>
    </row>
    <row r="3350" spans="6:13" x14ac:dyDescent="0.3">
      <c r="F3350" s="1"/>
    </row>
    <row r="3351" spans="6:13" x14ac:dyDescent="0.3">
      <c r="M3351" s="1"/>
    </row>
    <row r="3352" spans="6:13" x14ac:dyDescent="0.3">
      <c r="F3352" s="1"/>
    </row>
    <row r="3353" spans="6:13" x14ac:dyDescent="0.3">
      <c r="F3353" s="1"/>
    </row>
    <row r="3354" spans="6:13" x14ac:dyDescent="0.3">
      <c r="M3354" s="1"/>
    </row>
    <row r="3355" spans="6:13" x14ac:dyDescent="0.3">
      <c r="F3355" s="1"/>
    </row>
    <row r="3356" spans="6:13" x14ac:dyDescent="0.3">
      <c r="F3356" s="1"/>
    </row>
    <row r="3357" spans="6:13" x14ac:dyDescent="0.3">
      <c r="F3357" s="1"/>
    </row>
    <row r="3358" spans="6:13" x14ac:dyDescent="0.3">
      <c r="F3358" s="1"/>
    </row>
    <row r="3359" spans="6:13" x14ac:dyDescent="0.3">
      <c r="F3359" s="1"/>
    </row>
    <row r="3360" spans="6:13" x14ac:dyDescent="0.3">
      <c r="F3360" s="1"/>
    </row>
    <row r="3361" spans="6:15" x14ac:dyDescent="0.3">
      <c r="L3361" s="1"/>
      <c r="O3361" s="1"/>
    </row>
    <row r="3362" spans="6:15" x14ac:dyDescent="0.3">
      <c r="F3362" s="1"/>
    </row>
    <row r="3363" spans="6:15" x14ac:dyDescent="0.3">
      <c r="F3363" s="1"/>
    </row>
    <row r="3364" spans="6:15" x14ac:dyDescent="0.3">
      <c r="L3364" s="1"/>
    </row>
    <row r="3366" spans="6:15" x14ac:dyDescent="0.3">
      <c r="F3366" s="1"/>
    </row>
    <row r="3367" spans="6:15" x14ac:dyDescent="0.3">
      <c r="F3367" s="1"/>
    </row>
    <row r="3368" spans="6:15" x14ac:dyDescent="0.3">
      <c r="F3368" s="1"/>
    </row>
    <row r="3369" spans="6:15" x14ac:dyDescent="0.3">
      <c r="F3369" s="1"/>
    </row>
    <row r="3370" spans="6:15" x14ac:dyDescent="0.3">
      <c r="F3370" s="1"/>
    </row>
    <row r="3372" spans="6:15" x14ac:dyDescent="0.3">
      <c r="F3372" s="1"/>
    </row>
    <row r="3373" spans="6:15" x14ac:dyDescent="0.3">
      <c r="F3373" s="1"/>
    </row>
    <row r="3374" spans="6:15" x14ac:dyDescent="0.3">
      <c r="F3374" s="1"/>
    </row>
    <row r="3375" spans="6:15" x14ac:dyDescent="0.3">
      <c r="F3375" s="1"/>
    </row>
    <row r="3376" spans="6:15" x14ac:dyDescent="0.3">
      <c r="F3376" s="1"/>
    </row>
    <row r="3377" spans="6:15" x14ac:dyDescent="0.3">
      <c r="F3377" s="1"/>
    </row>
    <row r="3378" spans="6:15" x14ac:dyDescent="0.3">
      <c r="F3378" s="1"/>
      <c r="L3378" s="1"/>
    </row>
    <row r="3379" spans="6:15" x14ac:dyDescent="0.3">
      <c r="F3379" s="1"/>
    </row>
    <row r="3380" spans="6:15" x14ac:dyDescent="0.3">
      <c r="F3380" s="1"/>
      <c r="L3380" s="1"/>
      <c r="M3380" s="1"/>
      <c r="O3380" s="1"/>
    </row>
    <row r="3381" spans="6:15" x14ac:dyDescent="0.3">
      <c r="F3381" s="1"/>
    </row>
    <row r="3383" spans="6:15" x14ac:dyDescent="0.3">
      <c r="F3383" s="1"/>
    </row>
    <row r="3384" spans="6:15" x14ac:dyDescent="0.3">
      <c r="F3384" s="1"/>
    </row>
    <row r="3385" spans="6:15" x14ac:dyDescent="0.3">
      <c r="F3385" s="1"/>
      <c r="L3385" s="1"/>
      <c r="M3385" s="1"/>
      <c r="O3385" s="1"/>
    </row>
    <row r="3386" spans="6:15" x14ac:dyDescent="0.3">
      <c r="F3386" s="1"/>
    </row>
    <row r="3387" spans="6:15" x14ac:dyDescent="0.3">
      <c r="F3387" s="1"/>
    </row>
    <row r="3388" spans="6:15" x14ac:dyDescent="0.3">
      <c r="F3388" s="1"/>
    </row>
    <row r="3389" spans="6:15" x14ac:dyDescent="0.3">
      <c r="F3389" s="1"/>
    </row>
    <row r="3390" spans="6:15" x14ac:dyDescent="0.3">
      <c r="F3390" s="1"/>
    </row>
    <row r="3391" spans="6:15" x14ac:dyDescent="0.3">
      <c r="F3391" s="1"/>
    </row>
    <row r="3392" spans="6:15" x14ac:dyDescent="0.3">
      <c r="F3392" s="1"/>
    </row>
    <row r="3393" spans="6:15" x14ac:dyDescent="0.3">
      <c r="F3393" s="1"/>
    </row>
    <row r="3394" spans="6:15" x14ac:dyDescent="0.3">
      <c r="F3394" s="1"/>
    </row>
    <row r="3395" spans="6:15" x14ac:dyDescent="0.3">
      <c r="F3395" s="1"/>
    </row>
    <row r="3396" spans="6:15" x14ac:dyDescent="0.3">
      <c r="L3396" s="1"/>
      <c r="M3396" s="1"/>
    </row>
    <row r="3397" spans="6:15" x14ac:dyDescent="0.3">
      <c r="F3397" s="1"/>
      <c r="M3397" s="1"/>
    </row>
    <row r="3399" spans="6:15" x14ac:dyDescent="0.3">
      <c r="F3399" s="1"/>
    </row>
    <row r="3400" spans="6:15" x14ac:dyDescent="0.3">
      <c r="F3400" s="1"/>
    </row>
    <row r="3402" spans="6:15" x14ac:dyDescent="0.3">
      <c r="F3402" s="1"/>
      <c r="L3402" s="1"/>
      <c r="M3402" s="1"/>
      <c r="N3402" s="1"/>
    </row>
    <row r="3403" spans="6:15" x14ac:dyDescent="0.3">
      <c r="F3403" s="1"/>
    </row>
    <row r="3404" spans="6:15" x14ac:dyDescent="0.3">
      <c r="F3404" s="1"/>
      <c r="M3404" s="1"/>
    </row>
    <row r="3405" spans="6:15" x14ac:dyDescent="0.3">
      <c r="F3405" s="1"/>
    </row>
    <row r="3406" spans="6:15" x14ac:dyDescent="0.3">
      <c r="L3406" s="1"/>
      <c r="O3406" s="1"/>
    </row>
    <row r="3407" spans="6:15" x14ac:dyDescent="0.3">
      <c r="F3407" s="1"/>
    </row>
    <row r="3408" spans="6:15" x14ac:dyDescent="0.3">
      <c r="F3408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15" x14ac:dyDescent="0.3">
      <c r="F3425" s="1"/>
    </row>
    <row r="3427" spans="6:15" x14ac:dyDescent="0.3">
      <c r="F3427" s="1"/>
    </row>
    <row r="3428" spans="6:15" x14ac:dyDescent="0.3">
      <c r="F3428" s="1"/>
    </row>
    <row r="3429" spans="6:15" x14ac:dyDescent="0.3">
      <c r="F3429" s="1"/>
    </row>
    <row r="3430" spans="6:15" x14ac:dyDescent="0.3">
      <c r="F3430" s="1"/>
    </row>
    <row r="3431" spans="6:15" x14ac:dyDescent="0.3">
      <c r="F3431" s="1"/>
    </row>
    <row r="3432" spans="6:15" x14ac:dyDescent="0.3">
      <c r="O3432" s="1"/>
    </row>
    <row r="3433" spans="6:15" x14ac:dyDescent="0.3">
      <c r="F3433" s="1"/>
    </row>
    <row r="3434" spans="6:15" x14ac:dyDescent="0.3">
      <c r="F3434" s="1"/>
    </row>
    <row r="3435" spans="6:15" x14ac:dyDescent="0.3">
      <c r="F3435" s="1"/>
    </row>
    <row r="3436" spans="6:15" x14ac:dyDescent="0.3">
      <c r="F3436" s="1"/>
    </row>
    <row r="3437" spans="6:15" x14ac:dyDescent="0.3">
      <c r="F3437" s="1"/>
    </row>
    <row r="3438" spans="6:15" x14ac:dyDescent="0.3">
      <c r="F3438" s="1"/>
    </row>
    <row r="3439" spans="6:15" x14ac:dyDescent="0.3">
      <c r="F3439" s="1"/>
      <c r="M3439" s="1"/>
      <c r="N3439" s="1"/>
    </row>
    <row r="3440" spans="6:15" x14ac:dyDescent="0.3">
      <c r="F3440" s="1"/>
    </row>
    <row r="3441" spans="6:12" x14ac:dyDescent="0.3">
      <c r="F3441" s="1"/>
    </row>
    <row r="3442" spans="6:12" x14ac:dyDescent="0.3">
      <c r="F3442" s="1"/>
    </row>
    <row r="3443" spans="6:12" x14ac:dyDescent="0.3">
      <c r="F3443" s="1"/>
    </row>
    <row r="3445" spans="6:12" x14ac:dyDescent="0.3">
      <c r="F3445" s="1"/>
    </row>
    <row r="3446" spans="6:12" x14ac:dyDescent="0.3">
      <c r="F3446" s="1"/>
    </row>
    <row r="3447" spans="6:12" x14ac:dyDescent="0.3">
      <c r="L3447" s="1"/>
    </row>
    <row r="3448" spans="6:12" x14ac:dyDescent="0.3">
      <c r="F3448" s="1"/>
    </row>
    <row r="3449" spans="6:12" x14ac:dyDescent="0.3">
      <c r="F3449" s="1"/>
    </row>
    <row r="3450" spans="6:12" x14ac:dyDescent="0.3">
      <c r="F3450" s="1"/>
    </row>
    <row r="3451" spans="6:12" x14ac:dyDescent="0.3">
      <c r="F3451" s="1"/>
    </row>
    <row r="3452" spans="6:12" x14ac:dyDescent="0.3">
      <c r="F3452" s="1"/>
    </row>
    <row r="3454" spans="6:12" x14ac:dyDescent="0.3">
      <c r="F3454" s="1"/>
    </row>
    <row r="3455" spans="6:12" x14ac:dyDescent="0.3">
      <c r="F3455" s="1"/>
    </row>
    <row r="3456" spans="6:12" x14ac:dyDescent="0.3">
      <c r="F3456" s="1"/>
    </row>
    <row r="3457" spans="6:15" x14ac:dyDescent="0.3">
      <c r="F3457" s="1"/>
    </row>
    <row r="3459" spans="6:15" x14ac:dyDescent="0.3">
      <c r="F3459" s="1"/>
    </row>
    <row r="3460" spans="6:15" x14ac:dyDescent="0.3">
      <c r="M3460" s="1"/>
      <c r="O3460" s="1"/>
    </row>
    <row r="3461" spans="6:15" x14ac:dyDescent="0.3">
      <c r="F3461" s="1"/>
    </row>
    <row r="3462" spans="6:15" x14ac:dyDescent="0.3">
      <c r="F3462" s="1"/>
    </row>
    <row r="3463" spans="6:15" x14ac:dyDescent="0.3">
      <c r="F3463" s="1"/>
      <c r="M3463" s="1"/>
    </row>
    <row r="3464" spans="6:15" x14ac:dyDescent="0.3">
      <c r="M3464" s="1"/>
      <c r="N3464" s="1"/>
      <c r="O3464" s="1"/>
    </row>
    <row r="3465" spans="6:15" x14ac:dyDescent="0.3">
      <c r="F3465" s="1"/>
    </row>
    <row r="3468" spans="6:15" x14ac:dyDescent="0.3">
      <c r="F3468" s="1"/>
    </row>
    <row r="3469" spans="6:15" x14ac:dyDescent="0.3">
      <c r="F3469" s="1"/>
    </row>
    <row r="3470" spans="6:15" x14ac:dyDescent="0.3">
      <c r="F3470" s="1"/>
    </row>
    <row r="3471" spans="6:15" x14ac:dyDescent="0.3">
      <c r="F3471" s="1"/>
    </row>
    <row r="3472" spans="6:15" x14ac:dyDescent="0.3">
      <c r="F3472" s="1"/>
    </row>
    <row r="3473" spans="6:15" x14ac:dyDescent="0.3">
      <c r="F3473" s="1"/>
    </row>
    <row r="3474" spans="6:15" x14ac:dyDescent="0.3">
      <c r="F3474" s="1"/>
    </row>
    <row r="3475" spans="6:15" x14ac:dyDescent="0.3">
      <c r="F3475" s="1"/>
    </row>
    <row r="3476" spans="6:15" x14ac:dyDescent="0.3">
      <c r="F3476" s="1"/>
      <c r="L3476" s="1"/>
    </row>
    <row r="3477" spans="6:15" x14ac:dyDescent="0.3">
      <c r="F3477" s="1"/>
    </row>
    <row r="3478" spans="6:15" x14ac:dyDescent="0.3">
      <c r="F3478" s="1"/>
    </row>
    <row r="3479" spans="6:15" x14ac:dyDescent="0.3">
      <c r="F3479" s="1"/>
      <c r="M3479" s="1"/>
      <c r="N3479" s="1"/>
      <c r="O3479" s="1"/>
    </row>
    <row r="3480" spans="6:15" x14ac:dyDescent="0.3">
      <c r="F3480" s="1"/>
    </row>
    <row r="3481" spans="6:15" x14ac:dyDescent="0.3">
      <c r="F3481" s="1"/>
    </row>
    <row r="3482" spans="6:15" x14ac:dyDescent="0.3">
      <c r="F3482" s="1"/>
    </row>
    <row r="3483" spans="6:15" x14ac:dyDescent="0.3">
      <c r="F3483" s="1"/>
    </row>
    <row r="3484" spans="6:15" x14ac:dyDescent="0.3">
      <c r="F3484" s="1"/>
    </row>
    <row r="3485" spans="6:15" x14ac:dyDescent="0.3">
      <c r="F3485" s="1"/>
    </row>
    <row r="3487" spans="6:15" x14ac:dyDescent="0.3">
      <c r="F3487" s="1"/>
      <c r="L3487" s="1"/>
    </row>
    <row r="3488" spans="6:15" x14ac:dyDescent="0.3">
      <c r="F3488" s="1"/>
    </row>
    <row r="3489" spans="6:12" x14ac:dyDescent="0.3">
      <c r="F3489" s="1"/>
    </row>
    <row r="3490" spans="6:12" x14ac:dyDescent="0.3">
      <c r="F3490" s="1"/>
    </row>
    <row r="3491" spans="6:12" x14ac:dyDescent="0.3">
      <c r="F3491" s="1"/>
    </row>
    <row r="3493" spans="6:12" x14ac:dyDescent="0.3">
      <c r="F3493" s="1"/>
      <c r="L3493" s="1"/>
    </row>
    <row r="3494" spans="6:12" x14ac:dyDescent="0.3">
      <c r="F3494" s="1"/>
    </row>
    <row r="3495" spans="6:12" x14ac:dyDescent="0.3">
      <c r="F3495" s="1"/>
    </row>
    <row r="3496" spans="6:12" x14ac:dyDescent="0.3">
      <c r="F3496" s="1"/>
    </row>
    <row r="3497" spans="6:12" x14ac:dyDescent="0.3">
      <c r="F3497" s="1"/>
    </row>
    <row r="3500" spans="6:12" x14ac:dyDescent="0.3">
      <c r="F3500" s="1"/>
    </row>
    <row r="3502" spans="6:12" x14ac:dyDescent="0.3">
      <c r="F3502" s="1"/>
    </row>
    <row r="3503" spans="6:12" x14ac:dyDescent="0.3">
      <c r="F3503" s="1"/>
    </row>
    <row r="3504" spans="6:12" x14ac:dyDescent="0.3">
      <c r="F3504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15" x14ac:dyDescent="0.3">
      <c r="F3521" s="1"/>
    </row>
    <row r="3522" spans="6:15" x14ac:dyDescent="0.3">
      <c r="F3522" s="1"/>
    </row>
    <row r="3523" spans="6:15" x14ac:dyDescent="0.3">
      <c r="F3523" s="1"/>
    </row>
    <row r="3524" spans="6:15" x14ac:dyDescent="0.3">
      <c r="F3524" s="1"/>
      <c r="L3524" s="1"/>
      <c r="M3524" s="1"/>
    </row>
    <row r="3525" spans="6:15" x14ac:dyDescent="0.3">
      <c r="F3525" s="1"/>
    </row>
    <row r="3526" spans="6:15" x14ac:dyDescent="0.3">
      <c r="F3526" s="1"/>
    </row>
    <row r="3527" spans="6:15" x14ac:dyDescent="0.3">
      <c r="F3527" s="1"/>
    </row>
    <row r="3528" spans="6:15" x14ac:dyDescent="0.3">
      <c r="F3528" s="1"/>
    </row>
    <row r="3529" spans="6:15" x14ac:dyDescent="0.3">
      <c r="F3529" s="1"/>
    </row>
    <row r="3530" spans="6:15" x14ac:dyDescent="0.3">
      <c r="F3530" s="1"/>
    </row>
    <row r="3531" spans="6:15" x14ac:dyDescent="0.3">
      <c r="F3531" s="1"/>
    </row>
    <row r="3532" spans="6:15" x14ac:dyDescent="0.3">
      <c r="F3532" s="1"/>
    </row>
    <row r="3533" spans="6:15" x14ac:dyDescent="0.3">
      <c r="F3533" s="1"/>
    </row>
    <row r="3534" spans="6:15" x14ac:dyDescent="0.3">
      <c r="L3534" s="1"/>
      <c r="M3534" s="1"/>
      <c r="N3534" s="1"/>
      <c r="O3534" s="1"/>
    </row>
    <row r="3535" spans="6:15" x14ac:dyDescent="0.3">
      <c r="F3535" s="1"/>
    </row>
    <row r="3536" spans="6:15" x14ac:dyDescent="0.3">
      <c r="F3536" s="1"/>
    </row>
    <row r="3537" spans="6:15" x14ac:dyDescent="0.3">
      <c r="F3537" s="1"/>
    </row>
    <row r="3538" spans="6:15" x14ac:dyDescent="0.3">
      <c r="F3538" s="1"/>
      <c r="L3538" s="1"/>
    </row>
    <row r="3539" spans="6:15" x14ac:dyDescent="0.3">
      <c r="F3539" s="1"/>
    </row>
    <row r="3540" spans="6:15" x14ac:dyDescent="0.3">
      <c r="F3540" s="1"/>
    </row>
    <row r="3541" spans="6:15" x14ac:dyDescent="0.3">
      <c r="L3541" s="1"/>
      <c r="M3541" s="1"/>
      <c r="N3541" s="1"/>
      <c r="O3541" s="1"/>
    </row>
    <row r="3542" spans="6:15" x14ac:dyDescent="0.3">
      <c r="F3542" s="1"/>
    </row>
    <row r="3543" spans="6:15" x14ac:dyDescent="0.3">
      <c r="F3543" s="1"/>
    </row>
    <row r="3544" spans="6:15" x14ac:dyDescent="0.3">
      <c r="F3544" s="1"/>
      <c r="M3544" s="1"/>
    </row>
    <row r="3545" spans="6:15" x14ac:dyDescent="0.3">
      <c r="F3545" s="1"/>
    </row>
    <row r="3546" spans="6:15" x14ac:dyDescent="0.3">
      <c r="F3546" s="1"/>
    </row>
    <row r="3547" spans="6:15" x14ac:dyDescent="0.3">
      <c r="F3547" s="1"/>
    </row>
    <row r="3548" spans="6:15" x14ac:dyDescent="0.3">
      <c r="F3548" s="1"/>
    </row>
    <row r="3549" spans="6:15" x14ac:dyDescent="0.3">
      <c r="F3549" s="1"/>
    </row>
    <row r="3550" spans="6:15" x14ac:dyDescent="0.3">
      <c r="N3550" s="1"/>
    </row>
    <row r="3551" spans="6:15" x14ac:dyDescent="0.3">
      <c r="F3551" s="1"/>
    </row>
    <row r="3552" spans="6:15" x14ac:dyDescent="0.3">
      <c r="F3552" s="1"/>
    </row>
    <row r="3554" spans="6:13" x14ac:dyDescent="0.3">
      <c r="F3554" s="1"/>
    </row>
    <row r="3555" spans="6:13" x14ac:dyDescent="0.3">
      <c r="F3555" s="1"/>
    </row>
    <row r="3557" spans="6:13" x14ac:dyDescent="0.3">
      <c r="F3557" s="1"/>
    </row>
    <row r="3558" spans="6:13" x14ac:dyDescent="0.3">
      <c r="F3558" s="1"/>
    </row>
    <row r="3559" spans="6:13" x14ac:dyDescent="0.3">
      <c r="F3559" s="1"/>
    </row>
    <row r="3560" spans="6:13" x14ac:dyDescent="0.3">
      <c r="F3560" s="1"/>
    </row>
    <row r="3561" spans="6:13" x14ac:dyDescent="0.3">
      <c r="F3561" s="1"/>
    </row>
    <row r="3562" spans="6:13" x14ac:dyDescent="0.3">
      <c r="F3562" s="1"/>
    </row>
    <row r="3563" spans="6:13" x14ac:dyDescent="0.3">
      <c r="L3563" s="1"/>
      <c r="M3563" s="1"/>
    </row>
    <row r="3564" spans="6:13" x14ac:dyDescent="0.3">
      <c r="F3564" s="1"/>
    </row>
    <row r="3565" spans="6:13" x14ac:dyDescent="0.3">
      <c r="F3565" s="1"/>
    </row>
    <row r="3566" spans="6:13" x14ac:dyDescent="0.3">
      <c r="F3566" s="1"/>
    </row>
    <row r="3567" spans="6:13" x14ac:dyDescent="0.3">
      <c r="F3567" s="1"/>
    </row>
    <row r="3568" spans="6:13" x14ac:dyDescent="0.3">
      <c r="F3568" s="1"/>
    </row>
    <row r="3571" spans="6:14" x14ac:dyDescent="0.3">
      <c r="F3571" s="1"/>
    </row>
    <row r="3573" spans="6:14" x14ac:dyDescent="0.3">
      <c r="F3573" s="1"/>
    </row>
    <row r="3574" spans="6:14" x14ac:dyDescent="0.3">
      <c r="F3574" s="1"/>
    </row>
    <row r="3575" spans="6:14" x14ac:dyDescent="0.3">
      <c r="F3575" s="1"/>
    </row>
    <row r="3576" spans="6:14" x14ac:dyDescent="0.3">
      <c r="F3576" s="1"/>
    </row>
    <row r="3577" spans="6:14" x14ac:dyDescent="0.3">
      <c r="F3577" s="1"/>
    </row>
    <row r="3578" spans="6:14" x14ac:dyDescent="0.3">
      <c r="F3578" s="1"/>
    </row>
    <row r="3579" spans="6:14" x14ac:dyDescent="0.3">
      <c r="F3579" s="1"/>
    </row>
    <row r="3580" spans="6:14" x14ac:dyDescent="0.3">
      <c r="F3580" s="1"/>
    </row>
    <row r="3581" spans="6:14" x14ac:dyDescent="0.3">
      <c r="F3581" s="1"/>
      <c r="L3581" s="1"/>
      <c r="N3581" s="1"/>
    </row>
    <row r="3583" spans="6:14" x14ac:dyDescent="0.3">
      <c r="F3583" s="1"/>
    </row>
    <row r="3585" spans="6:14" x14ac:dyDescent="0.3">
      <c r="F3585" s="1"/>
    </row>
    <row r="3586" spans="6:14" x14ac:dyDescent="0.3">
      <c r="F3586" s="1"/>
    </row>
    <row r="3588" spans="6:14" x14ac:dyDescent="0.3">
      <c r="F3588" s="1"/>
    </row>
    <row r="3589" spans="6:14" x14ac:dyDescent="0.3">
      <c r="F3589" s="1"/>
    </row>
    <row r="3590" spans="6:14" x14ac:dyDescent="0.3">
      <c r="F3590" s="1"/>
    </row>
    <row r="3591" spans="6:14" x14ac:dyDescent="0.3">
      <c r="F3591" s="1"/>
    </row>
    <row r="3593" spans="6:14" x14ac:dyDescent="0.3">
      <c r="F3593" s="1"/>
    </row>
    <row r="3594" spans="6:14" x14ac:dyDescent="0.3">
      <c r="N3594" s="1"/>
    </row>
    <row r="3595" spans="6:14" x14ac:dyDescent="0.3">
      <c r="F3595" s="1"/>
    </row>
    <row r="3596" spans="6:14" x14ac:dyDescent="0.3">
      <c r="F3596" s="1"/>
    </row>
    <row r="3597" spans="6:14" x14ac:dyDescent="0.3">
      <c r="F3597" s="1"/>
    </row>
    <row r="3598" spans="6:14" x14ac:dyDescent="0.3">
      <c r="F3598" s="1"/>
    </row>
    <row r="3600" spans="6:14" x14ac:dyDescent="0.3">
      <c r="F3600" s="1"/>
    </row>
    <row r="3602" spans="6:15" x14ac:dyDescent="0.3">
      <c r="F3602" s="1"/>
    </row>
    <row r="3603" spans="6:15" x14ac:dyDescent="0.3">
      <c r="F3603" s="1"/>
    </row>
    <row r="3604" spans="6:15" x14ac:dyDescent="0.3">
      <c r="F3604" s="1"/>
    </row>
    <row r="3605" spans="6:15" x14ac:dyDescent="0.3">
      <c r="F3605" s="1"/>
      <c r="N3605" s="1"/>
    </row>
    <row r="3606" spans="6:15" x14ac:dyDescent="0.3">
      <c r="F3606" s="1"/>
    </row>
    <row r="3607" spans="6:15" x14ac:dyDescent="0.3">
      <c r="F3607" s="1"/>
    </row>
    <row r="3608" spans="6:15" x14ac:dyDescent="0.3">
      <c r="F3608" s="1"/>
    </row>
    <row r="3609" spans="6:15" x14ac:dyDescent="0.3">
      <c r="F3609" s="1"/>
    </row>
    <row r="3610" spans="6:15" x14ac:dyDescent="0.3">
      <c r="F3610" s="1"/>
    </row>
    <row r="3611" spans="6:15" x14ac:dyDescent="0.3">
      <c r="L3611" s="1"/>
      <c r="N3611" s="1"/>
      <c r="O3611" s="1"/>
    </row>
    <row r="3613" spans="6:15" x14ac:dyDescent="0.3">
      <c r="F3613" s="1"/>
    </row>
    <row r="3614" spans="6:15" x14ac:dyDescent="0.3">
      <c r="F3614" s="1"/>
    </row>
    <row r="3615" spans="6:15" x14ac:dyDescent="0.3">
      <c r="F3615" s="1"/>
    </row>
    <row r="3616" spans="6:15" x14ac:dyDescent="0.3">
      <c r="F3616" s="1"/>
    </row>
    <row r="3617" spans="6:14" x14ac:dyDescent="0.3">
      <c r="F3617" s="1"/>
    </row>
    <row r="3618" spans="6:14" x14ac:dyDescent="0.3">
      <c r="F3618" s="1"/>
    </row>
    <row r="3619" spans="6:14" x14ac:dyDescent="0.3">
      <c r="F3619" s="1"/>
      <c r="L3619" s="1"/>
    </row>
    <row r="3620" spans="6:14" x14ac:dyDescent="0.3">
      <c r="F3620" s="1"/>
    </row>
    <row r="3621" spans="6:14" x14ac:dyDescent="0.3">
      <c r="F3621" s="1"/>
      <c r="N3621" s="1"/>
    </row>
    <row r="3622" spans="6:14" x14ac:dyDescent="0.3">
      <c r="F3622" s="1"/>
    </row>
    <row r="3624" spans="6:14" x14ac:dyDescent="0.3">
      <c r="F3624" s="1"/>
    </row>
    <row r="3625" spans="6:14" x14ac:dyDescent="0.3">
      <c r="F3625" s="1"/>
    </row>
    <row r="3627" spans="6:14" x14ac:dyDescent="0.3">
      <c r="F3627" s="1"/>
    </row>
    <row r="3628" spans="6:14" x14ac:dyDescent="0.3">
      <c r="F3628" s="1"/>
    </row>
    <row r="3629" spans="6:14" x14ac:dyDescent="0.3">
      <c r="F3629" s="1"/>
    </row>
    <row r="3630" spans="6:14" x14ac:dyDescent="0.3">
      <c r="F3630" s="1"/>
    </row>
    <row r="3631" spans="6:14" x14ac:dyDescent="0.3">
      <c r="F3631" s="1"/>
      <c r="L3631" s="1"/>
      <c r="N3631" s="1"/>
    </row>
    <row r="3632" spans="6:14" x14ac:dyDescent="0.3">
      <c r="F3632" s="1"/>
    </row>
    <row r="3633" spans="6:15" x14ac:dyDescent="0.3">
      <c r="F3633" s="1"/>
      <c r="M3633" s="1"/>
      <c r="O3633" s="1"/>
    </row>
    <row r="3634" spans="6:15" x14ac:dyDescent="0.3">
      <c r="F3634" s="1"/>
    </row>
    <row r="3635" spans="6:15" x14ac:dyDescent="0.3">
      <c r="F3635" s="1"/>
    </row>
    <row r="3636" spans="6:15" x14ac:dyDescent="0.3">
      <c r="F3636" s="1"/>
    </row>
    <row r="3637" spans="6:15" x14ac:dyDescent="0.3">
      <c r="F3637" s="1"/>
    </row>
    <row r="3638" spans="6:15" x14ac:dyDescent="0.3">
      <c r="L3638" s="1"/>
      <c r="M3638" s="1"/>
      <c r="N3638" s="1"/>
      <c r="O3638" s="1"/>
    </row>
    <row r="3639" spans="6:15" x14ac:dyDescent="0.3">
      <c r="F3639" s="1"/>
    </row>
    <row r="3640" spans="6:15" x14ac:dyDescent="0.3">
      <c r="F3640" s="1"/>
      <c r="M3640" s="1"/>
    </row>
    <row r="3641" spans="6:15" x14ac:dyDescent="0.3">
      <c r="F3641" s="1"/>
      <c r="M3641" s="1"/>
      <c r="N3641" s="1"/>
    </row>
    <row r="3642" spans="6:15" x14ac:dyDescent="0.3">
      <c r="F3642" s="1"/>
    </row>
    <row r="3643" spans="6:15" x14ac:dyDescent="0.3">
      <c r="F3643" s="1"/>
    </row>
    <row r="3644" spans="6:15" x14ac:dyDescent="0.3">
      <c r="F3644" s="1"/>
    </row>
    <row r="3645" spans="6:15" x14ac:dyDescent="0.3">
      <c r="F3645" s="1"/>
      <c r="L3645" s="1"/>
      <c r="M3645" s="1"/>
      <c r="N3645" s="1"/>
      <c r="O3645" s="1"/>
    </row>
    <row r="3646" spans="6:15" x14ac:dyDescent="0.3">
      <c r="F3646" s="1"/>
    </row>
    <row r="3647" spans="6:15" x14ac:dyDescent="0.3">
      <c r="F3647" s="1"/>
    </row>
    <row r="3648" spans="6:15" x14ac:dyDescent="0.3">
      <c r="F3648" s="1"/>
    </row>
    <row r="3649" spans="6:15" x14ac:dyDescent="0.3">
      <c r="F3649" s="1"/>
    </row>
    <row r="3650" spans="6:15" x14ac:dyDescent="0.3">
      <c r="F3650" s="1"/>
    </row>
    <row r="3651" spans="6:15" x14ac:dyDescent="0.3">
      <c r="F3651" s="1"/>
    </row>
    <row r="3652" spans="6:15" x14ac:dyDescent="0.3">
      <c r="F3652" s="1"/>
    </row>
    <row r="3653" spans="6:15" x14ac:dyDescent="0.3">
      <c r="F3653" s="1"/>
    </row>
    <row r="3656" spans="6:15" x14ac:dyDescent="0.3">
      <c r="F3656" s="1"/>
    </row>
    <row r="3657" spans="6:15" x14ac:dyDescent="0.3">
      <c r="F3657" s="1"/>
      <c r="L3657" s="1"/>
      <c r="N3657" s="1"/>
      <c r="O3657" s="1"/>
    </row>
    <row r="3658" spans="6:15" x14ac:dyDescent="0.3">
      <c r="F3658" s="1"/>
    </row>
    <row r="3659" spans="6:15" x14ac:dyDescent="0.3">
      <c r="F3659" s="1"/>
    </row>
    <row r="3660" spans="6:15" x14ac:dyDescent="0.3">
      <c r="F3660" s="1"/>
    </row>
    <row r="3661" spans="6:15" x14ac:dyDescent="0.3">
      <c r="F3661" s="1"/>
    </row>
    <row r="3662" spans="6:15" x14ac:dyDescent="0.3">
      <c r="F3662" s="1"/>
    </row>
    <row r="3663" spans="6:15" x14ac:dyDescent="0.3">
      <c r="F3663" s="1"/>
    </row>
    <row r="3664" spans="6:15" x14ac:dyDescent="0.3">
      <c r="F3664" s="1"/>
    </row>
    <row r="3665" spans="6:15" x14ac:dyDescent="0.3">
      <c r="F3665" s="1"/>
    </row>
    <row r="3666" spans="6:15" x14ac:dyDescent="0.3">
      <c r="M3666" s="1"/>
      <c r="N3666" s="1"/>
      <c r="O3666" s="1"/>
    </row>
    <row r="3667" spans="6:15" x14ac:dyDescent="0.3">
      <c r="F3667" s="1"/>
    </row>
    <row r="3668" spans="6:15" x14ac:dyDescent="0.3">
      <c r="F3668" s="1"/>
    </row>
    <row r="3669" spans="6:15" x14ac:dyDescent="0.3">
      <c r="F3669" s="1"/>
    </row>
    <row r="3670" spans="6:15" x14ac:dyDescent="0.3">
      <c r="F3670" s="1"/>
    </row>
    <row r="3671" spans="6:15" x14ac:dyDescent="0.3">
      <c r="F3671" s="1"/>
    </row>
    <row r="3672" spans="6:15" x14ac:dyDescent="0.3">
      <c r="F3672" s="1"/>
    </row>
    <row r="3673" spans="6:15" x14ac:dyDescent="0.3">
      <c r="F3673" s="1"/>
    </row>
    <row r="3674" spans="6:15" x14ac:dyDescent="0.3">
      <c r="F3674" s="1"/>
    </row>
    <row r="3675" spans="6:15" x14ac:dyDescent="0.3">
      <c r="F3675" s="1"/>
    </row>
    <row r="3676" spans="6:15" x14ac:dyDescent="0.3">
      <c r="L3676" s="1"/>
      <c r="M3676" s="1"/>
      <c r="O3676" s="1"/>
    </row>
    <row r="3677" spans="6:15" x14ac:dyDescent="0.3">
      <c r="F3677" s="1"/>
    </row>
    <row r="3678" spans="6:15" x14ac:dyDescent="0.3">
      <c r="F3678" s="1"/>
    </row>
    <row r="3679" spans="6:15" x14ac:dyDescent="0.3">
      <c r="F3679" s="1"/>
    </row>
    <row r="3680" spans="6:15" x14ac:dyDescent="0.3">
      <c r="F3680" s="1"/>
    </row>
    <row r="3681" spans="6:15" x14ac:dyDescent="0.3">
      <c r="F3681" s="1"/>
    </row>
    <row r="3683" spans="6:15" x14ac:dyDescent="0.3">
      <c r="L3683" s="1"/>
      <c r="M3683" s="1"/>
      <c r="O3683" s="1"/>
    </row>
    <row r="3684" spans="6:15" x14ac:dyDescent="0.3">
      <c r="F3684" s="1"/>
    </row>
    <row r="3685" spans="6:15" x14ac:dyDescent="0.3">
      <c r="F3685" s="1"/>
    </row>
    <row r="3687" spans="6:15" x14ac:dyDescent="0.3">
      <c r="F3687" s="1"/>
    </row>
    <row r="3688" spans="6:15" x14ac:dyDescent="0.3">
      <c r="F3688" s="1"/>
    </row>
    <row r="3691" spans="6:15" x14ac:dyDescent="0.3">
      <c r="F3691" s="1"/>
    </row>
    <row r="3693" spans="6:15" x14ac:dyDescent="0.3">
      <c r="F3693" s="1"/>
    </row>
    <row r="3694" spans="6:15" x14ac:dyDescent="0.3">
      <c r="F3694" s="1"/>
    </row>
    <row r="3695" spans="6:15" x14ac:dyDescent="0.3">
      <c r="F3695" s="1"/>
    </row>
    <row r="3697" spans="6:15" x14ac:dyDescent="0.3">
      <c r="F3697" s="1"/>
    </row>
    <row r="3698" spans="6:15" x14ac:dyDescent="0.3">
      <c r="F3698" s="1"/>
    </row>
    <row r="3699" spans="6:15" x14ac:dyDescent="0.3">
      <c r="F3699" s="1"/>
    </row>
    <row r="3700" spans="6:15" x14ac:dyDescent="0.3">
      <c r="F3700" s="1"/>
      <c r="L3700" s="1"/>
      <c r="N3700" s="1"/>
    </row>
    <row r="3701" spans="6:15" x14ac:dyDescent="0.3">
      <c r="F3701" s="1"/>
    </row>
    <row r="3703" spans="6:15" x14ac:dyDescent="0.3">
      <c r="F3703" s="1"/>
    </row>
    <row r="3704" spans="6:15" x14ac:dyDescent="0.3">
      <c r="F3704" s="1"/>
    </row>
    <row r="3706" spans="6:15" x14ac:dyDescent="0.3">
      <c r="F3706" s="1"/>
    </row>
    <row r="3708" spans="6:15" x14ac:dyDescent="0.3">
      <c r="F3708" s="1"/>
    </row>
    <row r="3709" spans="6:15" x14ac:dyDescent="0.3">
      <c r="F3709" s="1"/>
    </row>
    <row r="3710" spans="6:15" x14ac:dyDescent="0.3">
      <c r="F3710" s="1"/>
      <c r="L3710" s="1"/>
      <c r="M3710" s="1"/>
      <c r="O3710" s="1"/>
    </row>
    <row r="3711" spans="6:15" x14ac:dyDescent="0.3">
      <c r="F3711" s="1"/>
    </row>
    <row r="3712" spans="6:15" x14ac:dyDescent="0.3">
      <c r="F3712" s="1"/>
    </row>
    <row r="3713" spans="6:13" x14ac:dyDescent="0.3">
      <c r="F3713" s="1"/>
    </row>
    <row r="3714" spans="6:13" x14ac:dyDescent="0.3">
      <c r="F3714" s="1"/>
    </row>
    <row r="3715" spans="6:13" x14ac:dyDescent="0.3">
      <c r="F3715" s="1"/>
      <c r="M3715" s="1"/>
    </row>
    <row r="3717" spans="6:13" x14ac:dyDescent="0.3">
      <c r="F3717" s="1"/>
    </row>
    <row r="3718" spans="6:13" x14ac:dyDescent="0.3">
      <c r="F3718" s="1"/>
    </row>
    <row r="3719" spans="6:13" x14ac:dyDescent="0.3">
      <c r="F3719" s="1"/>
    </row>
    <row r="3720" spans="6:13" x14ac:dyDescent="0.3">
      <c r="F3720" s="1"/>
    </row>
    <row r="3721" spans="6:13" x14ac:dyDescent="0.3">
      <c r="F3721" s="1"/>
    </row>
    <row r="3722" spans="6:13" x14ac:dyDescent="0.3">
      <c r="F3722" s="1"/>
    </row>
    <row r="3723" spans="6:13" x14ac:dyDescent="0.3">
      <c r="F3723" s="1"/>
    </row>
    <row r="3724" spans="6:13" x14ac:dyDescent="0.3">
      <c r="F3724" s="1"/>
    </row>
    <row r="3725" spans="6:13" x14ac:dyDescent="0.3">
      <c r="F3725" s="1"/>
    </row>
    <row r="3726" spans="6:13" x14ac:dyDescent="0.3">
      <c r="F3726" s="1"/>
    </row>
    <row r="3727" spans="6:13" x14ac:dyDescent="0.3">
      <c r="F3727" s="1"/>
      <c r="M3727" s="1"/>
    </row>
    <row r="3728" spans="6:13" x14ac:dyDescent="0.3">
      <c r="F3728" s="1"/>
    </row>
    <row r="3731" spans="6:14" x14ac:dyDescent="0.3">
      <c r="F3731" s="1"/>
    </row>
    <row r="3732" spans="6:14" x14ac:dyDescent="0.3">
      <c r="F3732" s="1"/>
    </row>
    <row r="3733" spans="6:14" x14ac:dyDescent="0.3">
      <c r="F3733" s="1"/>
    </row>
    <row r="3734" spans="6:14" x14ac:dyDescent="0.3">
      <c r="F3734" s="1"/>
    </row>
    <row r="3735" spans="6:14" x14ac:dyDescent="0.3">
      <c r="F3735" s="1"/>
    </row>
    <row r="3736" spans="6:14" x14ac:dyDescent="0.3">
      <c r="F3736" s="1"/>
    </row>
    <row r="3737" spans="6:14" x14ac:dyDescent="0.3">
      <c r="F3737" s="1"/>
    </row>
    <row r="3738" spans="6:14" x14ac:dyDescent="0.3">
      <c r="F3738" s="1"/>
      <c r="N3738" s="1"/>
    </row>
    <row r="3739" spans="6:14" x14ac:dyDescent="0.3">
      <c r="F3739" s="1"/>
    </row>
    <row r="3740" spans="6:14" x14ac:dyDescent="0.3">
      <c r="F3740" s="1"/>
    </row>
    <row r="3741" spans="6:14" x14ac:dyDescent="0.3">
      <c r="F3741" s="1"/>
    </row>
    <row r="3743" spans="6:14" x14ac:dyDescent="0.3">
      <c r="N3743" s="1"/>
    </row>
    <row r="3744" spans="6:14" x14ac:dyDescent="0.3">
      <c r="F3744" s="1"/>
    </row>
    <row r="3745" spans="6:15" x14ac:dyDescent="0.3">
      <c r="F3745" s="1"/>
    </row>
    <row r="3746" spans="6:15" x14ac:dyDescent="0.3">
      <c r="F3746" s="1"/>
    </row>
    <row r="3747" spans="6:15" x14ac:dyDescent="0.3">
      <c r="F3747" s="1"/>
    </row>
    <row r="3748" spans="6:15" x14ac:dyDescent="0.3">
      <c r="F3748" s="1"/>
    </row>
    <row r="3749" spans="6:15" x14ac:dyDescent="0.3">
      <c r="F3749" s="1"/>
      <c r="M3749" s="1"/>
    </row>
    <row r="3750" spans="6:15" x14ac:dyDescent="0.3">
      <c r="F3750" s="1"/>
    </row>
    <row r="3751" spans="6:15" x14ac:dyDescent="0.3">
      <c r="F3751" s="1"/>
    </row>
    <row r="3752" spans="6:15" x14ac:dyDescent="0.3">
      <c r="F3752" s="1"/>
    </row>
    <row r="3753" spans="6:15" x14ac:dyDescent="0.3">
      <c r="F3753" s="1"/>
      <c r="L3753" s="1"/>
      <c r="M3753" s="1"/>
      <c r="N3753" s="1"/>
      <c r="O3753" s="1"/>
    </row>
    <row r="3754" spans="6:15" x14ac:dyDescent="0.3">
      <c r="F3754" s="1"/>
    </row>
    <row r="3755" spans="6:15" x14ac:dyDescent="0.3">
      <c r="F3755" s="1"/>
    </row>
    <row r="3756" spans="6:15" x14ac:dyDescent="0.3">
      <c r="F3756" s="1"/>
    </row>
    <row r="3757" spans="6:15" x14ac:dyDescent="0.3">
      <c r="F3757" s="1"/>
    </row>
    <row r="3758" spans="6:15" x14ac:dyDescent="0.3">
      <c r="F3758" s="1"/>
    </row>
    <row r="3759" spans="6:15" x14ac:dyDescent="0.3">
      <c r="F3759" s="1"/>
    </row>
    <row r="3760" spans="6:15" x14ac:dyDescent="0.3">
      <c r="F3760" s="1"/>
    </row>
    <row r="3761" spans="6:15" x14ac:dyDescent="0.3">
      <c r="F3761" s="1"/>
    </row>
    <row r="3762" spans="6:15" x14ac:dyDescent="0.3">
      <c r="F3762" s="1"/>
    </row>
    <row r="3763" spans="6:15" x14ac:dyDescent="0.3">
      <c r="F3763" s="1"/>
    </row>
    <row r="3764" spans="6:15" x14ac:dyDescent="0.3">
      <c r="F3764" s="1"/>
    </row>
    <row r="3765" spans="6:15" x14ac:dyDescent="0.3">
      <c r="F3765" s="1"/>
    </row>
    <row r="3766" spans="6:15" x14ac:dyDescent="0.3">
      <c r="F3766" s="1"/>
    </row>
    <row r="3767" spans="6:15" x14ac:dyDescent="0.3">
      <c r="F3767" s="1"/>
    </row>
    <row r="3768" spans="6:15" x14ac:dyDescent="0.3">
      <c r="F3768" s="1"/>
    </row>
    <row r="3769" spans="6:15" x14ac:dyDescent="0.3">
      <c r="F3769" s="1"/>
    </row>
    <row r="3770" spans="6:15" x14ac:dyDescent="0.3">
      <c r="F3770" s="1"/>
    </row>
    <row r="3771" spans="6:15" x14ac:dyDescent="0.3">
      <c r="F3771" s="1"/>
      <c r="M3771" s="1"/>
      <c r="O3771" s="1"/>
    </row>
    <row r="3772" spans="6:15" x14ac:dyDescent="0.3">
      <c r="F3772" s="1"/>
    </row>
    <row r="3773" spans="6:15" x14ac:dyDescent="0.3">
      <c r="F3773" s="1"/>
    </row>
    <row r="3774" spans="6:15" x14ac:dyDescent="0.3">
      <c r="F3774" s="1"/>
    </row>
    <row r="3775" spans="6:15" x14ac:dyDescent="0.3">
      <c r="F3775" s="1"/>
    </row>
    <row r="3776" spans="6:15" x14ac:dyDescent="0.3">
      <c r="F3776" s="1"/>
    </row>
    <row r="3777" spans="6:14" x14ac:dyDescent="0.3">
      <c r="F3777" s="1"/>
    </row>
    <row r="3778" spans="6:14" x14ac:dyDescent="0.3">
      <c r="F3778" s="1"/>
    </row>
    <row r="3779" spans="6:14" x14ac:dyDescent="0.3">
      <c r="F3779" s="1"/>
    </row>
    <row r="3780" spans="6:14" x14ac:dyDescent="0.3">
      <c r="F3780" s="1"/>
    </row>
    <row r="3781" spans="6:14" x14ac:dyDescent="0.3">
      <c r="F3781" s="1"/>
    </row>
    <row r="3782" spans="6:14" x14ac:dyDescent="0.3">
      <c r="F3782" s="1"/>
    </row>
    <row r="3783" spans="6:14" x14ac:dyDescent="0.3">
      <c r="F3783" s="1"/>
    </row>
    <row r="3784" spans="6:14" x14ac:dyDescent="0.3">
      <c r="L3784" s="1"/>
      <c r="N3784" s="1"/>
    </row>
    <row r="3785" spans="6:14" x14ac:dyDescent="0.3">
      <c r="F3785" s="1"/>
    </row>
    <row r="3786" spans="6:14" x14ac:dyDescent="0.3">
      <c r="F3786" s="1"/>
    </row>
    <row r="3787" spans="6:14" x14ac:dyDescent="0.3">
      <c r="F3787" s="1"/>
    </row>
    <row r="3788" spans="6:14" x14ac:dyDescent="0.3">
      <c r="F3788" s="1"/>
      <c r="L3788" s="1"/>
    </row>
    <row r="3789" spans="6:14" x14ac:dyDescent="0.3">
      <c r="L3789" s="1"/>
    </row>
    <row r="3790" spans="6:14" x14ac:dyDescent="0.3">
      <c r="F3790" s="1"/>
    </row>
    <row r="3792" spans="6:14" x14ac:dyDescent="0.3">
      <c r="F3792" s="1"/>
    </row>
    <row r="3793" spans="6:15" x14ac:dyDescent="0.3">
      <c r="F3793" s="1"/>
    </row>
    <row r="3794" spans="6:15" x14ac:dyDescent="0.3">
      <c r="F3794" s="1"/>
    </row>
    <row r="3795" spans="6:15" x14ac:dyDescent="0.3">
      <c r="F3795" s="1"/>
    </row>
    <row r="3796" spans="6:15" x14ac:dyDescent="0.3">
      <c r="F3796" s="1"/>
    </row>
    <row r="3797" spans="6:15" x14ac:dyDescent="0.3">
      <c r="F3797" s="1"/>
    </row>
    <row r="3799" spans="6:15" x14ac:dyDescent="0.3">
      <c r="F3799" s="1"/>
    </row>
    <row r="3800" spans="6:15" x14ac:dyDescent="0.3">
      <c r="L3800" s="1"/>
      <c r="N3800" s="1"/>
    </row>
    <row r="3801" spans="6:15" x14ac:dyDescent="0.3">
      <c r="F3801" s="1"/>
    </row>
    <row r="3802" spans="6:15" x14ac:dyDescent="0.3">
      <c r="F3802" s="1"/>
    </row>
    <row r="3803" spans="6:15" x14ac:dyDescent="0.3">
      <c r="F3803" s="1"/>
      <c r="M3803" s="1"/>
      <c r="N3803" s="1"/>
      <c r="O3803" s="1"/>
    </row>
    <row r="3804" spans="6:15" x14ac:dyDescent="0.3">
      <c r="F3804" s="1"/>
    </row>
    <row r="3805" spans="6:15" x14ac:dyDescent="0.3">
      <c r="F3805" s="1"/>
    </row>
    <row r="3806" spans="6:15" x14ac:dyDescent="0.3">
      <c r="F3806" s="1"/>
    </row>
    <row r="3807" spans="6:15" x14ac:dyDescent="0.3">
      <c r="F3807" s="1"/>
    </row>
    <row r="3808" spans="6:15" x14ac:dyDescent="0.3">
      <c r="F3808" s="1"/>
    </row>
    <row r="3809" spans="6:15" x14ac:dyDescent="0.3">
      <c r="F3809" s="1"/>
    </row>
    <row r="3810" spans="6:15" x14ac:dyDescent="0.3">
      <c r="F3810" s="1"/>
    </row>
    <row r="3811" spans="6:15" x14ac:dyDescent="0.3">
      <c r="F3811" s="1"/>
      <c r="L3811" s="1"/>
      <c r="M3811" s="1"/>
      <c r="N3811" s="1"/>
      <c r="O3811" s="1"/>
    </row>
    <row r="3813" spans="6:15" x14ac:dyDescent="0.3">
      <c r="F3813" s="1"/>
    </row>
    <row r="3814" spans="6:15" x14ac:dyDescent="0.3">
      <c r="F3814" s="1"/>
    </row>
    <row r="3815" spans="6:15" x14ac:dyDescent="0.3">
      <c r="L3815" s="1"/>
      <c r="O3815" s="1"/>
    </row>
    <row r="3816" spans="6:15" x14ac:dyDescent="0.3">
      <c r="F3816" s="1"/>
    </row>
    <row r="3817" spans="6:15" x14ac:dyDescent="0.3">
      <c r="F3817" s="1"/>
    </row>
    <row r="3818" spans="6:15" x14ac:dyDescent="0.3">
      <c r="F3818" s="1"/>
    </row>
    <row r="3819" spans="6:15" x14ac:dyDescent="0.3">
      <c r="F3819" s="1"/>
    </row>
    <row r="3821" spans="6:15" x14ac:dyDescent="0.3">
      <c r="F3821" s="1"/>
    </row>
    <row r="3822" spans="6:15" x14ac:dyDescent="0.3">
      <c r="F3822" s="1"/>
    </row>
    <row r="3823" spans="6:15" x14ac:dyDescent="0.3">
      <c r="F3823" s="1"/>
    </row>
    <row r="3824" spans="6:15" x14ac:dyDescent="0.3">
      <c r="F3824" s="1"/>
    </row>
    <row r="3825" spans="6:15" x14ac:dyDescent="0.3">
      <c r="F3825" s="1"/>
    </row>
    <row r="3826" spans="6:15" x14ac:dyDescent="0.3">
      <c r="F3826" s="1"/>
    </row>
    <row r="3827" spans="6:15" x14ac:dyDescent="0.3">
      <c r="F3827" s="1"/>
    </row>
    <row r="3828" spans="6:15" x14ac:dyDescent="0.3">
      <c r="F3828" s="1"/>
    </row>
    <row r="3829" spans="6:15" x14ac:dyDescent="0.3">
      <c r="F3829" s="1"/>
    </row>
    <row r="3830" spans="6:15" x14ac:dyDescent="0.3">
      <c r="F3830" s="1"/>
    </row>
    <row r="3832" spans="6:15" x14ac:dyDescent="0.3">
      <c r="F3832" s="1"/>
    </row>
    <row r="3834" spans="6:15" x14ac:dyDescent="0.3">
      <c r="F3834" s="1"/>
    </row>
    <row r="3835" spans="6:15" x14ac:dyDescent="0.3">
      <c r="F3835" s="1"/>
      <c r="M3835" s="1"/>
      <c r="N3835" s="1"/>
    </row>
    <row r="3836" spans="6:15" x14ac:dyDescent="0.3">
      <c r="M3836" s="1"/>
    </row>
    <row r="3837" spans="6:15" x14ac:dyDescent="0.3">
      <c r="F3837" s="1"/>
    </row>
    <row r="3839" spans="6:15" x14ac:dyDescent="0.3">
      <c r="F3839" s="1"/>
      <c r="M3839" s="1"/>
    </row>
    <row r="3840" spans="6:15" x14ac:dyDescent="0.3">
      <c r="L3840" s="1"/>
      <c r="M3840" s="1"/>
      <c r="N3840" s="1"/>
      <c r="O3840" s="1"/>
    </row>
    <row r="3841" spans="6:14" x14ac:dyDescent="0.3">
      <c r="F3841" s="1"/>
      <c r="N3841" s="1"/>
    </row>
    <row r="3843" spans="6:14" x14ac:dyDescent="0.3">
      <c r="F3843" s="1"/>
    </row>
    <row r="3845" spans="6:14" x14ac:dyDescent="0.3">
      <c r="F3845" s="1"/>
    </row>
    <row r="3847" spans="6:14" x14ac:dyDescent="0.3">
      <c r="F3847" s="1"/>
    </row>
    <row r="3848" spans="6:14" x14ac:dyDescent="0.3">
      <c r="M3848" s="1"/>
    </row>
    <row r="3849" spans="6:14" x14ac:dyDescent="0.3">
      <c r="F3849" s="1"/>
    </row>
    <row r="3850" spans="6:14" x14ac:dyDescent="0.3">
      <c r="F3850" s="1"/>
    </row>
    <row r="3851" spans="6:14" x14ac:dyDescent="0.3">
      <c r="F3851" s="1"/>
    </row>
    <row r="3853" spans="6:14" x14ac:dyDescent="0.3">
      <c r="F3853" s="1"/>
    </row>
    <row r="3854" spans="6:14" x14ac:dyDescent="0.3">
      <c r="F3854" s="1"/>
      <c r="L3854" s="1"/>
    </row>
    <row r="3855" spans="6:14" x14ac:dyDescent="0.3">
      <c r="F3855" s="1"/>
    </row>
    <row r="3856" spans="6:14" x14ac:dyDescent="0.3">
      <c r="F3856" s="1"/>
    </row>
    <row r="3857" spans="6:12" x14ac:dyDescent="0.3">
      <c r="F3857" s="1"/>
      <c r="L3857" s="1"/>
    </row>
    <row r="3858" spans="6:12" x14ac:dyDescent="0.3">
      <c r="F3858" s="1"/>
    </row>
    <row r="3860" spans="6:12" x14ac:dyDescent="0.3">
      <c r="F3860" s="1"/>
    </row>
    <row r="3861" spans="6:12" x14ac:dyDescent="0.3">
      <c r="F3861" s="1"/>
    </row>
    <row r="3862" spans="6:12" x14ac:dyDescent="0.3">
      <c r="F3862" s="1"/>
    </row>
    <row r="3863" spans="6:12" x14ac:dyDescent="0.3">
      <c r="F3863" s="1"/>
    </row>
    <row r="3865" spans="6:12" x14ac:dyDescent="0.3">
      <c r="F3865" s="1"/>
    </row>
    <row r="3867" spans="6:12" x14ac:dyDescent="0.3">
      <c r="F3867" s="1"/>
    </row>
    <row r="3868" spans="6:12" x14ac:dyDescent="0.3">
      <c r="F3868" s="1"/>
    </row>
    <row r="3871" spans="6:12" x14ac:dyDescent="0.3">
      <c r="F3871" s="1"/>
    </row>
    <row r="3872" spans="6:12" x14ac:dyDescent="0.3">
      <c r="F3872" s="1"/>
    </row>
    <row r="3873" spans="6:15" x14ac:dyDescent="0.3">
      <c r="F3873" s="1"/>
    </row>
    <row r="3874" spans="6:15" x14ac:dyDescent="0.3">
      <c r="F3874" s="1"/>
    </row>
    <row r="3875" spans="6:15" x14ac:dyDescent="0.3">
      <c r="F3875" s="1"/>
      <c r="N3875" s="1"/>
    </row>
    <row r="3876" spans="6:15" x14ac:dyDescent="0.3">
      <c r="F3876" s="1"/>
    </row>
    <row r="3877" spans="6:15" x14ac:dyDescent="0.3">
      <c r="F3877" s="1"/>
    </row>
    <row r="3878" spans="6:15" x14ac:dyDescent="0.3">
      <c r="F3878" s="1"/>
    </row>
    <row r="3879" spans="6:15" x14ac:dyDescent="0.3">
      <c r="L3879" s="1"/>
      <c r="N3879" s="1"/>
      <c r="O3879" s="1"/>
    </row>
    <row r="3880" spans="6:15" x14ac:dyDescent="0.3">
      <c r="F3880" s="1"/>
    </row>
    <row r="3882" spans="6:15" x14ac:dyDescent="0.3">
      <c r="F3882" s="1"/>
    </row>
    <row r="3883" spans="6:15" x14ac:dyDescent="0.3">
      <c r="F3883" s="1"/>
    </row>
    <row r="3884" spans="6:15" x14ac:dyDescent="0.3">
      <c r="F3884" s="1"/>
    </row>
    <row r="3885" spans="6:15" x14ac:dyDescent="0.3">
      <c r="F3885" s="1"/>
    </row>
    <row r="3886" spans="6:15" x14ac:dyDescent="0.3">
      <c r="F3886" s="1"/>
    </row>
    <row r="3887" spans="6:15" x14ac:dyDescent="0.3">
      <c r="F3887" s="1"/>
    </row>
    <row r="3889" spans="6:15" x14ac:dyDescent="0.3">
      <c r="F3889" s="1"/>
    </row>
    <row r="3890" spans="6:15" x14ac:dyDescent="0.3">
      <c r="F3890" s="1"/>
    </row>
    <row r="3891" spans="6:15" x14ac:dyDescent="0.3">
      <c r="L3891" s="1"/>
      <c r="M3891" s="1"/>
    </row>
    <row r="3892" spans="6:15" x14ac:dyDescent="0.3">
      <c r="L3892" s="1"/>
      <c r="N3892" s="1"/>
      <c r="O3892" s="1"/>
    </row>
    <row r="3893" spans="6:15" x14ac:dyDescent="0.3">
      <c r="F3893" s="1"/>
    </row>
    <row r="3894" spans="6:15" x14ac:dyDescent="0.3">
      <c r="F3894" s="1"/>
    </row>
    <row r="3895" spans="6:15" x14ac:dyDescent="0.3">
      <c r="F3895" s="1"/>
    </row>
    <row r="3896" spans="6:15" x14ac:dyDescent="0.3">
      <c r="F3896" s="1"/>
    </row>
    <row r="3897" spans="6:15" x14ac:dyDescent="0.3">
      <c r="F3897" s="1"/>
    </row>
    <row r="3898" spans="6:15" x14ac:dyDescent="0.3">
      <c r="O3898" s="1"/>
    </row>
    <row r="3899" spans="6:15" x14ac:dyDescent="0.3">
      <c r="F3899" s="1"/>
    </row>
    <row r="3900" spans="6:15" x14ac:dyDescent="0.3">
      <c r="F3900" s="1"/>
    </row>
    <row r="3901" spans="6:15" x14ac:dyDescent="0.3">
      <c r="F3901" s="1"/>
    </row>
    <row r="3902" spans="6:15" x14ac:dyDescent="0.3">
      <c r="F3902" s="1"/>
    </row>
    <row r="3904" spans="6:15" x14ac:dyDescent="0.3">
      <c r="F3904" s="1"/>
    </row>
    <row r="3905" spans="6:6" x14ac:dyDescent="0.3">
      <c r="F3905" s="1"/>
    </row>
    <row r="3907" spans="6:6" x14ac:dyDescent="0.3">
      <c r="F3907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13" x14ac:dyDescent="0.3">
      <c r="F3921" s="1"/>
    </row>
    <row r="3922" spans="6:13" x14ac:dyDescent="0.3">
      <c r="M3922" s="1"/>
    </row>
    <row r="3923" spans="6:13" x14ac:dyDescent="0.3">
      <c r="F3923" s="1"/>
    </row>
    <row r="3926" spans="6:13" x14ac:dyDescent="0.3">
      <c r="F3926" s="1"/>
    </row>
    <row r="3927" spans="6:13" x14ac:dyDescent="0.3">
      <c r="F3927" s="1"/>
    </row>
    <row r="3928" spans="6:13" x14ac:dyDescent="0.3">
      <c r="F3928" s="1"/>
    </row>
    <row r="3929" spans="6:13" x14ac:dyDescent="0.3">
      <c r="F3929" s="1"/>
    </row>
    <row r="3930" spans="6:13" x14ac:dyDescent="0.3">
      <c r="F3930" s="1"/>
    </row>
    <row r="3931" spans="6:13" x14ac:dyDescent="0.3">
      <c r="F3931" s="1"/>
    </row>
    <row r="3932" spans="6:13" x14ac:dyDescent="0.3">
      <c r="F3932" s="1"/>
    </row>
    <row r="3933" spans="6:13" x14ac:dyDescent="0.3">
      <c r="F3933" s="1"/>
    </row>
    <row r="3934" spans="6:13" x14ac:dyDescent="0.3">
      <c r="F3934" s="1"/>
    </row>
    <row r="3935" spans="6:13" x14ac:dyDescent="0.3">
      <c r="L3935" s="1"/>
    </row>
    <row r="3936" spans="6:13" x14ac:dyDescent="0.3">
      <c r="F3936" s="1"/>
    </row>
    <row r="3937" spans="6:15" x14ac:dyDescent="0.3">
      <c r="F3937" s="1"/>
      <c r="L3937" s="1"/>
      <c r="N3937" s="1"/>
      <c r="O3937" s="1"/>
    </row>
    <row r="3939" spans="6:15" x14ac:dyDescent="0.3">
      <c r="F3939" s="1"/>
    </row>
    <row r="3940" spans="6:15" x14ac:dyDescent="0.3">
      <c r="F3940" s="1"/>
    </row>
    <row r="3941" spans="6:15" x14ac:dyDescent="0.3">
      <c r="F3941" s="1"/>
    </row>
    <row r="3942" spans="6:15" x14ac:dyDescent="0.3">
      <c r="F3942" s="1"/>
    </row>
    <row r="3943" spans="6:15" x14ac:dyDescent="0.3">
      <c r="F3943" s="1"/>
    </row>
    <row r="3945" spans="6:15" x14ac:dyDescent="0.3">
      <c r="F3945" s="1"/>
    </row>
    <row r="3946" spans="6:15" x14ac:dyDescent="0.3">
      <c r="F3946" s="1"/>
    </row>
    <row r="3947" spans="6:15" x14ac:dyDescent="0.3">
      <c r="F3947" s="1"/>
    </row>
    <row r="3948" spans="6:15" x14ac:dyDescent="0.3">
      <c r="F3948" s="1"/>
    </row>
    <row r="3949" spans="6:15" x14ac:dyDescent="0.3">
      <c r="F3949" s="1"/>
    </row>
    <row r="3950" spans="6:15" x14ac:dyDescent="0.3">
      <c r="F3950" s="1"/>
    </row>
    <row r="3953" spans="6:14" x14ac:dyDescent="0.3">
      <c r="F3953" s="1"/>
    </row>
    <row r="3954" spans="6:14" x14ac:dyDescent="0.3">
      <c r="F3954" s="1"/>
    </row>
    <row r="3955" spans="6:14" x14ac:dyDescent="0.3">
      <c r="F3955" s="1"/>
    </row>
    <row r="3956" spans="6:14" x14ac:dyDescent="0.3">
      <c r="F3956" s="1"/>
      <c r="M3956" s="1"/>
      <c r="N3956" s="1"/>
    </row>
    <row r="3957" spans="6:14" x14ac:dyDescent="0.3">
      <c r="F3957" s="1"/>
    </row>
    <row r="3958" spans="6:14" x14ac:dyDescent="0.3">
      <c r="F3958" s="1"/>
    </row>
    <row r="3959" spans="6:14" x14ac:dyDescent="0.3">
      <c r="F3959" s="1"/>
    </row>
    <row r="3960" spans="6:14" x14ac:dyDescent="0.3">
      <c r="F3960" s="1"/>
    </row>
    <row r="3961" spans="6:14" x14ac:dyDescent="0.3">
      <c r="F3961" s="1"/>
    </row>
    <row r="3963" spans="6:14" x14ac:dyDescent="0.3">
      <c r="F3963" s="1"/>
    </row>
    <row r="3964" spans="6:14" x14ac:dyDescent="0.3">
      <c r="F3964" s="1"/>
    </row>
    <row r="3965" spans="6:14" x14ac:dyDescent="0.3">
      <c r="F3965" s="1"/>
    </row>
    <row r="3966" spans="6:14" x14ac:dyDescent="0.3">
      <c r="F3966" s="1"/>
    </row>
    <row r="3967" spans="6:14" x14ac:dyDescent="0.3">
      <c r="F3967" s="1"/>
    </row>
    <row r="3968" spans="6:14" x14ac:dyDescent="0.3">
      <c r="L3968" s="1"/>
      <c r="M3968" s="1"/>
      <c r="N3968" s="1"/>
    </row>
    <row r="3969" spans="6:15" x14ac:dyDescent="0.3">
      <c r="F3969" s="1"/>
    </row>
    <row r="3971" spans="6:15" x14ac:dyDescent="0.3">
      <c r="F3971" s="1"/>
    </row>
    <row r="3972" spans="6:15" x14ac:dyDescent="0.3">
      <c r="F3972" s="1"/>
    </row>
    <row r="3973" spans="6:15" x14ac:dyDescent="0.3">
      <c r="F3973" s="1"/>
    </row>
    <row r="3974" spans="6:15" x14ac:dyDescent="0.3">
      <c r="L3974" s="1"/>
      <c r="M3974" s="1"/>
      <c r="N3974" s="1"/>
    </row>
    <row r="3975" spans="6:15" x14ac:dyDescent="0.3">
      <c r="F3975" s="1"/>
    </row>
    <row r="3976" spans="6:15" x14ac:dyDescent="0.3">
      <c r="F3976" s="1"/>
    </row>
    <row r="3977" spans="6:15" x14ac:dyDescent="0.3">
      <c r="F3977" s="1"/>
    </row>
    <row r="3978" spans="6:15" x14ac:dyDescent="0.3">
      <c r="F3978" s="1"/>
    </row>
    <row r="3979" spans="6:15" x14ac:dyDescent="0.3">
      <c r="F3979" s="1"/>
    </row>
    <row r="3980" spans="6:15" x14ac:dyDescent="0.3">
      <c r="F3980" s="1"/>
    </row>
    <row r="3981" spans="6:15" x14ac:dyDescent="0.3">
      <c r="F3981" s="1"/>
    </row>
    <row r="3982" spans="6:15" x14ac:dyDescent="0.3">
      <c r="N3982" s="1"/>
      <c r="O3982" s="1"/>
    </row>
    <row r="3983" spans="6:15" x14ac:dyDescent="0.3">
      <c r="F3983" s="1"/>
    </row>
    <row r="3985" spans="6:12" x14ac:dyDescent="0.3">
      <c r="F3985" s="1"/>
    </row>
    <row r="3986" spans="6:12" x14ac:dyDescent="0.3">
      <c r="F3986" s="1"/>
    </row>
    <row r="3987" spans="6:12" x14ac:dyDescent="0.3">
      <c r="F3987" s="1"/>
    </row>
    <row r="3988" spans="6:12" x14ac:dyDescent="0.3">
      <c r="F3988" s="1"/>
    </row>
    <row r="3989" spans="6:12" x14ac:dyDescent="0.3">
      <c r="F3989" s="1"/>
    </row>
    <row r="3990" spans="6:12" x14ac:dyDescent="0.3">
      <c r="F3990" s="1"/>
      <c r="L3990" s="1"/>
    </row>
    <row r="3991" spans="6:12" x14ac:dyDescent="0.3">
      <c r="F3991" s="1"/>
    </row>
    <row r="3992" spans="6:12" x14ac:dyDescent="0.3">
      <c r="F3992" s="1"/>
    </row>
    <row r="3993" spans="6:12" x14ac:dyDescent="0.3">
      <c r="F3993" s="1"/>
    </row>
    <row r="3995" spans="6:12" x14ac:dyDescent="0.3">
      <c r="F3995" s="1"/>
    </row>
    <row r="3996" spans="6:12" x14ac:dyDescent="0.3">
      <c r="F3996" s="1"/>
    </row>
    <row r="3997" spans="6:12" x14ac:dyDescent="0.3">
      <c r="F3997" s="1"/>
    </row>
    <row r="3998" spans="6:12" x14ac:dyDescent="0.3">
      <c r="F3998" s="1"/>
    </row>
    <row r="3999" spans="6:12" x14ac:dyDescent="0.3">
      <c r="F3999" s="1"/>
    </row>
    <row r="4000" spans="6:12" x14ac:dyDescent="0.3">
      <c r="F4000" s="1"/>
    </row>
    <row r="4001" spans="6:15" x14ac:dyDescent="0.3">
      <c r="F4001" s="1"/>
      <c r="L4001" s="1"/>
      <c r="N4001" s="1"/>
      <c r="O4001" s="1"/>
    </row>
    <row r="4002" spans="6:15" x14ac:dyDescent="0.3">
      <c r="F4002" s="1"/>
    </row>
    <row r="4003" spans="6:15" x14ac:dyDescent="0.3">
      <c r="F4003" s="1"/>
    </row>
    <row r="4004" spans="6:15" x14ac:dyDescent="0.3">
      <c r="F4004" s="1"/>
    </row>
    <row r="4005" spans="6:15" x14ac:dyDescent="0.3">
      <c r="F4005" s="1"/>
    </row>
    <row r="4006" spans="6:15" x14ac:dyDescent="0.3">
      <c r="F4006" s="1"/>
    </row>
    <row r="4007" spans="6:15" x14ac:dyDescent="0.3">
      <c r="F4007" s="1"/>
    </row>
    <row r="4009" spans="6:15" x14ac:dyDescent="0.3">
      <c r="F4009" s="1"/>
    </row>
    <row r="4010" spans="6:15" x14ac:dyDescent="0.3">
      <c r="F4010" s="1"/>
    </row>
    <row r="4011" spans="6:15" x14ac:dyDescent="0.3">
      <c r="F4011" s="1"/>
    </row>
    <row r="4012" spans="6:15" x14ac:dyDescent="0.3">
      <c r="F4012" s="1"/>
      <c r="L4012" s="1"/>
      <c r="M4012" s="1"/>
      <c r="O4012" s="1"/>
    </row>
    <row r="4013" spans="6:15" x14ac:dyDescent="0.3">
      <c r="F4013" s="1"/>
    </row>
    <row r="4014" spans="6:15" x14ac:dyDescent="0.3">
      <c r="F4014" s="1"/>
    </row>
    <row r="4015" spans="6:15" x14ac:dyDescent="0.3">
      <c r="L4015" s="1"/>
      <c r="M4015" s="1"/>
      <c r="N4015" s="1"/>
    </row>
    <row r="4016" spans="6:15" x14ac:dyDescent="0.3">
      <c r="F4016" s="1"/>
    </row>
    <row r="4017" spans="6:15" x14ac:dyDescent="0.3">
      <c r="F4017" s="1"/>
    </row>
    <row r="4018" spans="6:15" x14ac:dyDescent="0.3">
      <c r="F4018" s="1"/>
    </row>
    <row r="4019" spans="6:15" x14ac:dyDescent="0.3">
      <c r="F4019" s="1"/>
      <c r="L4019" s="1"/>
      <c r="N4019" s="1"/>
    </row>
    <row r="4020" spans="6:15" x14ac:dyDescent="0.3">
      <c r="F4020" s="1"/>
    </row>
    <row r="4021" spans="6:15" x14ac:dyDescent="0.3">
      <c r="F4021" s="1"/>
    </row>
    <row r="4022" spans="6:15" x14ac:dyDescent="0.3">
      <c r="F4022" s="1"/>
    </row>
    <row r="4023" spans="6:15" x14ac:dyDescent="0.3">
      <c r="F4023" s="1"/>
    </row>
    <row r="4024" spans="6:15" x14ac:dyDescent="0.3">
      <c r="F4024" s="1"/>
    </row>
    <row r="4025" spans="6:15" x14ac:dyDescent="0.3">
      <c r="F4025" s="1"/>
    </row>
    <row r="4026" spans="6:15" x14ac:dyDescent="0.3">
      <c r="F4026" s="1"/>
      <c r="L4026" s="1"/>
      <c r="M4026" s="1"/>
      <c r="N4026" s="1"/>
      <c r="O4026" s="1"/>
    </row>
    <row r="4027" spans="6:15" x14ac:dyDescent="0.3">
      <c r="F4027" s="1"/>
    </row>
    <row r="4028" spans="6:15" x14ac:dyDescent="0.3">
      <c r="F4028" s="1"/>
    </row>
    <row r="4029" spans="6:15" x14ac:dyDescent="0.3">
      <c r="F4029" s="1"/>
    </row>
    <row r="4030" spans="6:15" x14ac:dyDescent="0.3">
      <c r="F4030" s="1"/>
    </row>
    <row r="4031" spans="6:15" x14ac:dyDescent="0.3">
      <c r="F4031" s="1"/>
    </row>
    <row r="4034" spans="6:15" x14ac:dyDescent="0.3">
      <c r="F4034" s="1"/>
    </row>
    <row r="4036" spans="6:15" x14ac:dyDescent="0.3">
      <c r="F4036" s="1"/>
    </row>
    <row r="4037" spans="6:15" x14ac:dyDescent="0.3">
      <c r="F4037" s="1"/>
    </row>
    <row r="4038" spans="6:15" x14ac:dyDescent="0.3">
      <c r="F4038" s="1"/>
    </row>
    <row r="4039" spans="6:15" x14ac:dyDescent="0.3">
      <c r="F4039" s="1"/>
      <c r="M4039" s="1"/>
    </row>
    <row r="4040" spans="6:15" x14ac:dyDescent="0.3">
      <c r="F4040" s="1"/>
    </row>
    <row r="4041" spans="6:15" x14ac:dyDescent="0.3">
      <c r="F4041" s="1"/>
    </row>
    <row r="4042" spans="6:15" x14ac:dyDescent="0.3">
      <c r="M4042" s="1"/>
      <c r="O4042" s="1"/>
    </row>
    <row r="4043" spans="6:15" x14ac:dyDescent="0.3">
      <c r="F4043" s="1"/>
    </row>
    <row r="4044" spans="6:15" x14ac:dyDescent="0.3">
      <c r="F4044" s="1"/>
    </row>
    <row r="4045" spans="6:15" x14ac:dyDescent="0.3">
      <c r="F4045" s="1"/>
    </row>
    <row r="4046" spans="6:15" x14ac:dyDescent="0.3">
      <c r="F4046" s="1"/>
    </row>
    <row r="4048" spans="6:15" x14ac:dyDescent="0.3">
      <c r="L4048" s="1"/>
    </row>
    <row r="4049" spans="6:15" x14ac:dyDescent="0.3">
      <c r="F4049" s="1"/>
    </row>
    <row r="4050" spans="6:15" x14ac:dyDescent="0.3">
      <c r="F4050" s="1"/>
    </row>
    <row r="4051" spans="6:15" x14ac:dyDescent="0.3">
      <c r="L4051" s="1"/>
      <c r="M4051" s="1"/>
      <c r="O4051" s="1"/>
    </row>
    <row r="4052" spans="6:15" x14ac:dyDescent="0.3">
      <c r="F4052" s="1"/>
    </row>
    <row r="4053" spans="6:15" x14ac:dyDescent="0.3">
      <c r="F4053" s="1"/>
    </row>
    <row r="4054" spans="6:15" x14ac:dyDescent="0.3">
      <c r="F4054" s="1"/>
    </row>
    <row r="4055" spans="6:15" x14ac:dyDescent="0.3">
      <c r="F4055" s="1"/>
    </row>
    <row r="4056" spans="6:15" x14ac:dyDescent="0.3">
      <c r="L4056" s="1"/>
      <c r="M4056" s="1"/>
    </row>
    <row r="4057" spans="6:15" x14ac:dyDescent="0.3">
      <c r="F4057" s="1"/>
    </row>
    <row r="4058" spans="6:15" x14ac:dyDescent="0.3">
      <c r="F4058" s="1"/>
    </row>
    <row r="4059" spans="6:15" x14ac:dyDescent="0.3">
      <c r="F4059" s="1"/>
    </row>
    <row r="4060" spans="6:15" x14ac:dyDescent="0.3">
      <c r="F4060" s="1"/>
    </row>
    <row r="4061" spans="6:15" x14ac:dyDescent="0.3">
      <c r="F4061" s="1"/>
      <c r="O4061" s="1"/>
    </row>
    <row r="4062" spans="6:15" x14ac:dyDescent="0.3">
      <c r="F4062" s="1"/>
    </row>
    <row r="4063" spans="6:15" x14ac:dyDescent="0.3">
      <c r="F4063" s="1"/>
    </row>
    <row r="4064" spans="6:15" x14ac:dyDescent="0.3">
      <c r="F4064" s="1"/>
    </row>
    <row r="4065" spans="6:15" x14ac:dyDescent="0.3">
      <c r="F4065" s="1"/>
    </row>
    <row r="4066" spans="6:15" x14ac:dyDescent="0.3">
      <c r="F4066" s="1"/>
    </row>
    <row r="4067" spans="6:15" x14ac:dyDescent="0.3">
      <c r="N4067" s="1"/>
      <c r="O4067" s="1"/>
    </row>
    <row r="4068" spans="6:15" x14ac:dyDescent="0.3">
      <c r="F4068" s="1"/>
    </row>
    <row r="4069" spans="6:15" x14ac:dyDescent="0.3">
      <c r="F4069" s="1"/>
    </row>
    <row r="4070" spans="6:15" x14ac:dyDescent="0.3">
      <c r="F4070" s="1"/>
    </row>
    <row r="4071" spans="6:15" x14ac:dyDescent="0.3">
      <c r="F4071" s="1"/>
    </row>
    <row r="4072" spans="6:15" x14ac:dyDescent="0.3">
      <c r="F4072" s="1"/>
    </row>
    <row r="4073" spans="6:15" x14ac:dyDescent="0.3">
      <c r="F4073" s="1"/>
    </row>
    <row r="4074" spans="6:15" x14ac:dyDescent="0.3">
      <c r="F4074" s="1"/>
    </row>
    <row r="4075" spans="6:15" x14ac:dyDescent="0.3">
      <c r="F4075" s="1"/>
    </row>
    <row r="4076" spans="6:15" x14ac:dyDescent="0.3">
      <c r="F4076" s="1"/>
    </row>
    <row r="4077" spans="6:15" x14ac:dyDescent="0.3">
      <c r="F4077" s="1"/>
    </row>
    <row r="4078" spans="6:15" x14ac:dyDescent="0.3">
      <c r="F4078" s="1"/>
    </row>
    <row r="4079" spans="6:15" x14ac:dyDescent="0.3">
      <c r="F4079" s="1"/>
    </row>
    <row r="4080" spans="6:15" x14ac:dyDescent="0.3">
      <c r="F4080" s="1"/>
      <c r="L4080" s="1"/>
      <c r="N4080" s="1"/>
      <c r="O4080" s="1"/>
    </row>
    <row r="4081" spans="6:12" x14ac:dyDescent="0.3">
      <c r="F4081" s="1"/>
    </row>
    <row r="4082" spans="6:12" x14ac:dyDescent="0.3">
      <c r="F4082" s="1"/>
    </row>
    <row r="4083" spans="6:12" x14ac:dyDescent="0.3">
      <c r="F4083" s="1"/>
    </row>
    <row r="4084" spans="6:12" x14ac:dyDescent="0.3">
      <c r="F4084" s="1"/>
    </row>
    <row r="4085" spans="6:12" x14ac:dyDescent="0.3">
      <c r="F4085" s="1"/>
    </row>
    <row r="4087" spans="6:12" x14ac:dyDescent="0.3">
      <c r="F4087" s="1"/>
    </row>
    <row r="4088" spans="6:12" x14ac:dyDescent="0.3">
      <c r="F4088" s="1"/>
    </row>
    <row r="4089" spans="6:12" x14ac:dyDescent="0.3">
      <c r="F4089" s="1"/>
    </row>
    <row r="4090" spans="6:12" x14ac:dyDescent="0.3">
      <c r="F4090" s="1"/>
    </row>
    <row r="4091" spans="6:12" x14ac:dyDescent="0.3">
      <c r="F4091" s="1"/>
      <c r="L4091" s="1"/>
    </row>
    <row r="4092" spans="6:12" x14ac:dyDescent="0.3">
      <c r="F4092" s="1"/>
    </row>
    <row r="4093" spans="6:12" x14ac:dyDescent="0.3">
      <c r="F4093" s="1"/>
    </row>
    <row r="4094" spans="6:12" x14ac:dyDescent="0.3">
      <c r="F4094" s="1"/>
    </row>
    <row r="4095" spans="6:12" x14ac:dyDescent="0.3">
      <c r="F4095" s="1"/>
    </row>
    <row r="4096" spans="6:12" x14ac:dyDescent="0.3">
      <c r="F4096" s="1"/>
    </row>
    <row r="4098" spans="6:15" x14ac:dyDescent="0.3">
      <c r="F4098" s="1"/>
      <c r="L4098" s="1"/>
    </row>
    <row r="4099" spans="6:15" x14ac:dyDescent="0.3">
      <c r="F4099" s="1"/>
    </row>
    <row r="4100" spans="6:15" x14ac:dyDescent="0.3">
      <c r="L4100" s="1"/>
      <c r="M4100" s="1"/>
      <c r="N4100" s="1"/>
    </row>
    <row r="4101" spans="6:15" x14ac:dyDescent="0.3">
      <c r="F4101" s="1"/>
      <c r="N4101" s="1"/>
    </row>
    <row r="4102" spans="6:15" x14ac:dyDescent="0.3">
      <c r="F4102" s="1"/>
      <c r="L4102" s="1"/>
      <c r="M4102" s="1"/>
    </row>
    <row r="4103" spans="6:15" x14ac:dyDescent="0.3">
      <c r="F4103" s="1"/>
      <c r="M4103" s="1"/>
      <c r="N4103" s="1"/>
      <c r="O4103" s="1"/>
    </row>
    <row r="4104" spans="6:15" x14ac:dyDescent="0.3">
      <c r="F4104" s="1"/>
    </row>
    <row r="4105" spans="6:15" x14ac:dyDescent="0.3">
      <c r="F4105" s="1"/>
    </row>
    <row r="4106" spans="6:15" x14ac:dyDescent="0.3">
      <c r="F4106" s="1"/>
    </row>
    <row r="4107" spans="6:15" x14ac:dyDescent="0.3">
      <c r="F4107" s="1"/>
    </row>
    <row r="4108" spans="6:15" x14ac:dyDescent="0.3">
      <c r="L4108" s="1"/>
      <c r="N4108" s="1"/>
    </row>
    <row r="4109" spans="6:15" x14ac:dyDescent="0.3">
      <c r="F4109" s="1"/>
    </row>
    <row r="4110" spans="6:15" x14ac:dyDescent="0.3">
      <c r="F4110" s="1"/>
    </row>
    <row r="4111" spans="6:15" x14ac:dyDescent="0.3">
      <c r="F4111" s="1"/>
    </row>
    <row r="4112" spans="6:15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9" spans="6:15" x14ac:dyDescent="0.3">
      <c r="F4129" s="1"/>
    </row>
    <row r="4130" spans="6:15" x14ac:dyDescent="0.3">
      <c r="F4130" s="1"/>
    </row>
    <row r="4131" spans="6:15" x14ac:dyDescent="0.3">
      <c r="F4131" s="1"/>
    </row>
    <row r="4132" spans="6:15" x14ac:dyDescent="0.3">
      <c r="M4132" s="1"/>
      <c r="O4132" s="1"/>
    </row>
    <row r="4133" spans="6:15" x14ac:dyDescent="0.3">
      <c r="F4133" s="1"/>
    </row>
    <row r="4134" spans="6:15" x14ac:dyDescent="0.3">
      <c r="F4134" s="1"/>
    </row>
    <row r="4135" spans="6:15" x14ac:dyDescent="0.3">
      <c r="F4135" s="1"/>
    </row>
    <row r="4136" spans="6:15" x14ac:dyDescent="0.3">
      <c r="F4136" s="1"/>
    </row>
    <row r="4137" spans="6:15" x14ac:dyDescent="0.3">
      <c r="F4137" s="1"/>
    </row>
    <row r="4138" spans="6:15" x14ac:dyDescent="0.3">
      <c r="F4138" s="1"/>
    </row>
    <row r="4139" spans="6:15" x14ac:dyDescent="0.3">
      <c r="F4139" s="1"/>
      <c r="M4139" s="1"/>
      <c r="O4139" s="1"/>
    </row>
    <row r="4140" spans="6:15" x14ac:dyDescent="0.3">
      <c r="F4140" s="1"/>
    </row>
    <row r="4141" spans="6:15" x14ac:dyDescent="0.3">
      <c r="F4141" s="1"/>
    </row>
    <row r="4142" spans="6:15" x14ac:dyDescent="0.3">
      <c r="F4142" s="1"/>
    </row>
    <row r="4143" spans="6:15" x14ac:dyDescent="0.3">
      <c r="F4143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3" spans="6:6" x14ac:dyDescent="0.3">
      <c r="F4153" s="1"/>
    </row>
    <row r="4154" spans="6:6" x14ac:dyDescent="0.3">
      <c r="F4154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15" x14ac:dyDescent="0.3">
      <c r="F4161" s="1"/>
    </row>
    <row r="4162" spans="6:15" x14ac:dyDescent="0.3">
      <c r="F4162" s="1"/>
    </row>
    <row r="4163" spans="6:15" x14ac:dyDescent="0.3">
      <c r="F4163" s="1"/>
    </row>
    <row r="4164" spans="6:15" x14ac:dyDescent="0.3">
      <c r="F4164" s="1"/>
    </row>
    <row r="4165" spans="6:15" x14ac:dyDescent="0.3">
      <c r="F4165" s="1"/>
    </row>
    <row r="4167" spans="6:15" x14ac:dyDescent="0.3">
      <c r="F4167" s="1"/>
    </row>
    <row r="4168" spans="6:15" x14ac:dyDescent="0.3">
      <c r="F4168" s="1"/>
    </row>
    <row r="4169" spans="6:15" x14ac:dyDescent="0.3">
      <c r="F4169" s="1"/>
    </row>
    <row r="4170" spans="6:15" x14ac:dyDescent="0.3">
      <c r="L4170" s="1"/>
      <c r="O4170" s="1"/>
    </row>
    <row r="4172" spans="6:15" x14ac:dyDescent="0.3">
      <c r="F4172" s="1"/>
    </row>
    <row r="4173" spans="6:15" x14ac:dyDescent="0.3">
      <c r="F4173" s="1"/>
    </row>
    <row r="4175" spans="6:15" x14ac:dyDescent="0.3">
      <c r="N4175" s="1"/>
    </row>
    <row r="4176" spans="6:15" x14ac:dyDescent="0.3">
      <c r="F4176" s="1"/>
    </row>
    <row r="4177" spans="6:14" x14ac:dyDescent="0.3">
      <c r="F4177" s="1"/>
    </row>
    <row r="4178" spans="6:14" x14ac:dyDescent="0.3">
      <c r="F4178" s="1"/>
    </row>
    <row r="4179" spans="6:14" x14ac:dyDescent="0.3">
      <c r="F4179" s="1"/>
    </row>
    <row r="4180" spans="6:14" x14ac:dyDescent="0.3">
      <c r="F4180" s="1"/>
    </row>
    <row r="4181" spans="6:14" x14ac:dyDescent="0.3">
      <c r="F4181" s="1"/>
    </row>
    <row r="4182" spans="6:14" x14ac:dyDescent="0.3">
      <c r="F4182" s="1"/>
    </row>
    <row r="4183" spans="6:14" x14ac:dyDescent="0.3">
      <c r="F4183" s="1"/>
      <c r="N4183" s="1"/>
    </row>
    <row r="4184" spans="6:14" x14ac:dyDescent="0.3">
      <c r="F4184" s="1"/>
    </row>
    <row r="4185" spans="6:14" x14ac:dyDescent="0.3">
      <c r="F4185" s="1"/>
    </row>
    <row r="4186" spans="6:14" x14ac:dyDescent="0.3">
      <c r="F4186" s="1"/>
    </row>
    <row r="4187" spans="6:14" x14ac:dyDescent="0.3">
      <c r="F4187" s="1"/>
    </row>
    <row r="4188" spans="6:14" x14ac:dyDescent="0.3">
      <c r="F4188" s="1"/>
    </row>
    <row r="4190" spans="6:14" x14ac:dyDescent="0.3">
      <c r="F4190" s="1"/>
    </row>
    <row r="4191" spans="6:14" x14ac:dyDescent="0.3">
      <c r="F4191" s="1"/>
    </row>
    <row r="4192" spans="6:14" x14ac:dyDescent="0.3">
      <c r="F4192" s="1"/>
    </row>
    <row r="4193" spans="6:15" x14ac:dyDescent="0.3">
      <c r="F4193" s="1"/>
    </row>
    <row r="4194" spans="6:15" x14ac:dyDescent="0.3">
      <c r="F4194" s="1"/>
    </row>
    <row r="4196" spans="6:15" x14ac:dyDescent="0.3">
      <c r="F4196" s="1"/>
    </row>
    <row r="4197" spans="6:15" x14ac:dyDescent="0.3">
      <c r="F4197" s="1"/>
    </row>
    <row r="4199" spans="6:15" x14ac:dyDescent="0.3">
      <c r="F4199" s="1"/>
    </row>
    <row r="4201" spans="6:15" x14ac:dyDescent="0.3">
      <c r="F4201" s="1"/>
      <c r="L4201" s="1"/>
      <c r="M4201" s="1"/>
      <c r="N4201" s="1"/>
      <c r="O4201" s="1"/>
    </row>
    <row r="4202" spans="6:15" x14ac:dyDescent="0.3">
      <c r="F4202" s="1"/>
    </row>
    <row r="4204" spans="6:15" x14ac:dyDescent="0.3">
      <c r="F4204" s="1"/>
    </row>
    <row r="4205" spans="6:15" x14ac:dyDescent="0.3">
      <c r="F4205" s="1"/>
    </row>
    <row r="4206" spans="6:15" x14ac:dyDescent="0.3">
      <c r="F4206" s="1"/>
    </row>
    <row r="4207" spans="6:15" x14ac:dyDescent="0.3">
      <c r="F4207" s="1"/>
    </row>
    <row r="4208" spans="6:15" x14ac:dyDescent="0.3">
      <c r="F4208" s="1"/>
    </row>
    <row r="4209" spans="6:13" x14ac:dyDescent="0.3">
      <c r="F4209" s="1"/>
    </row>
    <row r="4210" spans="6:13" x14ac:dyDescent="0.3">
      <c r="F4210" s="1"/>
    </row>
    <row r="4211" spans="6:13" x14ac:dyDescent="0.3">
      <c r="F4211" s="1"/>
    </row>
    <row r="4212" spans="6:13" x14ac:dyDescent="0.3">
      <c r="M4212" s="1"/>
    </row>
    <row r="4214" spans="6:13" x14ac:dyDescent="0.3">
      <c r="F4214" s="1"/>
    </row>
    <row r="4215" spans="6:13" x14ac:dyDescent="0.3">
      <c r="F4215" s="1"/>
    </row>
    <row r="4216" spans="6:13" x14ac:dyDescent="0.3">
      <c r="F4216" s="1"/>
    </row>
    <row r="4217" spans="6:13" x14ac:dyDescent="0.3">
      <c r="F4217" s="1"/>
    </row>
    <row r="4218" spans="6:13" x14ac:dyDescent="0.3">
      <c r="F4218" s="1"/>
    </row>
    <row r="4219" spans="6:13" x14ac:dyDescent="0.3">
      <c r="F4219" s="1"/>
    </row>
    <row r="4220" spans="6:13" x14ac:dyDescent="0.3">
      <c r="F4220" s="1"/>
    </row>
    <row r="4221" spans="6:13" x14ac:dyDescent="0.3">
      <c r="F4221" s="1"/>
    </row>
    <row r="4222" spans="6:13" x14ac:dyDescent="0.3">
      <c r="F4222" s="1"/>
    </row>
    <row r="4223" spans="6:13" x14ac:dyDescent="0.3">
      <c r="F4223" s="1"/>
    </row>
    <row r="4224" spans="6:13" x14ac:dyDescent="0.3">
      <c r="F4224" s="1"/>
    </row>
    <row r="4225" spans="6:15" x14ac:dyDescent="0.3">
      <c r="F4225" s="1"/>
    </row>
    <row r="4226" spans="6:15" x14ac:dyDescent="0.3">
      <c r="F4226" s="1"/>
    </row>
    <row r="4227" spans="6:15" x14ac:dyDescent="0.3">
      <c r="F4227" s="1"/>
    </row>
    <row r="4229" spans="6:15" x14ac:dyDescent="0.3">
      <c r="L4229" s="1"/>
      <c r="O4229" s="1"/>
    </row>
    <row r="4230" spans="6:15" x14ac:dyDescent="0.3">
      <c r="F4230" s="1"/>
    </row>
    <row r="4231" spans="6:15" x14ac:dyDescent="0.3">
      <c r="F4231" s="1"/>
    </row>
    <row r="4233" spans="6:15" x14ac:dyDescent="0.3">
      <c r="F4233" s="1"/>
    </row>
    <row r="4234" spans="6:15" x14ac:dyDescent="0.3">
      <c r="F4234" s="1"/>
    </row>
    <row r="4235" spans="6:15" x14ac:dyDescent="0.3">
      <c r="F4235" s="1"/>
    </row>
    <row r="4236" spans="6:15" x14ac:dyDescent="0.3">
      <c r="F4236" s="1"/>
    </row>
    <row r="4237" spans="6:15" x14ac:dyDescent="0.3">
      <c r="F4237" s="1"/>
    </row>
    <row r="4239" spans="6:15" x14ac:dyDescent="0.3">
      <c r="F4239" s="1"/>
    </row>
    <row r="4240" spans="6:15" x14ac:dyDescent="0.3">
      <c r="F4240" s="1"/>
    </row>
    <row r="4241" spans="6:15" x14ac:dyDescent="0.3">
      <c r="F4241" s="1"/>
    </row>
    <row r="4242" spans="6:15" x14ac:dyDescent="0.3">
      <c r="F4242" s="1"/>
    </row>
    <row r="4245" spans="6:15" x14ac:dyDescent="0.3">
      <c r="F4245" s="1"/>
    </row>
    <row r="4246" spans="6:15" x14ac:dyDescent="0.3">
      <c r="F4246" s="1"/>
    </row>
    <row r="4247" spans="6:15" x14ac:dyDescent="0.3">
      <c r="F4247" s="1"/>
    </row>
    <row r="4248" spans="6:15" x14ac:dyDescent="0.3">
      <c r="F4248" s="1"/>
    </row>
    <row r="4249" spans="6:15" x14ac:dyDescent="0.3">
      <c r="F4249" s="1"/>
    </row>
    <row r="4250" spans="6:15" x14ac:dyDescent="0.3">
      <c r="F4250" s="1"/>
    </row>
    <row r="4251" spans="6:15" x14ac:dyDescent="0.3">
      <c r="F4251" s="1"/>
    </row>
    <row r="4252" spans="6:15" x14ac:dyDescent="0.3">
      <c r="F4252" s="1"/>
    </row>
    <row r="4253" spans="6:15" x14ac:dyDescent="0.3">
      <c r="F4253" s="1"/>
      <c r="L4253" s="1"/>
      <c r="M4253" s="1"/>
      <c r="O4253" s="1"/>
    </row>
    <row r="4254" spans="6:15" x14ac:dyDescent="0.3">
      <c r="F4254" s="1"/>
    </row>
    <row r="4255" spans="6:15" x14ac:dyDescent="0.3">
      <c r="F4255" s="1"/>
      <c r="L4255" s="1"/>
    </row>
    <row r="4256" spans="6:15" x14ac:dyDescent="0.3">
      <c r="N4256" s="1"/>
    </row>
    <row r="4257" spans="6:14" x14ac:dyDescent="0.3">
      <c r="F4257" s="1"/>
    </row>
    <row r="4258" spans="6:14" x14ac:dyDescent="0.3">
      <c r="F4258" s="1"/>
    </row>
    <row r="4260" spans="6:14" x14ac:dyDescent="0.3">
      <c r="F4260" s="1"/>
    </row>
    <row r="4261" spans="6:14" x14ac:dyDescent="0.3">
      <c r="F4261" s="1"/>
    </row>
    <row r="4262" spans="6:14" x14ac:dyDescent="0.3">
      <c r="F4262" s="1"/>
    </row>
    <row r="4263" spans="6:14" x14ac:dyDescent="0.3">
      <c r="F4263" s="1"/>
    </row>
    <row r="4265" spans="6:14" x14ac:dyDescent="0.3">
      <c r="F4265" s="1"/>
    </row>
    <row r="4266" spans="6:14" x14ac:dyDescent="0.3">
      <c r="F4266" s="1"/>
    </row>
    <row r="4267" spans="6:14" x14ac:dyDescent="0.3">
      <c r="F4267" s="1"/>
    </row>
    <row r="4268" spans="6:14" x14ac:dyDescent="0.3">
      <c r="F4268" s="1"/>
    </row>
    <row r="4269" spans="6:14" x14ac:dyDescent="0.3">
      <c r="F4269" s="1"/>
    </row>
    <row r="4270" spans="6:14" x14ac:dyDescent="0.3">
      <c r="F4270" s="1"/>
      <c r="L4270" s="1"/>
    </row>
    <row r="4271" spans="6:14" x14ac:dyDescent="0.3">
      <c r="F4271" s="1"/>
    </row>
    <row r="4272" spans="6:14" x14ac:dyDescent="0.3">
      <c r="F4272" s="1"/>
      <c r="N4272" s="1"/>
    </row>
    <row r="4273" spans="6:6" x14ac:dyDescent="0.3">
      <c r="F4273" s="1"/>
    </row>
    <row r="4274" spans="6:6" x14ac:dyDescent="0.3">
      <c r="F4274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15" x14ac:dyDescent="0.3">
      <c r="F4289" s="1"/>
    </row>
    <row r="4290" spans="6:15" x14ac:dyDescent="0.3">
      <c r="F4290" s="1"/>
    </row>
    <row r="4292" spans="6:15" x14ac:dyDescent="0.3">
      <c r="F4292" s="1"/>
      <c r="L4292" s="1"/>
    </row>
    <row r="4294" spans="6:15" x14ac:dyDescent="0.3">
      <c r="F4294" s="1"/>
    </row>
    <row r="4295" spans="6:15" x14ac:dyDescent="0.3">
      <c r="N4295" s="1"/>
    </row>
    <row r="4296" spans="6:15" x14ac:dyDescent="0.3">
      <c r="F4296" s="1"/>
    </row>
    <row r="4297" spans="6:15" x14ac:dyDescent="0.3">
      <c r="F4297" s="1"/>
    </row>
    <row r="4298" spans="6:15" x14ac:dyDescent="0.3">
      <c r="F4298" s="1"/>
    </row>
    <row r="4299" spans="6:15" x14ac:dyDescent="0.3">
      <c r="F4299" s="1"/>
    </row>
    <row r="4300" spans="6:15" x14ac:dyDescent="0.3">
      <c r="F4300" s="1"/>
      <c r="L4300" s="1"/>
      <c r="M4300" s="1"/>
      <c r="O4300" s="1"/>
    </row>
    <row r="4301" spans="6:15" x14ac:dyDescent="0.3">
      <c r="L4301" s="1"/>
    </row>
    <row r="4302" spans="6:15" x14ac:dyDescent="0.3">
      <c r="F4302" s="1"/>
      <c r="L4302" s="1"/>
    </row>
    <row r="4303" spans="6:15" x14ac:dyDescent="0.3">
      <c r="F4303" s="1"/>
    </row>
    <row r="4304" spans="6:15" x14ac:dyDescent="0.3">
      <c r="F4304" s="1"/>
    </row>
    <row r="4305" spans="6:14" x14ac:dyDescent="0.3">
      <c r="F4305" s="1"/>
    </row>
    <row r="4306" spans="6:14" x14ac:dyDescent="0.3">
      <c r="F4306" s="1"/>
    </row>
    <row r="4308" spans="6:14" x14ac:dyDescent="0.3">
      <c r="F4308" s="1"/>
      <c r="N4308" s="1"/>
    </row>
    <row r="4309" spans="6:14" x14ac:dyDescent="0.3">
      <c r="F4309" s="1"/>
    </row>
    <row r="4310" spans="6:14" x14ac:dyDescent="0.3">
      <c r="F4310" s="1"/>
    </row>
    <row r="4311" spans="6:14" x14ac:dyDescent="0.3">
      <c r="F4311" s="1"/>
    </row>
    <row r="4312" spans="6:14" x14ac:dyDescent="0.3">
      <c r="F4312" s="1"/>
    </row>
    <row r="4313" spans="6:14" x14ac:dyDescent="0.3">
      <c r="F4313" s="1"/>
    </row>
    <row r="4314" spans="6:14" x14ac:dyDescent="0.3">
      <c r="F4314" s="1"/>
    </row>
    <row r="4316" spans="6:14" x14ac:dyDescent="0.3">
      <c r="F4316" s="1"/>
    </row>
    <row r="4318" spans="6:14" x14ac:dyDescent="0.3">
      <c r="F4318" s="1"/>
    </row>
    <row r="4319" spans="6:14" x14ac:dyDescent="0.3">
      <c r="F4319" s="1"/>
    </row>
    <row r="4320" spans="6:14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5" spans="6:6" x14ac:dyDescent="0.3">
      <c r="F4325" s="1"/>
    </row>
    <row r="4326" spans="6:6" x14ac:dyDescent="0.3">
      <c r="F4326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5" spans="6:6" x14ac:dyDescent="0.3">
      <c r="F4335" s="1"/>
    </row>
    <row r="4336" spans="6:6" x14ac:dyDescent="0.3">
      <c r="F4336" s="1"/>
    </row>
    <row r="4338" spans="6:15" x14ac:dyDescent="0.3">
      <c r="F4338" s="1"/>
    </row>
    <row r="4339" spans="6:15" x14ac:dyDescent="0.3">
      <c r="F4339" s="1"/>
      <c r="L4339" s="1"/>
      <c r="M4339" s="1"/>
      <c r="N4339" s="1"/>
      <c r="O4339" s="1"/>
    </row>
    <row r="4340" spans="6:15" x14ac:dyDescent="0.3">
      <c r="F4340" s="1"/>
    </row>
    <row r="4341" spans="6:15" x14ac:dyDescent="0.3">
      <c r="F4341" s="1"/>
      <c r="L4341" s="1"/>
      <c r="M4341" s="1"/>
      <c r="O4341" s="1"/>
    </row>
    <row r="4342" spans="6:15" x14ac:dyDescent="0.3">
      <c r="F4342" s="1"/>
    </row>
    <row r="4343" spans="6:15" x14ac:dyDescent="0.3">
      <c r="F4343" s="1"/>
    </row>
    <row r="4344" spans="6:15" x14ac:dyDescent="0.3">
      <c r="F4344" s="1"/>
    </row>
    <row r="4345" spans="6:15" x14ac:dyDescent="0.3">
      <c r="F4345" s="1"/>
    </row>
    <row r="4346" spans="6:15" x14ac:dyDescent="0.3">
      <c r="F4346" s="1"/>
      <c r="N4346" s="1"/>
    </row>
    <row r="4347" spans="6:15" x14ac:dyDescent="0.3">
      <c r="F4347" s="1"/>
    </row>
    <row r="4348" spans="6:15" x14ac:dyDescent="0.3">
      <c r="F4348" s="1"/>
    </row>
    <row r="4349" spans="6:15" x14ac:dyDescent="0.3">
      <c r="F4349" s="1"/>
    </row>
    <row r="4350" spans="6:15" x14ac:dyDescent="0.3">
      <c r="F4350" s="1"/>
    </row>
    <row r="4352" spans="6:15" x14ac:dyDescent="0.3">
      <c r="F4352" s="1"/>
    </row>
    <row r="4353" spans="6:15" x14ac:dyDescent="0.3">
      <c r="F4353" s="1"/>
    </row>
    <row r="4354" spans="6:15" x14ac:dyDescent="0.3">
      <c r="F4354" s="1"/>
    </row>
    <row r="4356" spans="6:15" x14ac:dyDescent="0.3">
      <c r="F4356" s="1"/>
    </row>
    <row r="4357" spans="6:15" x14ac:dyDescent="0.3">
      <c r="F4357" s="1"/>
      <c r="M4357" s="1"/>
    </row>
    <row r="4358" spans="6:15" x14ac:dyDescent="0.3">
      <c r="F4358" s="1"/>
      <c r="N4358" s="1"/>
      <c r="O4358" s="1"/>
    </row>
    <row r="4359" spans="6:15" x14ac:dyDescent="0.3">
      <c r="F4359" s="1"/>
    </row>
    <row r="4360" spans="6:15" x14ac:dyDescent="0.3">
      <c r="F4360" s="1"/>
    </row>
    <row r="4361" spans="6:15" x14ac:dyDescent="0.3">
      <c r="F4361" s="1"/>
      <c r="M4361" s="1"/>
      <c r="N4361" s="1"/>
    </row>
    <row r="4362" spans="6:15" x14ac:dyDescent="0.3">
      <c r="F4362" s="1"/>
    </row>
    <row r="4363" spans="6:15" x14ac:dyDescent="0.3">
      <c r="F4363" s="1"/>
    </row>
    <row r="4364" spans="6:15" x14ac:dyDescent="0.3">
      <c r="F4364" s="1"/>
    </row>
    <row r="4365" spans="6:15" x14ac:dyDescent="0.3">
      <c r="F4365" s="1"/>
    </row>
    <row r="4366" spans="6:15" x14ac:dyDescent="0.3">
      <c r="F4366" s="1"/>
    </row>
    <row r="4367" spans="6:15" x14ac:dyDescent="0.3">
      <c r="F4367" s="1"/>
    </row>
    <row r="4368" spans="6:15" x14ac:dyDescent="0.3">
      <c r="F4368" s="1"/>
    </row>
    <row r="4369" spans="6:14" x14ac:dyDescent="0.3">
      <c r="F4369" s="1"/>
    </row>
    <row r="4370" spans="6:14" x14ac:dyDescent="0.3">
      <c r="F4370" s="1"/>
    </row>
    <row r="4371" spans="6:14" x14ac:dyDescent="0.3">
      <c r="F4371" s="1"/>
    </row>
    <row r="4372" spans="6:14" x14ac:dyDescent="0.3">
      <c r="F4372" s="1"/>
    </row>
    <row r="4373" spans="6:14" x14ac:dyDescent="0.3">
      <c r="F4373" s="1"/>
    </row>
    <row r="4374" spans="6:14" x14ac:dyDescent="0.3">
      <c r="F4374" s="1"/>
    </row>
    <row r="4375" spans="6:14" x14ac:dyDescent="0.3">
      <c r="F4375" s="1"/>
    </row>
    <row r="4376" spans="6:14" x14ac:dyDescent="0.3">
      <c r="F4376" s="1"/>
    </row>
    <row r="4377" spans="6:14" x14ac:dyDescent="0.3">
      <c r="F4377" s="1"/>
    </row>
    <row r="4379" spans="6:14" x14ac:dyDescent="0.3">
      <c r="F4379" s="1"/>
    </row>
    <row r="4380" spans="6:14" x14ac:dyDescent="0.3">
      <c r="F4380" s="1"/>
      <c r="M4380" s="1"/>
      <c r="N4380" s="1"/>
    </row>
    <row r="4383" spans="6:14" x14ac:dyDescent="0.3">
      <c r="F4383" s="1"/>
    </row>
    <row r="4384" spans="6:14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13" x14ac:dyDescent="0.3">
      <c r="F4417" s="1"/>
    </row>
    <row r="4418" spans="6:13" x14ac:dyDescent="0.3">
      <c r="F4418" s="1"/>
    </row>
    <row r="4419" spans="6:13" x14ac:dyDescent="0.3">
      <c r="F4419" s="1"/>
    </row>
    <row r="4420" spans="6:13" x14ac:dyDescent="0.3">
      <c r="F4420" s="1"/>
    </row>
    <row r="4421" spans="6:13" x14ac:dyDescent="0.3">
      <c r="F4421" s="1"/>
    </row>
    <row r="4422" spans="6:13" x14ac:dyDescent="0.3">
      <c r="F4422" s="1"/>
    </row>
    <row r="4423" spans="6:13" x14ac:dyDescent="0.3">
      <c r="M4423" s="1"/>
    </row>
    <row r="4424" spans="6:13" x14ac:dyDescent="0.3">
      <c r="F4424" s="1"/>
    </row>
    <row r="4425" spans="6:13" x14ac:dyDescent="0.3">
      <c r="F4425" s="1"/>
    </row>
    <row r="4426" spans="6:13" x14ac:dyDescent="0.3">
      <c r="F4426" s="1"/>
    </row>
    <row r="4427" spans="6:13" x14ac:dyDescent="0.3">
      <c r="F4427" s="1"/>
    </row>
    <row r="4428" spans="6:13" x14ac:dyDescent="0.3">
      <c r="F4428" s="1"/>
    </row>
    <row r="4429" spans="6:13" x14ac:dyDescent="0.3">
      <c r="F4429" s="1"/>
    </row>
    <row r="4430" spans="6:13" x14ac:dyDescent="0.3">
      <c r="F4430" s="1"/>
    </row>
    <row r="4431" spans="6:13" x14ac:dyDescent="0.3">
      <c r="F4431" s="1"/>
      <c r="L4431" s="1"/>
    </row>
    <row r="4433" spans="6:14" x14ac:dyDescent="0.3">
      <c r="F4433" s="1"/>
    </row>
    <row r="4434" spans="6:14" x14ac:dyDescent="0.3">
      <c r="F4434" s="1"/>
    </row>
    <row r="4435" spans="6:14" x14ac:dyDescent="0.3">
      <c r="F4435" s="1"/>
    </row>
    <row r="4436" spans="6:14" x14ac:dyDescent="0.3">
      <c r="F4436" s="1"/>
    </row>
    <row r="4437" spans="6:14" x14ac:dyDescent="0.3">
      <c r="F4437" s="1"/>
    </row>
    <row r="4438" spans="6:14" x14ac:dyDescent="0.3">
      <c r="F4438" s="1"/>
    </row>
    <row r="4439" spans="6:14" x14ac:dyDescent="0.3">
      <c r="F4439" s="1"/>
    </row>
    <row r="4441" spans="6:14" x14ac:dyDescent="0.3">
      <c r="F4441" s="1"/>
    </row>
    <row r="4442" spans="6:14" x14ac:dyDescent="0.3">
      <c r="F4442" s="1"/>
    </row>
    <row r="4443" spans="6:14" x14ac:dyDescent="0.3">
      <c r="F4443" s="1"/>
    </row>
    <row r="4444" spans="6:14" x14ac:dyDescent="0.3">
      <c r="F4444" s="1"/>
      <c r="L4444" s="1"/>
      <c r="N4444" s="1"/>
    </row>
    <row r="4445" spans="6:14" x14ac:dyDescent="0.3">
      <c r="F4445" s="1"/>
    </row>
    <row r="4446" spans="6:14" x14ac:dyDescent="0.3">
      <c r="F4446" s="1"/>
    </row>
    <row r="4447" spans="6:14" x14ac:dyDescent="0.3">
      <c r="F4447" s="1"/>
    </row>
    <row r="4448" spans="6:14" x14ac:dyDescent="0.3">
      <c r="F4448" s="1"/>
    </row>
    <row r="4449" spans="6:14" x14ac:dyDescent="0.3">
      <c r="F4449" s="1"/>
    </row>
    <row r="4450" spans="6:14" x14ac:dyDescent="0.3">
      <c r="F4450" s="1"/>
    </row>
    <row r="4451" spans="6:14" x14ac:dyDescent="0.3">
      <c r="F4451" s="1"/>
    </row>
    <row r="4452" spans="6:14" x14ac:dyDescent="0.3">
      <c r="F4452" s="1"/>
    </row>
    <row r="4453" spans="6:14" x14ac:dyDescent="0.3">
      <c r="F4453" s="1"/>
    </row>
    <row r="4455" spans="6:14" x14ac:dyDescent="0.3">
      <c r="F4455" s="1"/>
    </row>
    <row r="4456" spans="6:14" x14ac:dyDescent="0.3">
      <c r="F4456" s="1"/>
      <c r="M4456" s="1"/>
      <c r="N4456" s="1"/>
    </row>
    <row r="4457" spans="6:14" x14ac:dyDescent="0.3">
      <c r="F4457" s="1"/>
    </row>
    <row r="4458" spans="6:14" x14ac:dyDescent="0.3">
      <c r="F4458" s="1"/>
    </row>
    <row r="4459" spans="6:14" x14ac:dyDescent="0.3">
      <c r="F4459" s="1"/>
      <c r="L4459" s="1"/>
    </row>
    <row r="4460" spans="6:14" x14ac:dyDescent="0.3">
      <c r="F4460" s="1"/>
      <c r="M4460" s="1"/>
      <c r="N4460" s="1"/>
    </row>
    <row r="4461" spans="6:14" x14ac:dyDescent="0.3">
      <c r="F4461" s="1"/>
    </row>
    <row r="4462" spans="6:14" x14ac:dyDescent="0.3">
      <c r="F4462" s="1"/>
    </row>
    <row r="4463" spans="6:14" x14ac:dyDescent="0.3">
      <c r="F4463" s="1"/>
    </row>
    <row r="4464" spans="6:14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1" spans="6:12" x14ac:dyDescent="0.3">
      <c r="F4481" s="1"/>
      <c r="L4481" s="1"/>
    </row>
    <row r="4482" spans="6:12" x14ac:dyDescent="0.3">
      <c r="F4482" s="1"/>
    </row>
    <row r="4483" spans="6:12" x14ac:dyDescent="0.3">
      <c r="F4483" s="1"/>
    </row>
    <row r="4484" spans="6:12" x14ac:dyDescent="0.3">
      <c r="F4484" s="1"/>
    </row>
    <row r="4486" spans="6:12" x14ac:dyDescent="0.3">
      <c r="F4486" s="1"/>
    </row>
    <row r="4488" spans="6:12" x14ac:dyDescent="0.3">
      <c r="F4488" s="1"/>
    </row>
    <row r="4489" spans="6:12" x14ac:dyDescent="0.3">
      <c r="F4489" s="1"/>
    </row>
    <row r="4490" spans="6:12" x14ac:dyDescent="0.3">
      <c r="F4490" s="1"/>
    </row>
    <row r="4491" spans="6:12" x14ac:dyDescent="0.3">
      <c r="F4491" s="1"/>
    </row>
    <row r="4492" spans="6:12" x14ac:dyDescent="0.3">
      <c r="F4492" s="1"/>
    </row>
    <row r="4493" spans="6:12" x14ac:dyDescent="0.3">
      <c r="F4493" s="1"/>
    </row>
    <row r="4494" spans="6:12" x14ac:dyDescent="0.3">
      <c r="F4494" s="1"/>
    </row>
    <row r="4495" spans="6:12" x14ac:dyDescent="0.3">
      <c r="F4495" s="1"/>
    </row>
    <row r="4497" spans="6:14" x14ac:dyDescent="0.3">
      <c r="F4497" s="1"/>
    </row>
    <row r="4498" spans="6:14" x14ac:dyDescent="0.3">
      <c r="F4498" s="1"/>
    </row>
    <row r="4501" spans="6:14" x14ac:dyDescent="0.3">
      <c r="F4501" s="1"/>
      <c r="N4501" s="1"/>
    </row>
    <row r="4502" spans="6:14" x14ac:dyDescent="0.3">
      <c r="F4502" s="1"/>
    </row>
    <row r="4503" spans="6:14" x14ac:dyDescent="0.3">
      <c r="F4503" s="1"/>
    </row>
    <row r="4504" spans="6:14" x14ac:dyDescent="0.3">
      <c r="F4504" s="1"/>
    </row>
    <row r="4505" spans="6:14" x14ac:dyDescent="0.3">
      <c r="F4505" s="1"/>
      <c r="L4505" s="1"/>
    </row>
    <row r="4507" spans="6:14" x14ac:dyDescent="0.3">
      <c r="F4507" s="1"/>
    </row>
    <row r="4508" spans="6:14" x14ac:dyDescent="0.3">
      <c r="F4508" s="1"/>
    </row>
    <row r="4510" spans="6:14" x14ac:dyDescent="0.3">
      <c r="F4510" s="1"/>
    </row>
    <row r="4511" spans="6:14" x14ac:dyDescent="0.3">
      <c r="F4511" s="1"/>
      <c r="N4511" s="1"/>
    </row>
    <row r="4512" spans="6:14" x14ac:dyDescent="0.3">
      <c r="F4512" s="1"/>
    </row>
    <row r="4513" spans="6:15" x14ac:dyDescent="0.3">
      <c r="F4513" s="1"/>
    </row>
    <row r="4514" spans="6:15" x14ac:dyDescent="0.3">
      <c r="F4514" s="1"/>
    </row>
    <row r="4515" spans="6:15" x14ac:dyDescent="0.3">
      <c r="F4515" s="1"/>
    </row>
    <row r="4516" spans="6:15" x14ac:dyDescent="0.3">
      <c r="F4516" s="1"/>
    </row>
    <row r="4517" spans="6:15" x14ac:dyDescent="0.3">
      <c r="F4517" s="1"/>
      <c r="L4517" s="1"/>
      <c r="M4517" s="1"/>
      <c r="O4517" s="1"/>
    </row>
    <row r="4518" spans="6:15" x14ac:dyDescent="0.3">
      <c r="F4518" s="1"/>
    </row>
    <row r="4519" spans="6:15" x14ac:dyDescent="0.3">
      <c r="F4519" s="1"/>
    </row>
    <row r="4520" spans="6:15" x14ac:dyDescent="0.3">
      <c r="F4520" s="1"/>
    </row>
    <row r="4522" spans="6:15" x14ac:dyDescent="0.3">
      <c r="F4522" s="1"/>
    </row>
    <row r="4523" spans="6:15" x14ac:dyDescent="0.3">
      <c r="F4523" s="1"/>
    </row>
    <row r="4524" spans="6:15" x14ac:dyDescent="0.3">
      <c r="F4524" s="1"/>
    </row>
    <row r="4525" spans="6:15" x14ac:dyDescent="0.3">
      <c r="F4525" s="1"/>
    </row>
    <row r="4526" spans="6:15" x14ac:dyDescent="0.3">
      <c r="F4526" s="1"/>
    </row>
    <row r="4527" spans="6:15" x14ac:dyDescent="0.3">
      <c r="F4527" s="1"/>
    </row>
    <row r="4528" spans="6:15" x14ac:dyDescent="0.3">
      <c r="F4528" s="1"/>
    </row>
    <row r="4529" spans="6:15" x14ac:dyDescent="0.3">
      <c r="F4529" s="1"/>
    </row>
    <row r="4531" spans="6:15" x14ac:dyDescent="0.3">
      <c r="F4531" s="1"/>
    </row>
    <row r="4532" spans="6:15" x14ac:dyDescent="0.3">
      <c r="F4532" s="1"/>
    </row>
    <row r="4533" spans="6:15" x14ac:dyDescent="0.3">
      <c r="F4533" s="1"/>
    </row>
    <row r="4534" spans="6:15" x14ac:dyDescent="0.3">
      <c r="F4534" s="1"/>
      <c r="L4534" s="1"/>
    </row>
    <row r="4535" spans="6:15" x14ac:dyDescent="0.3">
      <c r="F4535" s="1"/>
    </row>
    <row r="4536" spans="6:15" x14ac:dyDescent="0.3">
      <c r="F4536" s="1"/>
    </row>
    <row r="4537" spans="6:15" x14ac:dyDescent="0.3">
      <c r="L4537" s="1"/>
      <c r="M4537" s="1"/>
      <c r="O4537" s="1"/>
    </row>
    <row r="4538" spans="6:15" x14ac:dyDescent="0.3">
      <c r="F4538" s="1"/>
    </row>
    <row r="4539" spans="6:15" x14ac:dyDescent="0.3">
      <c r="F4539" s="1"/>
    </row>
    <row r="4540" spans="6:15" x14ac:dyDescent="0.3">
      <c r="F4540" s="1"/>
    </row>
    <row r="4541" spans="6:15" x14ac:dyDescent="0.3">
      <c r="N4541" s="1"/>
    </row>
    <row r="4542" spans="6:15" x14ac:dyDescent="0.3">
      <c r="L4542" s="1"/>
    </row>
    <row r="4543" spans="6:15" x14ac:dyDescent="0.3">
      <c r="F4543" s="1"/>
    </row>
    <row r="4544" spans="6:15" x14ac:dyDescent="0.3">
      <c r="F4544" s="1"/>
    </row>
    <row r="4545" spans="6:15" x14ac:dyDescent="0.3">
      <c r="F4545" s="1"/>
    </row>
    <row r="4546" spans="6:15" x14ac:dyDescent="0.3">
      <c r="F4546" s="1"/>
      <c r="M4546" s="1"/>
    </row>
    <row r="4547" spans="6:15" x14ac:dyDescent="0.3">
      <c r="F4547" s="1"/>
    </row>
    <row r="4548" spans="6:15" x14ac:dyDescent="0.3">
      <c r="F4548" s="1"/>
    </row>
    <row r="4549" spans="6:15" x14ac:dyDescent="0.3">
      <c r="F4549" s="1"/>
    </row>
    <row r="4550" spans="6:15" x14ac:dyDescent="0.3">
      <c r="F4550" s="1"/>
    </row>
    <row r="4552" spans="6:15" x14ac:dyDescent="0.3">
      <c r="F4552" s="1"/>
    </row>
    <row r="4553" spans="6:15" x14ac:dyDescent="0.3">
      <c r="F4553" s="1"/>
    </row>
    <row r="4555" spans="6:15" x14ac:dyDescent="0.3">
      <c r="M4555" s="1"/>
    </row>
    <row r="4556" spans="6:15" x14ac:dyDescent="0.3">
      <c r="F4556" s="1"/>
    </row>
    <row r="4557" spans="6:15" x14ac:dyDescent="0.3">
      <c r="L4557" s="1"/>
      <c r="M4557" s="1"/>
    </row>
    <row r="4558" spans="6:15" x14ac:dyDescent="0.3">
      <c r="F4558" s="1"/>
    </row>
    <row r="4559" spans="6:15" x14ac:dyDescent="0.3">
      <c r="L4559" s="1"/>
      <c r="M4559" s="1"/>
      <c r="N4559" s="1"/>
      <c r="O4559" s="1"/>
    </row>
    <row r="4560" spans="6:15" x14ac:dyDescent="0.3">
      <c r="F4560" s="1"/>
    </row>
    <row r="4562" spans="6:12" x14ac:dyDescent="0.3">
      <c r="F4562" s="1"/>
    </row>
    <row r="4563" spans="6:12" x14ac:dyDescent="0.3">
      <c r="F4563" s="1"/>
    </row>
    <row r="4564" spans="6:12" x14ac:dyDescent="0.3">
      <c r="F4564" s="1"/>
    </row>
    <row r="4565" spans="6:12" x14ac:dyDescent="0.3">
      <c r="L4565" s="1"/>
    </row>
    <row r="4566" spans="6:12" x14ac:dyDescent="0.3">
      <c r="F4566" s="1"/>
    </row>
    <row r="4567" spans="6:12" x14ac:dyDescent="0.3">
      <c r="F4567" s="1"/>
    </row>
    <row r="4568" spans="6:12" x14ac:dyDescent="0.3">
      <c r="F4568" s="1"/>
    </row>
    <row r="4569" spans="6:12" x14ac:dyDescent="0.3">
      <c r="F4569" s="1"/>
    </row>
    <row r="4570" spans="6:12" x14ac:dyDescent="0.3">
      <c r="F4570" s="1"/>
    </row>
    <row r="4571" spans="6:12" x14ac:dyDescent="0.3">
      <c r="F4571" s="1"/>
    </row>
    <row r="4572" spans="6:12" x14ac:dyDescent="0.3">
      <c r="F4572" s="1"/>
    </row>
    <row r="4573" spans="6:12" x14ac:dyDescent="0.3">
      <c r="F4573" s="1"/>
    </row>
    <row r="4575" spans="6:12" x14ac:dyDescent="0.3">
      <c r="F4575" s="1"/>
    </row>
    <row r="4576" spans="6:12" x14ac:dyDescent="0.3">
      <c r="F4576" s="1"/>
    </row>
    <row r="4577" spans="6:13" x14ac:dyDescent="0.3">
      <c r="F4577" s="1"/>
    </row>
    <row r="4578" spans="6:13" x14ac:dyDescent="0.3">
      <c r="F4578" s="1"/>
    </row>
    <row r="4579" spans="6:13" x14ac:dyDescent="0.3">
      <c r="F4579" s="1"/>
    </row>
    <row r="4580" spans="6:13" x14ac:dyDescent="0.3">
      <c r="F4580" s="1"/>
    </row>
    <row r="4581" spans="6:13" x14ac:dyDescent="0.3">
      <c r="F4581" s="1"/>
    </row>
    <row r="4582" spans="6:13" x14ac:dyDescent="0.3">
      <c r="F4582" s="1"/>
      <c r="M4582" s="1"/>
    </row>
    <row r="4583" spans="6:13" x14ac:dyDescent="0.3">
      <c r="F4583" s="1"/>
    </row>
    <row r="4584" spans="6:13" x14ac:dyDescent="0.3">
      <c r="F4584" s="1"/>
    </row>
    <row r="4585" spans="6:13" x14ac:dyDescent="0.3">
      <c r="F4585" s="1"/>
    </row>
    <row r="4586" spans="6:13" x14ac:dyDescent="0.3">
      <c r="F4586" s="1"/>
    </row>
    <row r="4587" spans="6:13" x14ac:dyDescent="0.3">
      <c r="F4587" s="1"/>
    </row>
    <row r="4588" spans="6:13" x14ac:dyDescent="0.3">
      <c r="F4588" s="1"/>
    </row>
    <row r="4589" spans="6:13" x14ac:dyDescent="0.3">
      <c r="F4589" s="1"/>
      <c r="L4589" s="1"/>
    </row>
    <row r="4590" spans="6:13" x14ac:dyDescent="0.3">
      <c r="F4590" s="1"/>
    </row>
    <row r="4591" spans="6:13" x14ac:dyDescent="0.3">
      <c r="F4591" s="1"/>
      <c r="M4591" s="1"/>
    </row>
    <row r="4592" spans="6:13" x14ac:dyDescent="0.3">
      <c r="F4592" s="1"/>
    </row>
    <row r="4593" spans="6:12" x14ac:dyDescent="0.3">
      <c r="F4593" s="1"/>
    </row>
    <row r="4595" spans="6:12" x14ac:dyDescent="0.3">
      <c r="F4595" s="1"/>
    </row>
    <row r="4596" spans="6:12" x14ac:dyDescent="0.3">
      <c r="F4596" s="1"/>
    </row>
    <row r="4598" spans="6:12" x14ac:dyDescent="0.3">
      <c r="F4598" s="1"/>
    </row>
    <row r="4599" spans="6:12" x14ac:dyDescent="0.3">
      <c r="F4599" s="1"/>
    </row>
    <row r="4600" spans="6:12" x14ac:dyDescent="0.3">
      <c r="F4600" s="1"/>
    </row>
    <row r="4601" spans="6:12" x14ac:dyDescent="0.3">
      <c r="F4601" s="1"/>
      <c r="L4601" s="1"/>
    </row>
    <row r="4602" spans="6:12" x14ac:dyDescent="0.3">
      <c r="F4602" s="1"/>
    </row>
    <row r="4603" spans="6:12" x14ac:dyDescent="0.3">
      <c r="F4603" s="1"/>
    </row>
    <row r="4604" spans="6:12" x14ac:dyDescent="0.3">
      <c r="F4604" s="1"/>
    </row>
    <row r="4605" spans="6:12" x14ac:dyDescent="0.3">
      <c r="F4605" s="1"/>
    </row>
    <row r="4606" spans="6:12" x14ac:dyDescent="0.3">
      <c r="F4606" s="1"/>
    </row>
    <row r="4608" spans="6:12" x14ac:dyDescent="0.3">
      <c r="F4608" s="1"/>
    </row>
    <row r="4609" spans="6:15" x14ac:dyDescent="0.3">
      <c r="N4609" s="1"/>
    </row>
    <row r="4610" spans="6:15" x14ac:dyDescent="0.3">
      <c r="F4610" s="1"/>
    </row>
    <row r="4611" spans="6:15" x14ac:dyDescent="0.3">
      <c r="F4611" s="1"/>
    </row>
    <row r="4612" spans="6:15" x14ac:dyDescent="0.3">
      <c r="F4612" s="1"/>
    </row>
    <row r="4613" spans="6:15" x14ac:dyDescent="0.3">
      <c r="F4613" s="1"/>
    </row>
    <row r="4614" spans="6:15" x14ac:dyDescent="0.3">
      <c r="F4614" s="1"/>
    </row>
    <row r="4615" spans="6:15" x14ac:dyDescent="0.3">
      <c r="F4615" s="1"/>
    </row>
    <row r="4616" spans="6:15" x14ac:dyDescent="0.3">
      <c r="F4616" s="1"/>
      <c r="M4616" s="1"/>
    </row>
    <row r="4617" spans="6:15" x14ac:dyDescent="0.3">
      <c r="F4617" s="1"/>
    </row>
    <row r="4618" spans="6:15" x14ac:dyDescent="0.3">
      <c r="F4618" s="1"/>
      <c r="N4618" s="1"/>
      <c r="O4618" s="1"/>
    </row>
    <row r="4619" spans="6:15" x14ac:dyDescent="0.3">
      <c r="F4619" s="1"/>
    </row>
    <row r="4620" spans="6:15" x14ac:dyDescent="0.3">
      <c r="F4620" s="1"/>
    </row>
    <row r="4621" spans="6:15" x14ac:dyDescent="0.3">
      <c r="L4621" s="1"/>
      <c r="M4621" s="1"/>
    </row>
    <row r="4622" spans="6:15" x14ac:dyDescent="0.3">
      <c r="F4622" s="1"/>
    </row>
    <row r="4623" spans="6:15" x14ac:dyDescent="0.3">
      <c r="F4623" s="1"/>
    </row>
    <row r="4624" spans="6:15" x14ac:dyDescent="0.3">
      <c r="F4624" s="1"/>
    </row>
    <row r="4626" spans="6:13" x14ac:dyDescent="0.3">
      <c r="F4626" s="1"/>
    </row>
    <row r="4628" spans="6:13" x14ac:dyDescent="0.3">
      <c r="F4628" s="1"/>
    </row>
    <row r="4629" spans="6:13" x14ac:dyDescent="0.3">
      <c r="F4629" s="1"/>
    </row>
    <row r="4630" spans="6:13" x14ac:dyDescent="0.3">
      <c r="F4630" s="1"/>
    </row>
    <row r="4631" spans="6:13" x14ac:dyDescent="0.3">
      <c r="F4631" s="1"/>
    </row>
    <row r="4632" spans="6:13" x14ac:dyDescent="0.3">
      <c r="F4632" s="1"/>
    </row>
    <row r="4633" spans="6:13" x14ac:dyDescent="0.3">
      <c r="F4633" s="1"/>
    </row>
    <row r="4634" spans="6:13" x14ac:dyDescent="0.3">
      <c r="F4634" s="1"/>
    </row>
    <row r="4635" spans="6:13" x14ac:dyDescent="0.3">
      <c r="F4635" s="1"/>
    </row>
    <row r="4636" spans="6:13" x14ac:dyDescent="0.3">
      <c r="F4636" s="1"/>
    </row>
    <row r="4637" spans="6:13" x14ac:dyDescent="0.3">
      <c r="F4637" s="1"/>
    </row>
    <row r="4638" spans="6:13" x14ac:dyDescent="0.3">
      <c r="F4638" s="1"/>
    </row>
    <row r="4639" spans="6:13" x14ac:dyDescent="0.3">
      <c r="L4639" s="1"/>
      <c r="M4639" s="1"/>
    </row>
    <row r="4640" spans="6:13" x14ac:dyDescent="0.3">
      <c r="F4640" s="1"/>
    </row>
    <row r="4641" spans="6:14" x14ac:dyDescent="0.3">
      <c r="F4641" s="1"/>
    </row>
    <row r="4642" spans="6:14" x14ac:dyDescent="0.3">
      <c r="F4642" s="1"/>
    </row>
    <row r="4643" spans="6:14" x14ac:dyDescent="0.3">
      <c r="F4643" s="1"/>
    </row>
    <row r="4644" spans="6:14" x14ac:dyDescent="0.3">
      <c r="F4644" s="1"/>
      <c r="N4644" s="1"/>
    </row>
    <row r="4646" spans="6:14" x14ac:dyDescent="0.3">
      <c r="F4646" s="1"/>
    </row>
    <row r="4647" spans="6:14" x14ac:dyDescent="0.3">
      <c r="F4647" s="1"/>
    </row>
    <row r="4648" spans="6:14" x14ac:dyDescent="0.3">
      <c r="F4648" s="1"/>
    </row>
    <row r="4649" spans="6:14" x14ac:dyDescent="0.3">
      <c r="F4649" s="1"/>
    </row>
    <row r="4650" spans="6:14" x14ac:dyDescent="0.3">
      <c r="F4650" s="1"/>
    </row>
    <row r="4651" spans="6:14" x14ac:dyDescent="0.3">
      <c r="F4651" s="1"/>
    </row>
    <row r="4652" spans="6:14" x14ac:dyDescent="0.3">
      <c r="F4652" s="1"/>
    </row>
    <row r="4653" spans="6:14" x14ac:dyDescent="0.3">
      <c r="F4653" s="1"/>
    </row>
    <row r="4654" spans="6:14" x14ac:dyDescent="0.3">
      <c r="F4654" s="1"/>
      <c r="N4654" s="1"/>
    </row>
    <row r="4655" spans="6:14" x14ac:dyDescent="0.3">
      <c r="F4655" s="1"/>
    </row>
    <row r="4656" spans="6:14" x14ac:dyDescent="0.3">
      <c r="F4656" s="1"/>
    </row>
    <row r="4657" spans="6:14" x14ac:dyDescent="0.3">
      <c r="F4657" s="1"/>
      <c r="N4657" s="1"/>
    </row>
    <row r="4658" spans="6:14" x14ac:dyDescent="0.3">
      <c r="F4658" s="1"/>
    </row>
    <row r="4659" spans="6:14" x14ac:dyDescent="0.3">
      <c r="F4659" s="1"/>
    </row>
    <row r="4660" spans="6:14" x14ac:dyDescent="0.3">
      <c r="F4660" s="1"/>
    </row>
    <row r="4661" spans="6:14" x14ac:dyDescent="0.3">
      <c r="F4661" s="1"/>
    </row>
    <row r="4662" spans="6:14" x14ac:dyDescent="0.3">
      <c r="F4662" s="1"/>
    </row>
    <row r="4663" spans="6:14" x14ac:dyDescent="0.3">
      <c r="F4663" s="1"/>
    </row>
    <row r="4664" spans="6:14" x14ac:dyDescent="0.3">
      <c r="F4664" s="1"/>
    </row>
    <row r="4665" spans="6:14" x14ac:dyDescent="0.3">
      <c r="F4665" s="1"/>
    </row>
    <row r="4666" spans="6:14" x14ac:dyDescent="0.3">
      <c r="F4666" s="1"/>
    </row>
    <row r="4667" spans="6:14" x14ac:dyDescent="0.3">
      <c r="F4667" s="1"/>
    </row>
    <row r="4668" spans="6:14" x14ac:dyDescent="0.3">
      <c r="F4668" s="1"/>
    </row>
    <row r="4669" spans="6:14" x14ac:dyDescent="0.3">
      <c r="F4669" s="1"/>
    </row>
    <row r="4670" spans="6:14" x14ac:dyDescent="0.3">
      <c r="F4670" s="1"/>
    </row>
    <row r="4671" spans="6:14" x14ac:dyDescent="0.3">
      <c r="F4671" s="1"/>
    </row>
    <row r="4672" spans="6:14" x14ac:dyDescent="0.3">
      <c r="F4672" s="1"/>
    </row>
    <row r="4673" spans="6:15" x14ac:dyDescent="0.3">
      <c r="F4673" s="1"/>
    </row>
    <row r="4674" spans="6:15" x14ac:dyDescent="0.3">
      <c r="F4674" s="1"/>
    </row>
    <row r="4675" spans="6:15" x14ac:dyDescent="0.3">
      <c r="F4675" s="1"/>
    </row>
    <row r="4676" spans="6:15" x14ac:dyDescent="0.3">
      <c r="L4676" s="1"/>
    </row>
    <row r="4677" spans="6:15" x14ac:dyDescent="0.3">
      <c r="F4677" s="1"/>
    </row>
    <row r="4678" spans="6:15" x14ac:dyDescent="0.3">
      <c r="F4678" s="1"/>
    </row>
    <row r="4679" spans="6:15" x14ac:dyDescent="0.3">
      <c r="F4679" s="1"/>
    </row>
    <row r="4680" spans="6:15" x14ac:dyDescent="0.3">
      <c r="N4680" s="1"/>
      <c r="O4680" s="1"/>
    </row>
    <row r="4682" spans="6:15" x14ac:dyDescent="0.3">
      <c r="F4682" s="1"/>
    </row>
    <row r="4685" spans="6:15" x14ac:dyDescent="0.3">
      <c r="F4685" s="1"/>
    </row>
    <row r="4686" spans="6:15" x14ac:dyDescent="0.3">
      <c r="F4686" s="1"/>
    </row>
    <row r="4687" spans="6:15" x14ac:dyDescent="0.3">
      <c r="F4687" s="1"/>
    </row>
    <row r="4688" spans="6:15" x14ac:dyDescent="0.3">
      <c r="F4688" s="1"/>
    </row>
    <row r="4689" spans="6:14" x14ac:dyDescent="0.3">
      <c r="F4689" s="1"/>
      <c r="M4689" s="1"/>
    </row>
    <row r="4690" spans="6:14" x14ac:dyDescent="0.3">
      <c r="F4690" s="1"/>
      <c r="M4690" s="1"/>
    </row>
    <row r="4691" spans="6:14" x14ac:dyDescent="0.3">
      <c r="F4691" s="1"/>
    </row>
    <row r="4692" spans="6:14" x14ac:dyDescent="0.3">
      <c r="F4692" s="1"/>
    </row>
    <row r="4694" spans="6:14" x14ac:dyDescent="0.3">
      <c r="F4694" s="1"/>
      <c r="M4694" s="1"/>
      <c r="N4694" s="1"/>
    </row>
    <row r="4696" spans="6:14" x14ac:dyDescent="0.3">
      <c r="F4696" s="1"/>
    </row>
    <row r="4697" spans="6:14" x14ac:dyDescent="0.3">
      <c r="F4697" s="1"/>
    </row>
    <row r="4699" spans="6:14" x14ac:dyDescent="0.3">
      <c r="F4699" s="1"/>
    </row>
    <row r="4702" spans="6:14" x14ac:dyDescent="0.3">
      <c r="F4702" s="1"/>
    </row>
    <row r="4703" spans="6:14" x14ac:dyDescent="0.3">
      <c r="F4703" s="1"/>
    </row>
    <row r="4704" spans="6:14" x14ac:dyDescent="0.3">
      <c r="M4704" s="1"/>
    </row>
    <row r="4705" spans="6:13" x14ac:dyDescent="0.3">
      <c r="F4705" s="1"/>
    </row>
    <row r="4706" spans="6:13" x14ac:dyDescent="0.3">
      <c r="F4706" s="1"/>
    </row>
    <row r="4707" spans="6:13" x14ac:dyDescent="0.3">
      <c r="F4707" s="1"/>
    </row>
    <row r="4708" spans="6:13" x14ac:dyDescent="0.3">
      <c r="M4708" s="1"/>
    </row>
    <row r="4709" spans="6:13" x14ac:dyDescent="0.3">
      <c r="F4709" s="1"/>
    </row>
    <row r="4710" spans="6:13" x14ac:dyDescent="0.3">
      <c r="F4710" s="1"/>
    </row>
    <row r="4711" spans="6:13" x14ac:dyDescent="0.3">
      <c r="F4711" s="1"/>
    </row>
    <row r="4712" spans="6:13" x14ac:dyDescent="0.3">
      <c r="F4712" s="1"/>
    </row>
    <row r="4713" spans="6:13" x14ac:dyDescent="0.3">
      <c r="F4713" s="1"/>
    </row>
    <row r="4715" spans="6:13" x14ac:dyDescent="0.3">
      <c r="F4715" s="1"/>
    </row>
    <row r="4716" spans="6:13" x14ac:dyDescent="0.3">
      <c r="F4716" s="1"/>
    </row>
    <row r="4717" spans="6:13" x14ac:dyDescent="0.3">
      <c r="F4717" s="1"/>
    </row>
    <row r="4718" spans="6:13" x14ac:dyDescent="0.3">
      <c r="F4718" s="1"/>
    </row>
    <row r="4719" spans="6:13" x14ac:dyDescent="0.3">
      <c r="F4719" s="1"/>
    </row>
    <row r="4720" spans="6:13" x14ac:dyDescent="0.3">
      <c r="F4720" s="1"/>
    </row>
    <row r="4721" spans="6:14" x14ac:dyDescent="0.3">
      <c r="F4721" s="1"/>
    </row>
    <row r="4722" spans="6:14" x14ac:dyDescent="0.3">
      <c r="F4722" s="1"/>
      <c r="N4722" s="1"/>
    </row>
    <row r="4723" spans="6:14" x14ac:dyDescent="0.3">
      <c r="F4723" s="1"/>
    </row>
    <row r="4724" spans="6:14" x14ac:dyDescent="0.3">
      <c r="F4724" s="1"/>
    </row>
    <row r="4726" spans="6:14" x14ac:dyDescent="0.3">
      <c r="F4726" s="1"/>
    </row>
    <row r="4727" spans="6:14" x14ac:dyDescent="0.3">
      <c r="M4727" s="1"/>
    </row>
    <row r="4728" spans="6:14" x14ac:dyDescent="0.3">
      <c r="F4728" s="1"/>
    </row>
    <row r="4729" spans="6:14" x14ac:dyDescent="0.3">
      <c r="F4729" s="1"/>
    </row>
    <row r="4730" spans="6:14" x14ac:dyDescent="0.3">
      <c r="N4730" s="1"/>
    </row>
    <row r="4731" spans="6:14" x14ac:dyDescent="0.3">
      <c r="F4731" s="1"/>
    </row>
    <row r="4732" spans="6:14" x14ac:dyDescent="0.3">
      <c r="F4732" s="1"/>
    </row>
    <row r="4733" spans="6:14" x14ac:dyDescent="0.3">
      <c r="F4733" s="1"/>
    </row>
    <row r="4734" spans="6:14" x14ac:dyDescent="0.3">
      <c r="F4734" s="1"/>
    </row>
    <row r="4736" spans="6:14" x14ac:dyDescent="0.3">
      <c r="F4736" s="1"/>
    </row>
    <row r="4737" spans="6:14" x14ac:dyDescent="0.3">
      <c r="F4737" s="1"/>
    </row>
    <row r="4738" spans="6:14" x14ac:dyDescent="0.3">
      <c r="F4738" s="1"/>
    </row>
    <row r="4739" spans="6:14" x14ac:dyDescent="0.3">
      <c r="F4739" s="1"/>
    </row>
    <row r="4740" spans="6:14" x14ac:dyDescent="0.3">
      <c r="F4740" s="1"/>
    </row>
    <row r="4741" spans="6:14" x14ac:dyDescent="0.3">
      <c r="F4741" s="1"/>
    </row>
    <row r="4742" spans="6:14" x14ac:dyDescent="0.3">
      <c r="F4742" s="1"/>
    </row>
    <row r="4743" spans="6:14" x14ac:dyDescent="0.3">
      <c r="F4743" s="1"/>
    </row>
    <row r="4744" spans="6:14" x14ac:dyDescent="0.3">
      <c r="F4744" s="1"/>
    </row>
    <row r="4745" spans="6:14" x14ac:dyDescent="0.3">
      <c r="F4745" s="1"/>
    </row>
    <row r="4746" spans="6:14" x14ac:dyDescent="0.3">
      <c r="F4746" s="1"/>
    </row>
    <row r="4747" spans="6:14" x14ac:dyDescent="0.3">
      <c r="F4747" s="1"/>
    </row>
    <row r="4748" spans="6:14" x14ac:dyDescent="0.3">
      <c r="F4748" s="1"/>
    </row>
    <row r="4750" spans="6:14" x14ac:dyDescent="0.3">
      <c r="F4750" s="1"/>
    </row>
    <row r="4751" spans="6:14" x14ac:dyDescent="0.3">
      <c r="N4751" s="1"/>
    </row>
    <row r="4752" spans="6:14" x14ac:dyDescent="0.3">
      <c r="F4752" s="1"/>
    </row>
    <row r="4753" spans="6:15" x14ac:dyDescent="0.3">
      <c r="F4753" s="1"/>
    </row>
    <row r="4754" spans="6:15" x14ac:dyDescent="0.3">
      <c r="F4754" s="1"/>
      <c r="M4754" s="1"/>
    </row>
    <row r="4755" spans="6:15" x14ac:dyDescent="0.3">
      <c r="F4755" s="1"/>
    </row>
    <row r="4756" spans="6:15" x14ac:dyDescent="0.3">
      <c r="F4756" s="1"/>
    </row>
    <row r="4757" spans="6:15" x14ac:dyDescent="0.3">
      <c r="F4757" s="1"/>
    </row>
    <row r="4758" spans="6:15" x14ac:dyDescent="0.3">
      <c r="F4758" s="1"/>
    </row>
    <row r="4759" spans="6:15" x14ac:dyDescent="0.3">
      <c r="F4759" s="1"/>
    </row>
    <row r="4760" spans="6:15" x14ac:dyDescent="0.3">
      <c r="M4760" s="1"/>
      <c r="N4760" s="1"/>
      <c r="O4760" s="1"/>
    </row>
    <row r="4761" spans="6:15" x14ac:dyDescent="0.3">
      <c r="F4761" s="1"/>
    </row>
    <row r="4762" spans="6:15" x14ac:dyDescent="0.3">
      <c r="F4762" s="1"/>
    </row>
    <row r="4763" spans="6:15" x14ac:dyDescent="0.3">
      <c r="F4763" s="1"/>
    </row>
    <row r="4765" spans="6:15" x14ac:dyDescent="0.3">
      <c r="F4765" s="1"/>
    </row>
    <row r="4767" spans="6:15" x14ac:dyDescent="0.3">
      <c r="F4767" s="1"/>
    </row>
    <row r="4768" spans="6:15" x14ac:dyDescent="0.3">
      <c r="F4768" s="1"/>
    </row>
    <row r="4769" spans="6:13" x14ac:dyDescent="0.3">
      <c r="F4769" s="1"/>
    </row>
    <row r="4770" spans="6:13" x14ac:dyDescent="0.3">
      <c r="F4770" s="1"/>
    </row>
    <row r="4771" spans="6:13" x14ac:dyDescent="0.3">
      <c r="F4771" s="1"/>
    </row>
    <row r="4772" spans="6:13" x14ac:dyDescent="0.3">
      <c r="F4772" s="1"/>
    </row>
    <row r="4773" spans="6:13" x14ac:dyDescent="0.3">
      <c r="F4773" s="1"/>
    </row>
    <row r="4774" spans="6:13" x14ac:dyDescent="0.3">
      <c r="F4774" s="1"/>
    </row>
    <row r="4775" spans="6:13" x14ac:dyDescent="0.3">
      <c r="F4775" s="1"/>
    </row>
    <row r="4776" spans="6:13" x14ac:dyDescent="0.3">
      <c r="F4776" s="1"/>
    </row>
    <row r="4779" spans="6:13" x14ac:dyDescent="0.3">
      <c r="F4779" s="1"/>
    </row>
    <row r="4780" spans="6:13" x14ac:dyDescent="0.3">
      <c r="F4780" s="1"/>
    </row>
    <row r="4781" spans="6:13" x14ac:dyDescent="0.3">
      <c r="M4781" s="1"/>
    </row>
    <row r="4782" spans="6:13" x14ac:dyDescent="0.3">
      <c r="F4782" s="1"/>
    </row>
    <row r="4783" spans="6:13" x14ac:dyDescent="0.3">
      <c r="F4783" s="1"/>
    </row>
    <row r="4784" spans="6:13" x14ac:dyDescent="0.3">
      <c r="F4784" s="1"/>
    </row>
    <row r="4785" spans="6:12" x14ac:dyDescent="0.3">
      <c r="F4785" s="1"/>
    </row>
    <row r="4786" spans="6:12" x14ac:dyDescent="0.3">
      <c r="F4786" s="1"/>
    </row>
    <row r="4787" spans="6:12" x14ac:dyDescent="0.3">
      <c r="F4787" s="1"/>
    </row>
    <row r="4788" spans="6:12" x14ac:dyDescent="0.3">
      <c r="F4788" s="1"/>
    </row>
    <row r="4789" spans="6:12" x14ac:dyDescent="0.3">
      <c r="F4789" s="1"/>
    </row>
    <row r="4790" spans="6:12" x14ac:dyDescent="0.3">
      <c r="F4790" s="1"/>
      <c r="L4790" s="1"/>
    </row>
    <row r="4791" spans="6:12" x14ac:dyDescent="0.3">
      <c r="F4791" s="1"/>
    </row>
    <row r="4792" spans="6:12" x14ac:dyDescent="0.3">
      <c r="F4792" s="1"/>
    </row>
    <row r="4793" spans="6:12" x14ac:dyDescent="0.3">
      <c r="F4793" s="1"/>
    </row>
    <row r="4794" spans="6:12" x14ac:dyDescent="0.3">
      <c r="F4794" s="1"/>
    </row>
    <row r="4796" spans="6:12" x14ac:dyDescent="0.3">
      <c r="F4796" s="1"/>
    </row>
    <row r="4798" spans="6:12" x14ac:dyDescent="0.3">
      <c r="F4798" s="1"/>
    </row>
    <row r="4799" spans="6:12" x14ac:dyDescent="0.3">
      <c r="F4799" s="1"/>
    </row>
    <row r="4800" spans="6:12" x14ac:dyDescent="0.3">
      <c r="F4800" s="1"/>
    </row>
    <row r="4801" spans="6:15" x14ac:dyDescent="0.3">
      <c r="F4801" s="1"/>
    </row>
    <row r="4803" spans="6:15" x14ac:dyDescent="0.3">
      <c r="N4803" s="1"/>
    </row>
    <row r="4805" spans="6:15" x14ac:dyDescent="0.3">
      <c r="F4805" s="1"/>
    </row>
    <row r="4806" spans="6:15" x14ac:dyDescent="0.3">
      <c r="F4806" s="1"/>
    </row>
    <row r="4807" spans="6:15" x14ac:dyDescent="0.3">
      <c r="F4807" s="1"/>
    </row>
    <row r="4808" spans="6:15" x14ac:dyDescent="0.3">
      <c r="F4808" s="1"/>
    </row>
    <row r="4809" spans="6:15" x14ac:dyDescent="0.3">
      <c r="F4809" s="1"/>
    </row>
    <row r="4810" spans="6:15" x14ac:dyDescent="0.3">
      <c r="F4810" s="1"/>
    </row>
    <row r="4811" spans="6:15" x14ac:dyDescent="0.3">
      <c r="L4811" s="1"/>
      <c r="N4811" s="1"/>
      <c r="O4811" s="1"/>
    </row>
    <row r="4813" spans="6:15" x14ac:dyDescent="0.3">
      <c r="F4813" s="1"/>
    </row>
    <row r="4814" spans="6:15" x14ac:dyDescent="0.3">
      <c r="F4814" s="1"/>
      <c r="L4814" s="1"/>
    </row>
    <row r="4815" spans="6:15" x14ac:dyDescent="0.3">
      <c r="F4815" s="1"/>
    </row>
    <row r="4816" spans="6:15" x14ac:dyDescent="0.3">
      <c r="F4816" s="1"/>
    </row>
    <row r="4817" spans="6:15" x14ac:dyDescent="0.3">
      <c r="F4817" s="1"/>
    </row>
    <row r="4818" spans="6:15" x14ac:dyDescent="0.3">
      <c r="F4818" s="1"/>
    </row>
    <row r="4819" spans="6:15" x14ac:dyDescent="0.3">
      <c r="F4819" s="1"/>
    </row>
    <row r="4821" spans="6:15" x14ac:dyDescent="0.3">
      <c r="F4821" s="1"/>
    </row>
    <row r="4822" spans="6:15" x14ac:dyDescent="0.3">
      <c r="F4822" s="1"/>
      <c r="L4822" s="1"/>
      <c r="N4822" s="1"/>
      <c r="O4822" s="1"/>
    </row>
    <row r="4823" spans="6:15" x14ac:dyDescent="0.3">
      <c r="F4823" s="1"/>
    </row>
    <row r="4824" spans="6:15" x14ac:dyDescent="0.3">
      <c r="F4824" s="1"/>
    </row>
    <row r="4825" spans="6:15" x14ac:dyDescent="0.3">
      <c r="F4825" s="1"/>
    </row>
    <row r="4826" spans="6:15" x14ac:dyDescent="0.3">
      <c r="F4826" s="1"/>
      <c r="N4826" s="1"/>
    </row>
    <row r="4827" spans="6:15" x14ac:dyDescent="0.3">
      <c r="F4827" s="1"/>
    </row>
    <row r="4828" spans="6:15" x14ac:dyDescent="0.3">
      <c r="F4828" s="1"/>
    </row>
    <row r="4829" spans="6:15" x14ac:dyDescent="0.3">
      <c r="F4829" s="1"/>
    </row>
    <row r="4830" spans="6:15" x14ac:dyDescent="0.3">
      <c r="F4830" s="1"/>
    </row>
    <row r="4831" spans="6:15" x14ac:dyDescent="0.3">
      <c r="F4831" s="1"/>
      <c r="O4831" s="1"/>
    </row>
    <row r="4832" spans="6:15" x14ac:dyDescent="0.3">
      <c r="M4832" s="1"/>
      <c r="N4832" s="1"/>
    </row>
    <row r="4833" spans="6:15" x14ac:dyDescent="0.3">
      <c r="F4833" s="1"/>
    </row>
    <row r="4834" spans="6:15" x14ac:dyDescent="0.3">
      <c r="F4834" s="1"/>
      <c r="L4834" s="1"/>
      <c r="M4834" s="1"/>
      <c r="N4834" s="1"/>
      <c r="O4834" s="1"/>
    </row>
    <row r="4835" spans="6:15" x14ac:dyDescent="0.3">
      <c r="F4835" s="1"/>
      <c r="M4835" s="1"/>
    </row>
    <row r="4836" spans="6:15" x14ac:dyDescent="0.3">
      <c r="F4836" s="1"/>
    </row>
    <row r="4837" spans="6:15" x14ac:dyDescent="0.3">
      <c r="F4837" s="1"/>
    </row>
    <row r="4838" spans="6:15" x14ac:dyDescent="0.3">
      <c r="F4838" s="1"/>
    </row>
    <row r="4839" spans="6:15" x14ac:dyDescent="0.3">
      <c r="F4839" s="1"/>
    </row>
    <row r="4840" spans="6:15" x14ac:dyDescent="0.3">
      <c r="L4840" s="1"/>
      <c r="M4840" s="1"/>
      <c r="O4840" s="1"/>
    </row>
    <row r="4841" spans="6:15" x14ac:dyDescent="0.3">
      <c r="F4841" s="1"/>
    </row>
    <row r="4843" spans="6:15" x14ac:dyDescent="0.3">
      <c r="F4843" s="1"/>
    </row>
    <row r="4844" spans="6:15" x14ac:dyDescent="0.3">
      <c r="F4844" s="1"/>
    </row>
    <row r="4845" spans="6:15" x14ac:dyDescent="0.3">
      <c r="F4845" s="1"/>
    </row>
    <row r="4846" spans="6:15" x14ac:dyDescent="0.3">
      <c r="F4846" s="1"/>
    </row>
    <row r="4847" spans="6:15" x14ac:dyDescent="0.3">
      <c r="F4847" s="1"/>
    </row>
    <row r="4848" spans="6:15" x14ac:dyDescent="0.3">
      <c r="F4848" s="1"/>
    </row>
    <row r="4849" spans="6:15" x14ac:dyDescent="0.3">
      <c r="F4849" s="1"/>
    </row>
    <row r="4850" spans="6:15" x14ac:dyDescent="0.3">
      <c r="F4850" s="1"/>
    </row>
    <row r="4851" spans="6:15" x14ac:dyDescent="0.3">
      <c r="F4851" s="1"/>
    </row>
    <row r="4852" spans="6:15" x14ac:dyDescent="0.3">
      <c r="F4852" s="1"/>
      <c r="M4852" s="1"/>
    </row>
    <row r="4853" spans="6:15" x14ac:dyDescent="0.3">
      <c r="F4853" s="1"/>
    </row>
    <row r="4854" spans="6:15" x14ac:dyDescent="0.3">
      <c r="F4854" s="1"/>
    </row>
    <row r="4855" spans="6:15" x14ac:dyDescent="0.3">
      <c r="F4855" s="1"/>
    </row>
    <row r="4857" spans="6:15" x14ac:dyDescent="0.3">
      <c r="F4857" s="1"/>
    </row>
    <row r="4858" spans="6:15" x14ac:dyDescent="0.3">
      <c r="F4858" s="1"/>
    </row>
    <row r="4861" spans="6:15" x14ac:dyDescent="0.3">
      <c r="L4861" s="1"/>
      <c r="M4861" s="1"/>
      <c r="N4861" s="1"/>
      <c r="O4861" s="1"/>
    </row>
    <row r="4862" spans="6:15" x14ac:dyDescent="0.3">
      <c r="F4862" s="1"/>
    </row>
    <row r="4863" spans="6:15" x14ac:dyDescent="0.3">
      <c r="F4863" s="1"/>
    </row>
    <row r="4864" spans="6:15" x14ac:dyDescent="0.3">
      <c r="L4864" s="1"/>
      <c r="N4864" s="1"/>
      <c r="O4864" s="1"/>
    </row>
    <row r="4865" spans="6:15" x14ac:dyDescent="0.3">
      <c r="F4865" s="1"/>
    </row>
    <row r="4866" spans="6:15" x14ac:dyDescent="0.3">
      <c r="F4866" s="1"/>
    </row>
    <row r="4867" spans="6:15" x14ac:dyDescent="0.3">
      <c r="L4867" s="1"/>
      <c r="O4867" s="1"/>
    </row>
    <row r="4868" spans="6:15" x14ac:dyDescent="0.3">
      <c r="F4868" s="1"/>
    </row>
    <row r="4869" spans="6:15" x14ac:dyDescent="0.3">
      <c r="F4869" s="1"/>
    </row>
    <row r="4870" spans="6:15" x14ac:dyDescent="0.3">
      <c r="F4870" s="1"/>
    </row>
    <row r="4872" spans="6:15" x14ac:dyDescent="0.3">
      <c r="F4872" s="1"/>
    </row>
    <row r="4873" spans="6:15" x14ac:dyDescent="0.3">
      <c r="F4873" s="1"/>
    </row>
    <row r="4874" spans="6:15" x14ac:dyDescent="0.3">
      <c r="F4874" s="1"/>
    </row>
    <row r="4875" spans="6:15" x14ac:dyDescent="0.3">
      <c r="F4875" s="1"/>
    </row>
    <row r="4876" spans="6:15" x14ac:dyDescent="0.3">
      <c r="F4876" s="1"/>
    </row>
    <row r="4877" spans="6:15" x14ac:dyDescent="0.3">
      <c r="F4877" s="1"/>
    </row>
    <row r="4878" spans="6:15" x14ac:dyDescent="0.3">
      <c r="F4878" s="1"/>
    </row>
    <row r="4879" spans="6:15" x14ac:dyDescent="0.3">
      <c r="F4879" s="1"/>
    </row>
    <row r="4880" spans="6:15" x14ac:dyDescent="0.3">
      <c r="F4880" s="1"/>
    </row>
    <row r="4881" spans="6:14" x14ac:dyDescent="0.3">
      <c r="F4881" s="1"/>
    </row>
    <row r="4883" spans="6:14" x14ac:dyDescent="0.3">
      <c r="F4883" s="1"/>
    </row>
    <row r="4884" spans="6:14" x14ac:dyDescent="0.3">
      <c r="F4884" s="1"/>
    </row>
    <row r="4885" spans="6:14" x14ac:dyDescent="0.3">
      <c r="F4885" s="1"/>
    </row>
    <row r="4886" spans="6:14" x14ac:dyDescent="0.3">
      <c r="F4886" s="1"/>
    </row>
    <row r="4887" spans="6:14" x14ac:dyDescent="0.3">
      <c r="F4887" s="1"/>
    </row>
    <row r="4888" spans="6:14" x14ac:dyDescent="0.3">
      <c r="F4888" s="1"/>
      <c r="N4888" s="1"/>
    </row>
    <row r="4889" spans="6:14" x14ac:dyDescent="0.3">
      <c r="F4889" s="1"/>
    </row>
    <row r="4890" spans="6:14" x14ac:dyDescent="0.3">
      <c r="F4890" s="1"/>
    </row>
    <row r="4891" spans="6:14" x14ac:dyDescent="0.3">
      <c r="F4891" s="1"/>
    </row>
    <row r="4892" spans="6:14" x14ac:dyDescent="0.3">
      <c r="F4892" s="1"/>
      <c r="M4892" s="1"/>
      <c r="N4892" s="1"/>
    </row>
    <row r="4893" spans="6:14" x14ac:dyDescent="0.3">
      <c r="F4893" s="1"/>
    </row>
    <row r="4894" spans="6:14" x14ac:dyDescent="0.3">
      <c r="F4894" s="1"/>
    </row>
    <row r="4895" spans="6:14" x14ac:dyDescent="0.3">
      <c r="F4895" s="1"/>
    </row>
    <row r="4896" spans="6:14" x14ac:dyDescent="0.3">
      <c r="N4896" s="1"/>
    </row>
    <row r="4897" spans="6:15" x14ac:dyDescent="0.3">
      <c r="F4897" s="1"/>
    </row>
    <row r="4898" spans="6:15" x14ac:dyDescent="0.3">
      <c r="F4898" s="1"/>
    </row>
    <row r="4899" spans="6:15" x14ac:dyDescent="0.3">
      <c r="F4899" s="1"/>
    </row>
    <row r="4900" spans="6:15" x14ac:dyDescent="0.3">
      <c r="F4900" s="1"/>
    </row>
    <row r="4901" spans="6:15" x14ac:dyDescent="0.3">
      <c r="F4901" s="1"/>
    </row>
    <row r="4902" spans="6:15" x14ac:dyDescent="0.3">
      <c r="F4902" s="1"/>
    </row>
    <row r="4903" spans="6:15" x14ac:dyDescent="0.3">
      <c r="F4903" s="1"/>
    </row>
    <row r="4904" spans="6:15" x14ac:dyDescent="0.3">
      <c r="F4904" s="1"/>
      <c r="O4904" s="1"/>
    </row>
    <row r="4905" spans="6:15" x14ac:dyDescent="0.3">
      <c r="F4905" s="1"/>
    </row>
    <row r="4906" spans="6:15" x14ac:dyDescent="0.3">
      <c r="M4906" s="1"/>
      <c r="N4906" s="1"/>
      <c r="O4906" s="1"/>
    </row>
    <row r="4907" spans="6:15" x14ac:dyDescent="0.3">
      <c r="F4907" s="1"/>
    </row>
    <row r="4908" spans="6:15" x14ac:dyDescent="0.3">
      <c r="F4908" s="1"/>
    </row>
    <row r="4909" spans="6:15" x14ac:dyDescent="0.3">
      <c r="F4909" s="1"/>
    </row>
    <row r="4910" spans="6:15" x14ac:dyDescent="0.3">
      <c r="F4910" s="1"/>
    </row>
    <row r="4911" spans="6:15" x14ac:dyDescent="0.3">
      <c r="F4911" s="1"/>
      <c r="L4911" s="1"/>
    </row>
    <row r="4912" spans="6:15" x14ac:dyDescent="0.3">
      <c r="F4912" s="1"/>
    </row>
    <row r="4913" spans="6:14" x14ac:dyDescent="0.3">
      <c r="F4913" s="1"/>
    </row>
    <row r="4914" spans="6:14" x14ac:dyDescent="0.3">
      <c r="F4914" s="1"/>
    </row>
    <row r="4915" spans="6:14" x14ac:dyDescent="0.3">
      <c r="F4915" s="1"/>
    </row>
    <row r="4916" spans="6:14" x14ac:dyDescent="0.3">
      <c r="F4916" s="1"/>
    </row>
    <row r="4917" spans="6:14" x14ac:dyDescent="0.3">
      <c r="F4917" s="1"/>
    </row>
    <row r="4918" spans="6:14" x14ac:dyDescent="0.3">
      <c r="F4918" s="1"/>
      <c r="N4918" s="1"/>
    </row>
    <row r="4919" spans="6:14" x14ac:dyDescent="0.3">
      <c r="F4919" s="1"/>
    </row>
    <row r="4920" spans="6:14" x14ac:dyDescent="0.3">
      <c r="F4920" s="1"/>
    </row>
    <row r="4922" spans="6:14" x14ac:dyDescent="0.3">
      <c r="L4922" s="1"/>
      <c r="M4922" s="1"/>
      <c r="N4922" s="1"/>
    </row>
    <row r="4924" spans="6:14" x14ac:dyDescent="0.3">
      <c r="F4924" s="1"/>
    </row>
    <row r="4925" spans="6:14" x14ac:dyDescent="0.3">
      <c r="F4925" s="1"/>
    </row>
    <row r="4926" spans="6:14" x14ac:dyDescent="0.3">
      <c r="F4926" s="1"/>
    </row>
    <row r="4927" spans="6:14" x14ac:dyDescent="0.3">
      <c r="F4927" s="1"/>
    </row>
    <row r="4928" spans="6:14" x14ac:dyDescent="0.3">
      <c r="F4928" s="1"/>
    </row>
    <row r="4929" spans="6:15" x14ac:dyDescent="0.3">
      <c r="F4929" s="1"/>
    </row>
    <row r="4930" spans="6:15" x14ac:dyDescent="0.3">
      <c r="F4930" s="1"/>
    </row>
    <row r="4932" spans="6:15" x14ac:dyDescent="0.3">
      <c r="F4932" s="1"/>
      <c r="M4932" s="1"/>
    </row>
    <row r="4933" spans="6:15" x14ac:dyDescent="0.3">
      <c r="F4933" s="1"/>
    </row>
    <row r="4934" spans="6:15" x14ac:dyDescent="0.3">
      <c r="M4934" s="1"/>
      <c r="O4934" s="1"/>
    </row>
    <row r="4935" spans="6:15" x14ac:dyDescent="0.3">
      <c r="F4935" s="1"/>
    </row>
    <row r="4936" spans="6:15" x14ac:dyDescent="0.3">
      <c r="F4936" s="1"/>
    </row>
    <row r="4937" spans="6:15" x14ac:dyDescent="0.3">
      <c r="F4937" s="1"/>
    </row>
    <row r="4938" spans="6:15" x14ac:dyDescent="0.3">
      <c r="F4938" s="1"/>
    </row>
    <row r="4939" spans="6:15" x14ac:dyDescent="0.3">
      <c r="F4939" s="1"/>
      <c r="N4939" s="1"/>
    </row>
    <row r="4940" spans="6:15" x14ac:dyDescent="0.3">
      <c r="F4940" s="1"/>
    </row>
    <row r="4941" spans="6:15" x14ac:dyDescent="0.3">
      <c r="F4941" s="1"/>
    </row>
    <row r="4942" spans="6:15" x14ac:dyDescent="0.3">
      <c r="F4942" s="1"/>
    </row>
    <row r="4943" spans="6:15" x14ac:dyDescent="0.3">
      <c r="F4943" s="1"/>
    </row>
    <row r="4944" spans="6:15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15" x14ac:dyDescent="0.3">
      <c r="F4961" s="1"/>
    </row>
    <row r="4963" spans="6:15" x14ac:dyDescent="0.3">
      <c r="F4963" s="1"/>
    </row>
    <row r="4964" spans="6:15" x14ac:dyDescent="0.3">
      <c r="F4964" s="1"/>
    </row>
    <row r="4965" spans="6:15" x14ac:dyDescent="0.3">
      <c r="F4965" s="1"/>
      <c r="L4965" s="1"/>
      <c r="M4965" s="1"/>
      <c r="N4965" s="1"/>
      <c r="O4965" s="1"/>
    </row>
    <row r="4966" spans="6:15" x14ac:dyDescent="0.3">
      <c r="F4966" s="1"/>
    </row>
    <row r="4967" spans="6:15" x14ac:dyDescent="0.3">
      <c r="F4967" s="1"/>
    </row>
    <row r="4968" spans="6:15" x14ac:dyDescent="0.3">
      <c r="F4968" s="1"/>
    </row>
    <row r="4969" spans="6:15" x14ac:dyDescent="0.3">
      <c r="F4969" s="1"/>
    </row>
    <row r="4970" spans="6:15" x14ac:dyDescent="0.3">
      <c r="L4970" s="1"/>
      <c r="N4970" s="1"/>
    </row>
    <row r="4972" spans="6:15" x14ac:dyDescent="0.3">
      <c r="F4972" s="1"/>
    </row>
    <row r="4973" spans="6:15" x14ac:dyDescent="0.3">
      <c r="F4973" s="1"/>
    </row>
    <row r="4974" spans="6:15" x14ac:dyDescent="0.3">
      <c r="F4974" s="1"/>
    </row>
    <row r="4975" spans="6:15" x14ac:dyDescent="0.3">
      <c r="F4975" s="1"/>
    </row>
    <row r="4976" spans="6:15" x14ac:dyDescent="0.3">
      <c r="F4976" s="1"/>
    </row>
    <row r="4977" spans="6:13" x14ac:dyDescent="0.3">
      <c r="F4977" s="1"/>
    </row>
    <row r="4978" spans="6:13" x14ac:dyDescent="0.3">
      <c r="F4978" s="1"/>
      <c r="M4978" s="1"/>
    </row>
    <row r="4979" spans="6:13" x14ac:dyDescent="0.3">
      <c r="F4979" s="1"/>
    </row>
    <row r="4980" spans="6:13" x14ac:dyDescent="0.3">
      <c r="F4980" s="1"/>
      <c r="M4980" s="1"/>
    </row>
    <row r="4981" spans="6:13" x14ac:dyDescent="0.3">
      <c r="F4981" s="1"/>
    </row>
    <row r="4982" spans="6:13" x14ac:dyDescent="0.3">
      <c r="F4982" s="1"/>
    </row>
    <row r="4983" spans="6:13" x14ac:dyDescent="0.3">
      <c r="F4983" s="1"/>
    </row>
    <row r="4984" spans="6:13" x14ac:dyDescent="0.3">
      <c r="F4984" s="1"/>
    </row>
    <row r="4985" spans="6:13" x14ac:dyDescent="0.3">
      <c r="F4985" s="1"/>
    </row>
    <row r="4986" spans="6:13" x14ac:dyDescent="0.3">
      <c r="F4986" s="1"/>
    </row>
    <row r="4987" spans="6:13" x14ac:dyDescent="0.3">
      <c r="F4987" s="1"/>
    </row>
    <row r="4988" spans="6:13" x14ac:dyDescent="0.3">
      <c r="F4988" s="1"/>
    </row>
    <row r="4989" spans="6:13" x14ac:dyDescent="0.3">
      <c r="F4989" s="1"/>
      <c r="L4989" s="1"/>
    </row>
    <row r="4990" spans="6:13" x14ac:dyDescent="0.3">
      <c r="F4990" s="1"/>
    </row>
    <row r="4992" spans="6:13" x14ac:dyDescent="0.3">
      <c r="F4992" s="1"/>
    </row>
    <row r="4993" spans="6:14" x14ac:dyDescent="0.3">
      <c r="F4993" s="1"/>
    </row>
    <row r="4994" spans="6:14" x14ac:dyDescent="0.3">
      <c r="M4994" s="1"/>
      <c r="N4994" s="1"/>
    </row>
    <row r="4995" spans="6:14" x14ac:dyDescent="0.3">
      <c r="F4995" s="1"/>
    </row>
    <row r="4996" spans="6:14" x14ac:dyDescent="0.3">
      <c r="F4996" s="1"/>
    </row>
    <row r="4997" spans="6:14" x14ac:dyDescent="0.3">
      <c r="F4997" s="1"/>
    </row>
    <row r="4998" spans="6:14" x14ac:dyDescent="0.3">
      <c r="F4998" s="1"/>
    </row>
    <row r="4999" spans="6:14" x14ac:dyDescent="0.3">
      <c r="F4999" s="1"/>
    </row>
    <row r="5000" spans="6:14" x14ac:dyDescent="0.3">
      <c r="F5000" s="1"/>
    </row>
    <row r="5001" spans="6:14" x14ac:dyDescent="0.3">
      <c r="F5001" s="1"/>
    </row>
    <row r="5002" spans="6:14" x14ac:dyDescent="0.3">
      <c r="F5002" s="1"/>
    </row>
    <row r="5003" spans="6:14" x14ac:dyDescent="0.3">
      <c r="F5003" s="1"/>
    </row>
    <row r="5004" spans="6:14" x14ac:dyDescent="0.3">
      <c r="F5004" s="1"/>
    </row>
    <row r="5005" spans="6:14" x14ac:dyDescent="0.3">
      <c r="F5005" s="1"/>
    </row>
    <row r="5006" spans="6:14" x14ac:dyDescent="0.3">
      <c r="F5006" s="1"/>
    </row>
    <row r="5007" spans="6:14" x14ac:dyDescent="0.3">
      <c r="F5007" s="1"/>
    </row>
    <row r="5008" spans="6:14" x14ac:dyDescent="0.3">
      <c r="F5008" s="1"/>
    </row>
    <row r="5009" spans="6:14" x14ac:dyDescent="0.3">
      <c r="F5009" s="1"/>
    </row>
    <row r="5010" spans="6:14" x14ac:dyDescent="0.3">
      <c r="F5010" s="1"/>
    </row>
    <row r="5011" spans="6:14" x14ac:dyDescent="0.3">
      <c r="F5011" s="1"/>
      <c r="N5011" s="1"/>
    </row>
    <row r="5013" spans="6:14" x14ac:dyDescent="0.3">
      <c r="F5013" s="1"/>
    </row>
    <row r="5014" spans="6:14" x14ac:dyDescent="0.3">
      <c r="F5014" s="1"/>
    </row>
    <row r="5015" spans="6:14" x14ac:dyDescent="0.3">
      <c r="F5015" s="1"/>
    </row>
    <row r="5016" spans="6:14" x14ac:dyDescent="0.3">
      <c r="F5016" s="1"/>
    </row>
    <row r="5017" spans="6:14" x14ac:dyDescent="0.3">
      <c r="F5017" s="1"/>
    </row>
    <row r="5018" spans="6:14" x14ac:dyDescent="0.3">
      <c r="F5018" s="1"/>
    </row>
    <row r="5019" spans="6:14" x14ac:dyDescent="0.3">
      <c r="F5019" s="1"/>
    </row>
    <row r="5020" spans="6:14" x14ac:dyDescent="0.3">
      <c r="F5020" s="1"/>
    </row>
    <row r="5022" spans="6:14" x14ac:dyDescent="0.3">
      <c r="F5022" s="1"/>
    </row>
    <row r="5023" spans="6:14" x14ac:dyDescent="0.3">
      <c r="F5023" s="1"/>
    </row>
    <row r="5024" spans="6:14" x14ac:dyDescent="0.3">
      <c r="F5024" s="1"/>
    </row>
    <row r="5025" spans="6:14" x14ac:dyDescent="0.3">
      <c r="F5025" s="1"/>
    </row>
    <row r="5026" spans="6:14" x14ac:dyDescent="0.3">
      <c r="F5026" s="1"/>
    </row>
    <row r="5027" spans="6:14" x14ac:dyDescent="0.3">
      <c r="F5027" s="1"/>
    </row>
    <row r="5028" spans="6:14" x14ac:dyDescent="0.3">
      <c r="F5028" s="1"/>
    </row>
    <row r="5029" spans="6:14" x14ac:dyDescent="0.3">
      <c r="F5029" s="1"/>
    </row>
    <row r="5030" spans="6:14" x14ac:dyDescent="0.3">
      <c r="F5030" s="1"/>
    </row>
    <row r="5031" spans="6:14" x14ac:dyDescent="0.3">
      <c r="F5031" s="1"/>
      <c r="N5031" s="1"/>
    </row>
    <row r="5032" spans="6:14" x14ac:dyDescent="0.3">
      <c r="F5032" s="1"/>
    </row>
    <row r="5033" spans="6:14" x14ac:dyDescent="0.3">
      <c r="F5033" s="1"/>
    </row>
    <row r="5034" spans="6:14" x14ac:dyDescent="0.3">
      <c r="F5034" s="1"/>
    </row>
    <row r="5035" spans="6:14" x14ac:dyDescent="0.3">
      <c r="F5035" s="1"/>
    </row>
    <row r="5036" spans="6:14" x14ac:dyDescent="0.3">
      <c r="F5036" s="1"/>
    </row>
    <row r="5037" spans="6:14" x14ac:dyDescent="0.3">
      <c r="F5037" s="1"/>
      <c r="L5037" s="1"/>
      <c r="M5037" s="1"/>
    </row>
    <row r="5038" spans="6:14" x14ac:dyDescent="0.3">
      <c r="F5038" s="1"/>
    </row>
    <row r="5039" spans="6:14" x14ac:dyDescent="0.3">
      <c r="F5039" s="1"/>
    </row>
    <row r="5040" spans="6:14" x14ac:dyDescent="0.3">
      <c r="F5040" s="1"/>
      <c r="L5040" s="1"/>
    </row>
    <row r="5041" spans="6:15" x14ac:dyDescent="0.3">
      <c r="F5041" s="1"/>
    </row>
    <row r="5042" spans="6:15" x14ac:dyDescent="0.3">
      <c r="F5042" s="1"/>
    </row>
    <row r="5044" spans="6:15" x14ac:dyDescent="0.3">
      <c r="F5044" s="1"/>
    </row>
    <row r="5045" spans="6:15" x14ac:dyDescent="0.3">
      <c r="F5045" s="1"/>
      <c r="L5045" s="1"/>
      <c r="M5045" s="1"/>
      <c r="N5045" s="1"/>
      <c r="O5045" s="1"/>
    </row>
    <row r="5046" spans="6:15" x14ac:dyDescent="0.3">
      <c r="F5046" s="1"/>
    </row>
    <row r="5047" spans="6:15" x14ac:dyDescent="0.3">
      <c r="F5047" s="1"/>
    </row>
    <row r="5048" spans="6:15" x14ac:dyDescent="0.3">
      <c r="F5048" s="1"/>
    </row>
    <row r="5049" spans="6:15" x14ac:dyDescent="0.3">
      <c r="F5049" s="1"/>
    </row>
    <row r="5050" spans="6:15" x14ac:dyDescent="0.3">
      <c r="F5050" s="1"/>
    </row>
    <row r="5051" spans="6:15" x14ac:dyDescent="0.3">
      <c r="F5051" s="1"/>
    </row>
    <row r="5052" spans="6:15" x14ac:dyDescent="0.3">
      <c r="F5052" s="1"/>
      <c r="O5052" s="1"/>
    </row>
    <row r="5053" spans="6:15" x14ac:dyDescent="0.3">
      <c r="F5053" s="1"/>
      <c r="L5053" s="1"/>
      <c r="M5053" s="1"/>
      <c r="N5053" s="1"/>
      <c r="O5053" s="1"/>
    </row>
    <row r="5054" spans="6:15" x14ac:dyDescent="0.3">
      <c r="M5054" s="1"/>
    </row>
    <row r="5055" spans="6:15" x14ac:dyDescent="0.3">
      <c r="F5055" s="1"/>
    </row>
    <row r="5056" spans="6:15" x14ac:dyDescent="0.3">
      <c r="F5056" s="1"/>
    </row>
    <row r="5057" spans="6:14" x14ac:dyDescent="0.3">
      <c r="F5057" s="1"/>
    </row>
    <row r="5058" spans="6:14" x14ac:dyDescent="0.3">
      <c r="F5058" s="1"/>
    </row>
    <row r="5059" spans="6:14" x14ac:dyDescent="0.3">
      <c r="F5059" s="1"/>
    </row>
    <row r="5060" spans="6:14" x14ac:dyDescent="0.3">
      <c r="F5060" s="1"/>
    </row>
    <row r="5061" spans="6:14" x14ac:dyDescent="0.3">
      <c r="F5061" s="1"/>
      <c r="N5061" s="1"/>
    </row>
    <row r="5062" spans="6:14" x14ac:dyDescent="0.3">
      <c r="F5062" s="1"/>
    </row>
    <row r="5063" spans="6:14" x14ac:dyDescent="0.3">
      <c r="F5063" s="1"/>
      <c r="L5063" s="1"/>
    </row>
    <row r="5064" spans="6:14" x14ac:dyDescent="0.3">
      <c r="F5064" s="1"/>
    </row>
    <row r="5065" spans="6:14" x14ac:dyDescent="0.3">
      <c r="F5065" s="1"/>
    </row>
    <row r="5066" spans="6:14" x14ac:dyDescent="0.3">
      <c r="F5066" s="1"/>
    </row>
    <row r="5067" spans="6:14" x14ac:dyDescent="0.3">
      <c r="F5067" s="1"/>
    </row>
    <row r="5068" spans="6:14" x14ac:dyDescent="0.3">
      <c r="F5068" s="1"/>
    </row>
    <row r="5069" spans="6:14" x14ac:dyDescent="0.3">
      <c r="F5069" s="1"/>
    </row>
    <row r="5070" spans="6:14" x14ac:dyDescent="0.3">
      <c r="F5070" s="1"/>
      <c r="N5070" s="1"/>
    </row>
    <row r="5071" spans="6:14" x14ac:dyDescent="0.3">
      <c r="F5071" s="1"/>
    </row>
    <row r="5072" spans="6:14" x14ac:dyDescent="0.3">
      <c r="F5072" s="1"/>
    </row>
    <row r="5073" spans="6:12" x14ac:dyDescent="0.3">
      <c r="F5073" s="1"/>
    </row>
    <row r="5075" spans="6:12" x14ac:dyDescent="0.3">
      <c r="F5075" s="1"/>
    </row>
    <row r="5076" spans="6:12" x14ac:dyDescent="0.3">
      <c r="F5076" s="1"/>
    </row>
    <row r="5077" spans="6:12" x14ac:dyDescent="0.3">
      <c r="F5077" s="1"/>
    </row>
    <row r="5078" spans="6:12" x14ac:dyDescent="0.3">
      <c r="F5078" s="1"/>
    </row>
    <row r="5079" spans="6:12" x14ac:dyDescent="0.3">
      <c r="F5079" s="1"/>
    </row>
    <row r="5080" spans="6:12" x14ac:dyDescent="0.3">
      <c r="F5080" s="1"/>
      <c r="L5080" s="1"/>
    </row>
    <row r="5081" spans="6:12" x14ac:dyDescent="0.3">
      <c r="F5081" s="1"/>
    </row>
    <row r="5082" spans="6:12" x14ac:dyDescent="0.3">
      <c r="F5082" s="1"/>
    </row>
    <row r="5083" spans="6:12" x14ac:dyDescent="0.3">
      <c r="F5083" s="1"/>
    </row>
    <row r="5084" spans="6:12" x14ac:dyDescent="0.3">
      <c r="F5084" s="1"/>
    </row>
    <row r="5086" spans="6:12" x14ac:dyDescent="0.3">
      <c r="F5086" s="1"/>
    </row>
    <row r="5087" spans="6:12" x14ac:dyDescent="0.3">
      <c r="F5087" s="1"/>
    </row>
    <row r="5088" spans="6:12" x14ac:dyDescent="0.3">
      <c r="F5088" s="1"/>
    </row>
    <row r="5089" spans="6:15" x14ac:dyDescent="0.3">
      <c r="F5089" s="1"/>
    </row>
    <row r="5090" spans="6:15" x14ac:dyDescent="0.3">
      <c r="F5090" s="1"/>
    </row>
    <row r="5091" spans="6:15" x14ac:dyDescent="0.3">
      <c r="F5091" s="1"/>
    </row>
    <row r="5092" spans="6:15" x14ac:dyDescent="0.3">
      <c r="F5092" s="1"/>
    </row>
    <row r="5093" spans="6:15" x14ac:dyDescent="0.3">
      <c r="F5093" s="1"/>
    </row>
    <row r="5094" spans="6:15" x14ac:dyDescent="0.3">
      <c r="F5094" s="1"/>
    </row>
    <row r="5095" spans="6:15" x14ac:dyDescent="0.3">
      <c r="F5095" s="1"/>
    </row>
    <row r="5096" spans="6:15" x14ac:dyDescent="0.3">
      <c r="F5096" s="1"/>
    </row>
    <row r="5097" spans="6:15" x14ac:dyDescent="0.3">
      <c r="L5097" s="1"/>
      <c r="M5097" s="1"/>
      <c r="N5097" s="1"/>
      <c r="O5097" s="1"/>
    </row>
    <row r="5098" spans="6:15" x14ac:dyDescent="0.3">
      <c r="F5098" s="1"/>
    </row>
    <row r="5099" spans="6:15" x14ac:dyDescent="0.3">
      <c r="F5099" s="1"/>
    </row>
    <row r="5100" spans="6:15" x14ac:dyDescent="0.3">
      <c r="F5100" s="1"/>
    </row>
    <row r="5101" spans="6:15" x14ac:dyDescent="0.3">
      <c r="F5101" s="1"/>
    </row>
    <row r="5102" spans="6:15" x14ac:dyDescent="0.3">
      <c r="F5102" s="1"/>
    </row>
    <row r="5104" spans="6:15" x14ac:dyDescent="0.3">
      <c r="F5104" s="1"/>
    </row>
    <row r="5105" spans="6:15" x14ac:dyDescent="0.3">
      <c r="F5105" s="1"/>
    </row>
    <row r="5106" spans="6:15" x14ac:dyDescent="0.3">
      <c r="F5106" s="1"/>
    </row>
    <row r="5107" spans="6:15" x14ac:dyDescent="0.3">
      <c r="F5107" s="1"/>
    </row>
    <row r="5108" spans="6:15" x14ac:dyDescent="0.3">
      <c r="F5108" s="1"/>
    </row>
    <row r="5109" spans="6:15" x14ac:dyDescent="0.3">
      <c r="F5109" s="1"/>
    </row>
    <row r="5110" spans="6:15" x14ac:dyDescent="0.3">
      <c r="F5110" s="1"/>
    </row>
    <row r="5111" spans="6:15" x14ac:dyDescent="0.3">
      <c r="F5111" s="1"/>
    </row>
    <row r="5112" spans="6:15" x14ac:dyDescent="0.3">
      <c r="F5112" s="1"/>
    </row>
    <row r="5113" spans="6:15" x14ac:dyDescent="0.3">
      <c r="F5113" s="1"/>
    </row>
    <row r="5114" spans="6:15" x14ac:dyDescent="0.3">
      <c r="F5114" s="1"/>
    </row>
    <row r="5115" spans="6:15" x14ac:dyDescent="0.3">
      <c r="F5115" s="1"/>
    </row>
    <row r="5116" spans="6:15" x14ac:dyDescent="0.3">
      <c r="F5116" s="1"/>
      <c r="L5116" s="1"/>
      <c r="N5116" s="1"/>
    </row>
    <row r="5118" spans="6:15" x14ac:dyDescent="0.3">
      <c r="F5118" s="1"/>
      <c r="L5118" s="1"/>
      <c r="N5118" s="1"/>
      <c r="O5118" s="1"/>
    </row>
    <row r="5119" spans="6:15" x14ac:dyDescent="0.3">
      <c r="F5119" s="1"/>
    </row>
    <row r="5120" spans="6:15" x14ac:dyDescent="0.3">
      <c r="F5120" s="1"/>
    </row>
    <row r="5121" spans="6:13" x14ac:dyDescent="0.3">
      <c r="F5121" s="1"/>
      <c r="M5121" s="1"/>
    </row>
    <row r="5122" spans="6:13" x14ac:dyDescent="0.3">
      <c r="F5122" s="1"/>
    </row>
    <row r="5123" spans="6:13" x14ac:dyDescent="0.3">
      <c r="F5123" s="1"/>
    </row>
    <row r="5124" spans="6:13" x14ac:dyDescent="0.3">
      <c r="F5124" s="1"/>
    </row>
    <row r="5125" spans="6:13" x14ac:dyDescent="0.3">
      <c r="F5125" s="1"/>
    </row>
    <row r="5126" spans="6:13" x14ac:dyDescent="0.3">
      <c r="F5126" s="1"/>
      <c r="L5126" s="1"/>
      <c r="M5126" s="1"/>
    </row>
    <row r="5127" spans="6:13" x14ac:dyDescent="0.3">
      <c r="F5127" s="1"/>
    </row>
    <row r="5128" spans="6:13" x14ac:dyDescent="0.3">
      <c r="F5128" s="1"/>
    </row>
    <row r="5129" spans="6:13" x14ac:dyDescent="0.3">
      <c r="F5129" s="1"/>
    </row>
    <row r="5130" spans="6:13" x14ac:dyDescent="0.3">
      <c r="F5130" s="1"/>
    </row>
    <row r="5131" spans="6:13" x14ac:dyDescent="0.3">
      <c r="F5131" s="1"/>
    </row>
    <row r="5132" spans="6:13" x14ac:dyDescent="0.3">
      <c r="F5132" s="1"/>
    </row>
    <row r="5133" spans="6:13" x14ac:dyDescent="0.3">
      <c r="F5133" s="1"/>
    </row>
    <row r="5134" spans="6:13" x14ac:dyDescent="0.3">
      <c r="F5134" s="1"/>
      <c r="M5134" s="1"/>
    </row>
    <row r="5136" spans="6:13" x14ac:dyDescent="0.3">
      <c r="F5136" s="1"/>
    </row>
    <row r="5137" spans="6:13" x14ac:dyDescent="0.3">
      <c r="F5137" s="1"/>
    </row>
    <row r="5138" spans="6:13" x14ac:dyDescent="0.3">
      <c r="F5138" s="1"/>
    </row>
    <row r="5139" spans="6:13" x14ac:dyDescent="0.3">
      <c r="F5139" s="1"/>
      <c r="M5139" s="1"/>
    </row>
    <row r="5140" spans="6:13" x14ac:dyDescent="0.3">
      <c r="F5140" s="1"/>
    </row>
    <row r="5141" spans="6:13" x14ac:dyDescent="0.3">
      <c r="F5141" s="1"/>
    </row>
    <row r="5142" spans="6:13" x14ac:dyDescent="0.3">
      <c r="F5142" s="1"/>
    </row>
    <row r="5143" spans="6:13" x14ac:dyDescent="0.3">
      <c r="F5143" s="1"/>
    </row>
    <row r="5144" spans="6:13" x14ac:dyDescent="0.3">
      <c r="F5144" s="1"/>
    </row>
    <row r="5145" spans="6:13" x14ac:dyDescent="0.3">
      <c r="F5145" s="1"/>
    </row>
    <row r="5146" spans="6:13" x14ac:dyDescent="0.3">
      <c r="F5146" s="1"/>
    </row>
    <row r="5147" spans="6:13" x14ac:dyDescent="0.3">
      <c r="F5147" s="1"/>
    </row>
    <row r="5149" spans="6:13" x14ac:dyDescent="0.3">
      <c r="F5149" s="1"/>
    </row>
    <row r="5150" spans="6:13" x14ac:dyDescent="0.3">
      <c r="F5150" s="1"/>
    </row>
    <row r="5151" spans="6:13" x14ac:dyDescent="0.3">
      <c r="F5151" s="1"/>
    </row>
    <row r="5152" spans="6:13" x14ac:dyDescent="0.3">
      <c r="F5152" s="1"/>
    </row>
    <row r="5153" spans="6:15" x14ac:dyDescent="0.3">
      <c r="L5153" s="1"/>
      <c r="M5153" s="1"/>
      <c r="O5153" s="1"/>
    </row>
    <row r="5154" spans="6:15" x14ac:dyDescent="0.3">
      <c r="F5154" s="1"/>
    </row>
    <row r="5155" spans="6:15" x14ac:dyDescent="0.3">
      <c r="F5155" s="1"/>
    </row>
    <row r="5156" spans="6:15" x14ac:dyDescent="0.3">
      <c r="F5156" s="1"/>
    </row>
    <row r="5157" spans="6:15" x14ac:dyDescent="0.3">
      <c r="F5157" s="1"/>
    </row>
    <row r="5158" spans="6:15" x14ac:dyDescent="0.3">
      <c r="F5158" s="1"/>
    </row>
    <row r="5159" spans="6:15" x14ac:dyDescent="0.3">
      <c r="M5159" s="1"/>
    </row>
    <row r="5160" spans="6:15" x14ac:dyDescent="0.3">
      <c r="F5160" s="1"/>
    </row>
    <row r="5161" spans="6:15" x14ac:dyDescent="0.3">
      <c r="F5161" s="1"/>
    </row>
    <row r="5162" spans="6:15" x14ac:dyDescent="0.3">
      <c r="F5162" s="1"/>
      <c r="N5162" s="1"/>
    </row>
    <row r="5164" spans="6:15" x14ac:dyDescent="0.3">
      <c r="F5164" s="1"/>
    </row>
    <row r="5165" spans="6:15" x14ac:dyDescent="0.3">
      <c r="F5165" s="1"/>
    </row>
    <row r="5167" spans="6:15" x14ac:dyDescent="0.3">
      <c r="F5167" s="1"/>
      <c r="M5167" s="1"/>
      <c r="N5167" s="1"/>
    </row>
    <row r="5168" spans="6:15" x14ac:dyDescent="0.3">
      <c r="F5168" s="1"/>
    </row>
    <row r="5169" spans="6:15" x14ac:dyDescent="0.3">
      <c r="F5169" s="1"/>
    </row>
    <row r="5170" spans="6:15" x14ac:dyDescent="0.3">
      <c r="M5170" s="1"/>
      <c r="N5170" s="1"/>
    </row>
    <row r="5171" spans="6:15" x14ac:dyDescent="0.3">
      <c r="F5171" s="1"/>
      <c r="M5171" s="1"/>
      <c r="N5171" s="1"/>
      <c r="O5171" s="1"/>
    </row>
    <row r="5172" spans="6:15" x14ac:dyDescent="0.3">
      <c r="F5172" s="1"/>
    </row>
    <row r="5173" spans="6:15" x14ac:dyDescent="0.3">
      <c r="F5173" s="1"/>
    </row>
    <row r="5174" spans="6:15" x14ac:dyDescent="0.3">
      <c r="F5174" s="1"/>
    </row>
    <row r="5175" spans="6:15" x14ac:dyDescent="0.3">
      <c r="F5175" s="1"/>
    </row>
    <row r="5176" spans="6:15" x14ac:dyDescent="0.3">
      <c r="F5176" s="1"/>
    </row>
    <row r="5177" spans="6:15" x14ac:dyDescent="0.3">
      <c r="F5177" s="1"/>
    </row>
    <row r="5178" spans="6:15" x14ac:dyDescent="0.3">
      <c r="F5178" s="1"/>
      <c r="M5178" s="1"/>
      <c r="O5178" s="1"/>
    </row>
    <row r="5179" spans="6:15" x14ac:dyDescent="0.3">
      <c r="F5179" s="1"/>
    </row>
    <row r="5180" spans="6:15" x14ac:dyDescent="0.3">
      <c r="F5180" s="1"/>
    </row>
    <row r="5181" spans="6:15" x14ac:dyDescent="0.3">
      <c r="F5181" s="1"/>
      <c r="O5181" s="1"/>
    </row>
    <row r="5182" spans="6:15" x14ac:dyDescent="0.3">
      <c r="F5182" s="1"/>
    </row>
    <row r="5183" spans="6:15" x14ac:dyDescent="0.3">
      <c r="F5183" s="1"/>
    </row>
    <row r="5184" spans="6:15" x14ac:dyDescent="0.3">
      <c r="F5184" s="1"/>
    </row>
    <row r="5185" spans="6:13" x14ac:dyDescent="0.3">
      <c r="F5185" s="1"/>
      <c r="L5185" s="1"/>
      <c r="M5185" s="1"/>
    </row>
    <row r="5186" spans="6:13" x14ac:dyDescent="0.3">
      <c r="F5186" s="1"/>
    </row>
    <row r="5187" spans="6:13" x14ac:dyDescent="0.3">
      <c r="F5187" s="1"/>
    </row>
    <row r="5189" spans="6:13" x14ac:dyDescent="0.3">
      <c r="F5189" s="1"/>
    </row>
    <row r="5190" spans="6:13" x14ac:dyDescent="0.3">
      <c r="F5190" s="1"/>
    </row>
    <row r="5191" spans="6:13" x14ac:dyDescent="0.3">
      <c r="F5191" s="1"/>
    </row>
    <row r="5192" spans="6:13" x14ac:dyDescent="0.3">
      <c r="F5192" s="1"/>
    </row>
    <row r="5193" spans="6:13" x14ac:dyDescent="0.3">
      <c r="F5193" s="1"/>
    </row>
    <row r="5194" spans="6:13" x14ac:dyDescent="0.3">
      <c r="F5194" s="1"/>
    </row>
    <row r="5195" spans="6:13" x14ac:dyDescent="0.3">
      <c r="F5195" s="1"/>
    </row>
    <row r="5196" spans="6:13" x14ac:dyDescent="0.3">
      <c r="F5196" s="1"/>
    </row>
    <row r="5197" spans="6:13" x14ac:dyDescent="0.3">
      <c r="F5197" s="1"/>
    </row>
    <row r="5198" spans="6:13" x14ac:dyDescent="0.3">
      <c r="F5198" s="1"/>
    </row>
    <row r="5199" spans="6:13" x14ac:dyDescent="0.3">
      <c r="F5199" s="1"/>
    </row>
    <row r="5201" spans="6:14" x14ac:dyDescent="0.3">
      <c r="F5201" s="1"/>
    </row>
    <row r="5202" spans="6:14" x14ac:dyDescent="0.3">
      <c r="F5202" s="1"/>
    </row>
    <row r="5205" spans="6:14" x14ac:dyDescent="0.3">
      <c r="F5205" s="1"/>
    </row>
    <row r="5207" spans="6:14" x14ac:dyDescent="0.3">
      <c r="F5207" s="1"/>
      <c r="M5207" s="1"/>
      <c r="N5207" s="1"/>
    </row>
    <row r="5208" spans="6:14" x14ac:dyDescent="0.3">
      <c r="F5208" s="1"/>
    </row>
    <row r="5210" spans="6:14" x14ac:dyDescent="0.3">
      <c r="F5210" s="1"/>
    </row>
    <row r="5211" spans="6:14" x14ac:dyDescent="0.3">
      <c r="F5211" s="1"/>
    </row>
    <row r="5212" spans="6:14" x14ac:dyDescent="0.3">
      <c r="F5212" s="1"/>
    </row>
    <row r="5213" spans="6:14" x14ac:dyDescent="0.3">
      <c r="F5213" s="1"/>
    </row>
    <row r="5214" spans="6:14" x14ac:dyDescent="0.3">
      <c r="F5214" s="1"/>
    </row>
    <row r="5216" spans="6:14" x14ac:dyDescent="0.3">
      <c r="F5216" s="1"/>
    </row>
    <row r="5218" spans="6:15" x14ac:dyDescent="0.3">
      <c r="F5218" s="1"/>
    </row>
    <row r="5219" spans="6:15" x14ac:dyDescent="0.3">
      <c r="F5219" s="1"/>
    </row>
    <row r="5220" spans="6:15" x14ac:dyDescent="0.3">
      <c r="F5220" s="1"/>
    </row>
    <row r="5222" spans="6:15" x14ac:dyDescent="0.3">
      <c r="F5222" s="1"/>
    </row>
    <row r="5223" spans="6:15" x14ac:dyDescent="0.3">
      <c r="F5223" s="1"/>
    </row>
    <row r="5225" spans="6:15" x14ac:dyDescent="0.3">
      <c r="F5225" s="1"/>
    </row>
    <row r="5226" spans="6:15" x14ac:dyDescent="0.3">
      <c r="L5226" s="1"/>
      <c r="M5226" s="1"/>
      <c r="N5226" s="1"/>
      <c r="O5226" s="1"/>
    </row>
    <row r="5227" spans="6:15" x14ac:dyDescent="0.3">
      <c r="F5227" s="1"/>
    </row>
    <row r="5228" spans="6:15" x14ac:dyDescent="0.3">
      <c r="F5228" s="1"/>
    </row>
    <row r="5230" spans="6:15" x14ac:dyDescent="0.3">
      <c r="F5230" s="1"/>
    </row>
    <row r="5231" spans="6:15" x14ac:dyDescent="0.3">
      <c r="F5231" s="1"/>
    </row>
    <row r="5232" spans="6:15" x14ac:dyDescent="0.3">
      <c r="F5232" s="1"/>
    </row>
    <row r="5233" spans="6:15" x14ac:dyDescent="0.3">
      <c r="F5233" s="1"/>
    </row>
    <row r="5234" spans="6:15" x14ac:dyDescent="0.3">
      <c r="F5234" s="1"/>
    </row>
    <row r="5235" spans="6:15" x14ac:dyDescent="0.3">
      <c r="L5235" s="1"/>
      <c r="M5235" s="1"/>
    </row>
    <row r="5236" spans="6:15" x14ac:dyDescent="0.3">
      <c r="F5236" s="1"/>
    </row>
    <row r="5237" spans="6:15" x14ac:dyDescent="0.3">
      <c r="L5237" s="1"/>
      <c r="M5237" s="1"/>
      <c r="N5237" s="1"/>
      <c r="O5237" s="1"/>
    </row>
    <row r="5238" spans="6:15" x14ac:dyDescent="0.3">
      <c r="F5238" s="1"/>
    </row>
    <row r="5239" spans="6:15" x14ac:dyDescent="0.3">
      <c r="F5239" s="1"/>
    </row>
    <row r="5240" spans="6:15" x14ac:dyDescent="0.3">
      <c r="F5240" s="1"/>
    </row>
    <row r="5241" spans="6:15" x14ac:dyDescent="0.3">
      <c r="F5241" s="1"/>
    </row>
    <row r="5242" spans="6:15" x14ac:dyDescent="0.3">
      <c r="F5242" s="1"/>
    </row>
    <row r="5243" spans="6:15" x14ac:dyDescent="0.3">
      <c r="F5243" s="1"/>
    </row>
    <row r="5244" spans="6:15" x14ac:dyDescent="0.3">
      <c r="F5244" s="1"/>
    </row>
    <row r="5245" spans="6:15" x14ac:dyDescent="0.3">
      <c r="F5245" s="1"/>
    </row>
    <row r="5246" spans="6:15" x14ac:dyDescent="0.3">
      <c r="F5246" s="1"/>
    </row>
    <row r="5248" spans="6:15" x14ac:dyDescent="0.3">
      <c r="F5248" s="1"/>
    </row>
    <row r="5249" spans="6:6" x14ac:dyDescent="0.3">
      <c r="F5249" s="1"/>
    </row>
    <row r="5250" spans="6:6" x14ac:dyDescent="0.3">
      <c r="F5250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9" spans="6:6" x14ac:dyDescent="0.3">
      <c r="F5259" s="1"/>
    </row>
    <row r="5260" spans="6:6" x14ac:dyDescent="0.3">
      <c r="F5260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3" spans="6:6" x14ac:dyDescent="0.3">
      <c r="F5273" s="1"/>
    </row>
    <row r="5274" spans="6:6" x14ac:dyDescent="0.3">
      <c r="F5274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1" spans="6:15" x14ac:dyDescent="0.3">
      <c r="F5281" s="1"/>
    </row>
    <row r="5282" spans="6:15" x14ac:dyDescent="0.3">
      <c r="F5282" s="1"/>
    </row>
    <row r="5283" spans="6:15" x14ac:dyDescent="0.3">
      <c r="F5283" s="1"/>
      <c r="M5283" s="1"/>
      <c r="N5283" s="1"/>
    </row>
    <row r="5284" spans="6:15" x14ac:dyDescent="0.3">
      <c r="F5284" s="1"/>
    </row>
    <row r="5286" spans="6:15" x14ac:dyDescent="0.3">
      <c r="F5286" s="1"/>
    </row>
    <row r="5288" spans="6:15" x14ac:dyDescent="0.3">
      <c r="F5288" s="1"/>
      <c r="L5288" s="1"/>
      <c r="O5288" s="1"/>
    </row>
    <row r="5289" spans="6:15" x14ac:dyDescent="0.3">
      <c r="F5289" s="1"/>
    </row>
    <row r="5290" spans="6:15" x14ac:dyDescent="0.3">
      <c r="F5290" s="1"/>
    </row>
    <row r="5291" spans="6:15" x14ac:dyDescent="0.3">
      <c r="F5291" s="1"/>
    </row>
    <row r="5292" spans="6:15" x14ac:dyDescent="0.3">
      <c r="F5292" s="1"/>
    </row>
    <row r="5293" spans="6:15" x14ac:dyDescent="0.3">
      <c r="F5293" s="1"/>
    </row>
    <row r="5294" spans="6:15" x14ac:dyDescent="0.3">
      <c r="F5294" s="1"/>
    </row>
    <row r="5295" spans="6:15" x14ac:dyDescent="0.3">
      <c r="F5295" s="1"/>
    </row>
    <row r="5296" spans="6:15" x14ac:dyDescent="0.3">
      <c r="F5296" s="1"/>
    </row>
    <row r="5297" spans="6:15" x14ac:dyDescent="0.3">
      <c r="F5297" s="1"/>
    </row>
    <row r="5298" spans="6:15" x14ac:dyDescent="0.3">
      <c r="F5298" s="1"/>
    </row>
    <row r="5299" spans="6:15" x14ac:dyDescent="0.3">
      <c r="F5299" s="1"/>
    </row>
    <row r="5300" spans="6:15" x14ac:dyDescent="0.3">
      <c r="F5300" s="1"/>
    </row>
    <row r="5302" spans="6:15" x14ac:dyDescent="0.3">
      <c r="F5302" s="1"/>
    </row>
    <row r="5304" spans="6:15" x14ac:dyDescent="0.3">
      <c r="F5304" s="1"/>
    </row>
    <row r="5306" spans="6:15" x14ac:dyDescent="0.3">
      <c r="L5306" s="1"/>
      <c r="M5306" s="1"/>
      <c r="N5306" s="1"/>
      <c r="O5306" s="1"/>
    </row>
    <row r="5307" spans="6:15" x14ac:dyDescent="0.3">
      <c r="F5307" s="1"/>
    </row>
    <row r="5308" spans="6:15" x14ac:dyDescent="0.3">
      <c r="F5308" s="1"/>
      <c r="L5308" s="1"/>
      <c r="M5308" s="1"/>
      <c r="O5308" s="1"/>
    </row>
    <row r="5309" spans="6:15" x14ac:dyDescent="0.3">
      <c r="F5309" s="1"/>
    </row>
    <row r="5310" spans="6:15" x14ac:dyDescent="0.3">
      <c r="F5310" s="1"/>
    </row>
    <row r="5311" spans="6:15" x14ac:dyDescent="0.3">
      <c r="F5311" s="1"/>
    </row>
    <row r="5312" spans="6:15" x14ac:dyDescent="0.3">
      <c r="F5312" s="1"/>
    </row>
    <row r="5313" spans="6:13" x14ac:dyDescent="0.3">
      <c r="F5313" s="1"/>
    </row>
    <row r="5314" spans="6:13" x14ac:dyDescent="0.3">
      <c r="F5314" s="1"/>
    </row>
    <row r="5316" spans="6:13" x14ac:dyDescent="0.3">
      <c r="F5316" s="1"/>
    </row>
    <row r="5318" spans="6:13" x14ac:dyDescent="0.3">
      <c r="F5318" s="1"/>
    </row>
    <row r="5319" spans="6:13" x14ac:dyDescent="0.3">
      <c r="F5319" s="1"/>
    </row>
    <row r="5320" spans="6:13" x14ac:dyDescent="0.3">
      <c r="F5320" s="1"/>
    </row>
    <row r="5321" spans="6:13" x14ac:dyDescent="0.3">
      <c r="F5321" s="1"/>
    </row>
    <row r="5322" spans="6:13" x14ac:dyDescent="0.3">
      <c r="F5322" s="1"/>
    </row>
    <row r="5323" spans="6:13" x14ac:dyDescent="0.3">
      <c r="F5323" s="1"/>
    </row>
    <row r="5324" spans="6:13" x14ac:dyDescent="0.3">
      <c r="F5324" s="1"/>
    </row>
    <row r="5325" spans="6:13" x14ac:dyDescent="0.3">
      <c r="F5325" s="1"/>
    </row>
    <row r="5326" spans="6:13" x14ac:dyDescent="0.3">
      <c r="F5326" s="1"/>
      <c r="M5326" s="1"/>
    </row>
    <row r="5327" spans="6:13" x14ac:dyDescent="0.3">
      <c r="F5327" s="1"/>
    </row>
    <row r="5328" spans="6:13" x14ac:dyDescent="0.3">
      <c r="F5328" s="1"/>
    </row>
    <row r="5329" spans="6:15" x14ac:dyDescent="0.3">
      <c r="F5329" s="1"/>
    </row>
    <row r="5330" spans="6:15" x14ac:dyDescent="0.3">
      <c r="F5330" s="1"/>
      <c r="M5330" s="1"/>
    </row>
    <row r="5331" spans="6:15" x14ac:dyDescent="0.3">
      <c r="F5331" s="1"/>
    </row>
    <row r="5332" spans="6:15" x14ac:dyDescent="0.3">
      <c r="F5332" s="1"/>
      <c r="M5332" s="1"/>
    </row>
    <row r="5333" spans="6:15" x14ac:dyDescent="0.3">
      <c r="F5333" s="1"/>
    </row>
    <row r="5334" spans="6:15" x14ac:dyDescent="0.3">
      <c r="F5334" s="1"/>
      <c r="O5334" s="1"/>
    </row>
    <row r="5335" spans="6:15" x14ac:dyDescent="0.3">
      <c r="F5335" s="1"/>
    </row>
    <row r="5336" spans="6:15" x14ac:dyDescent="0.3">
      <c r="F5336" s="1"/>
    </row>
    <row r="5337" spans="6:15" x14ac:dyDescent="0.3">
      <c r="F5337" s="1"/>
    </row>
    <row r="5338" spans="6:15" x14ac:dyDescent="0.3">
      <c r="F5338" s="1"/>
    </row>
    <row r="5339" spans="6:15" x14ac:dyDescent="0.3">
      <c r="F5339" s="1"/>
    </row>
    <row r="5340" spans="6:15" x14ac:dyDescent="0.3">
      <c r="F5340" s="1"/>
    </row>
    <row r="5341" spans="6:15" x14ac:dyDescent="0.3">
      <c r="F5341" s="1"/>
    </row>
    <row r="5343" spans="6:15" x14ac:dyDescent="0.3">
      <c r="F5343" s="1"/>
    </row>
    <row r="5344" spans="6:15" x14ac:dyDescent="0.3">
      <c r="F5344" s="1"/>
    </row>
    <row r="5345" spans="6:15" x14ac:dyDescent="0.3">
      <c r="F5345" s="1"/>
    </row>
    <row r="5346" spans="6:15" x14ac:dyDescent="0.3">
      <c r="F5346" s="1"/>
    </row>
    <row r="5347" spans="6:15" x14ac:dyDescent="0.3">
      <c r="F5347" s="1"/>
    </row>
    <row r="5348" spans="6:15" x14ac:dyDescent="0.3">
      <c r="F5348" s="1"/>
    </row>
    <row r="5349" spans="6:15" x14ac:dyDescent="0.3">
      <c r="F5349" s="1"/>
    </row>
    <row r="5350" spans="6:15" x14ac:dyDescent="0.3">
      <c r="F5350" s="1"/>
      <c r="L5350" s="1"/>
      <c r="O5350" s="1"/>
    </row>
    <row r="5351" spans="6:15" x14ac:dyDescent="0.3">
      <c r="F5351" s="1"/>
    </row>
    <row r="5352" spans="6:15" x14ac:dyDescent="0.3">
      <c r="F5352" s="1"/>
    </row>
    <row r="5353" spans="6:15" x14ac:dyDescent="0.3">
      <c r="F5353" s="1"/>
    </row>
    <row r="5354" spans="6:15" x14ac:dyDescent="0.3">
      <c r="F5354" s="1"/>
    </row>
    <row r="5355" spans="6:15" x14ac:dyDescent="0.3">
      <c r="F5355" s="1"/>
    </row>
    <row r="5356" spans="6:15" x14ac:dyDescent="0.3">
      <c r="F5356" s="1"/>
    </row>
    <row r="5357" spans="6:15" x14ac:dyDescent="0.3">
      <c r="F5357" s="1"/>
    </row>
    <row r="5358" spans="6:15" x14ac:dyDescent="0.3">
      <c r="F5358" s="1"/>
      <c r="N5358" s="1"/>
    </row>
    <row r="5359" spans="6:15" x14ac:dyDescent="0.3">
      <c r="F5359" s="1"/>
    </row>
    <row r="5360" spans="6:15" x14ac:dyDescent="0.3">
      <c r="F5360" s="1"/>
    </row>
    <row r="5362" spans="6:12" x14ac:dyDescent="0.3">
      <c r="F5362" s="1"/>
    </row>
    <row r="5364" spans="6:12" x14ac:dyDescent="0.3">
      <c r="F5364" s="1"/>
    </row>
    <row r="5365" spans="6:12" x14ac:dyDescent="0.3">
      <c r="F5365" s="1"/>
    </row>
    <row r="5366" spans="6:12" x14ac:dyDescent="0.3">
      <c r="F5366" s="1"/>
    </row>
    <row r="5367" spans="6:12" x14ac:dyDescent="0.3">
      <c r="L5367" s="1"/>
    </row>
    <row r="5368" spans="6:12" x14ac:dyDescent="0.3">
      <c r="F5368" s="1"/>
    </row>
    <row r="5369" spans="6:12" x14ac:dyDescent="0.3">
      <c r="F5369" s="1"/>
    </row>
    <row r="5370" spans="6:12" x14ac:dyDescent="0.3">
      <c r="F5370" s="1"/>
    </row>
    <row r="5372" spans="6:12" x14ac:dyDescent="0.3">
      <c r="F5372" s="1"/>
      <c r="L5372" s="1"/>
    </row>
    <row r="5373" spans="6:12" x14ac:dyDescent="0.3">
      <c r="F5373" s="1"/>
    </row>
    <row r="5374" spans="6:12" x14ac:dyDescent="0.3">
      <c r="F5374" s="1"/>
    </row>
    <row r="5375" spans="6:12" x14ac:dyDescent="0.3">
      <c r="F5375" s="1"/>
    </row>
    <row r="5376" spans="6:12" x14ac:dyDescent="0.3">
      <c r="L5376" s="1"/>
    </row>
    <row r="5377" spans="6:14" x14ac:dyDescent="0.3">
      <c r="F5377" s="1"/>
    </row>
    <row r="5378" spans="6:14" x14ac:dyDescent="0.3">
      <c r="F5378" s="1"/>
    </row>
    <row r="5379" spans="6:14" x14ac:dyDescent="0.3">
      <c r="F5379" s="1"/>
    </row>
    <row r="5380" spans="6:14" x14ac:dyDescent="0.3">
      <c r="F5380" s="1"/>
      <c r="M5380" s="1"/>
    </row>
    <row r="5381" spans="6:14" x14ac:dyDescent="0.3">
      <c r="M5381" s="1"/>
    </row>
    <row r="5382" spans="6:14" x14ac:dyDescent="0.3">
      <c r="F5382" s="1"/>
    </row>
    <row r="5383" spans="6:14" x14ac:dyDescent="0.3">
      <c r="F5383" s="1"/>
    </row>
    <row r="5384" spans="6:14" x14ac:dyDescent="0.3">
      <c r="F5384" s="1"/>
    </row>
    <row r="5385" spans="6:14" x14ac:dyDescent="0.3">
      <c r="F5385" s="1"/>
    </row>
    <row r="5386" spans="6:14" x14ac:dyDescent="0.3">
      <c r="F5386" s="1"/>
    </row>
    <row r="5387" spans="6:14" x14ac:dyDescent="0.3">
      <c r="F5387" s="1"/>
    </row>
    <row r="5388" spans="6:14" x14ac:dyDescent="0.3">
      <c r="F5388" s="1"/>
    </row>
    <row r="5389" spans="6:14" x14ac:dyDescent="0.3">
      <c r="F5389" s="1"/>
    </row>
    <row r="5390" spans="6:14" x14ac:dyDescent="0.3">
      <c r="F5390" s="1"/>
      <c r="N5390" s="1"/>
    </row>
    <row r="5391" spans="6:14" x14ac:dyDescent="0.3">
      <c r="F5391" s="1"/>
    </row>
    <row r="5392" spans="6:14" x14ac:dyDescent="0.3">
      <c r="F5392" s="1"/>
      <c r="N5392" s="1"/>
    </row>
    <row r="5394" spans="6:15" x14ac:dyDescent="0.3">
      <c r="F5394" s="1"/>
    </row>
    <row r="5395" spans="6:15" x14ac:dyDescent="0.3">
      <c r="F5395" s="1"/>
    </row>
    <row r="5396" spans="6:15" x14ac:dyDescent="0.3">
      <c r="F5396" s="1"/>
    </row>
    <row r="5399" spans="6:15" x14ac:dyDescent="0.3">
      <c r="F5399" s="1"/>
    </row>
    <row r="5401" spans="6:15" x14ac:dyDescent="0.3">
      <c r="F5401" s="1"/>
    </row>
    <row r="5402" spans="6:15" x14ac:dyDescent="0.3">
      <c r="F5402" s="1"/>
    </row>
    <row r="5403" spans="6:15" x14ac:dyDescent="0.3">
      <c r="F5403" s="1"/>
    </row>
    <row r="5404" spans="6:15" x14ac:dyDescent="0.3">
      <c r="F5404" s="1"/>
    </row>
    <row r="5405" spans="6:15" x14ac:dyDescent="0.3">
      <c r="F5405" s="1"/>
    </row>
    <row r="5406" spans="6:15" x14ac:dyDescent="0.3">
      <c r="F5406" s="1"/>
    </row>
    <row r="5407" spans="6:15" x14ac:dyDescent="0.3">
      <c r="F5407" s="1"/>
      <c r="N5407" s="1"/>
      <c r="O5407" s="1"/>
    </row>
    <row r="5408" spans="6:15" x14ac:dyDescent="0.3">
      <c r="F5408" s="1"/>
    </row>
    <row r="5409" spans="6:14" x14ac:dyDescent="0.3">
      <c r="F5409" s="1"/>
    </row>
    <row r="5410" spans="6:14" x14ac:dyDescent="0.3">
      <c r="F5410" s="1"/>
    </row>
    <row r="5411" spans="6:14" x14ac:dyDescent="0.3">
      <c r="F5411" s="1"/>
    </row>
    <row r="5412" spans="6:14" x14ac:dyDescent="0.3">
      <c r="F5412" s="1"/>
    </row>
    <row r="5413" spans="6:14" x14ac:dyDescent="0.3">
      <c r="M5413" s="1"/>
    </row>
    <row r="5414" spans="6:14" x14ac:dyDescent="0.3">
      <c r="F5414" s="1"/>
    </row>
    <row r="5415" spans="6:14" x14ac:dyDescent="0.3">
      <c r="F5415" s="1"/>
    </row>
    <row r="5416" spans="6:14" x14ac:dyDescent="0.3">
      <c r="L5416" s="1"/>
    </row>
    <row r="5417" spans="6:14" x14ac:dyDescent="0.3">
      <c r="F5417" s="1"/>
    </row>
    <row r="5418" spans="6:14" x14ac:dyDescent="0.3">
      <c r="M5418" s="1"/>
      <c r="N5418" s="1"/>
    </row>
    <row r="5419" spans="6:14" x14ac:dyDescent="0.3">
      <c r="F5419" s="1"/>
    </row>
    <row r="5420" spans="6:14" x14ac:dyDescent="0.3">
      <c r="F5420" s="1"/>
    </row>
    <row r="5421" spans="6:14" x14ac:dyDescent="0.3">
      <c r="F5421" s="1"/>
    </row>
    <row r="5422" spans="6:14" x14ac:dyDescent="0.3">
      <c r="F5422" s="1"/>
    </row>
    <row r="5423" spans="6:14" x14ac:dyDescent="0.3">
      <c r="F5423" s="1"/>
    </row>
    <row r="5424" spans="6:14" x14ac:dyDescent="0.3">
      <c r="F5424" s="1"/>
    </row>
    <row r="5427" spans="6:15" x14ac:dyDescent="0.3">
      <c r="F5427" s="1"/>
    </row>
    <row r="5428" spans="6:15" x14ac:dyDescent="0.3">
      <c r="F5428" s="1"/>
    </row>
    <row r="5429" spans="6:15" x14ac:dyDescent="0.3">
      <c r="F5429" s="1"/>
    </row>
    <row r="5430" spans="6:15" x14ac:dyDescent="0.3">
      <c r="F5430" s="1"/>
      <c r="L5430" s="1"/>
      <c r="M5430" s="1"/>
      <c r="N5430" s="1"/>
      <c r="O5430" s="1"/>
    </row>
    <row r="5431" spans="6:15" x14ac:dyDescent="0.3">
      <c r="F5431" s="1"/>
    </row>
    <row r="5432" spans="6:15" x14ac:dyDescent="0.3">
      <c r="F5432" s="1"/>
    </row>
    <row r="5433" spans="6:15" x14ac:dyDescent="0.3">
      <c r="F5433" s="1"/>
    </row>
    <row r="5437" spans="6:15" x14ac:dyDescent="0.3">
      <c r="F5437" s="1"/>
    </row>
    <row r="5439" spans="6:15" x14ac:dyDescent="0.3">
      <c r="M5439" s="1"/>
    </row>
    <row r="5440" spans="6:15" x14ac:dyDescent="0.3">
      <c r="F5440" s="1"/>
    </row>
    <row r="5441" spans="6:13" x14ac:dyDescent="0.3">
      <c r="F5441" s="1"/>
    </row>
    <row r="5442" spans="6:13" x14ac:dyDescent="0.3">
      <c r="F5442" s="1"/>
    </row>
    <row r="5443" spans="6:13" x14ac:dyDescent="0.3">
      <c r="F5443" s="1"/>
    </row>
    <row r="5444" spans="6:13" x14ac:dyDescent="0.3">
      <c r="F5444" s="1"/>
    </row>
    <row r="5445" spans="6:13" x14ac:dyDescent="0.3">
      <c r="F5445" s="1"/>
    </row>
    <row r="5446" spans="6:13" x14ac:dyDescent="0.3">
      <c r="F5446" s="1"/>
    </row>
    <row r="5447" spans="6:13" x14ac:dyDescent="0.3">
      <c r="L5447" s="1"/>
    </row>
    <row r="5448" spans="6:13" x14ac:dyDescent="0.3">
      <c r="F5448" s="1"/>
    </row>
    <row r="5449" spans="6:13" x14ac:dyDescent="0.3">
      <c r="F5449" s="1"/>
    </row>
    <row r="5450" spans="6:13" x14ac:dyDescent="0.3">
      <c r="F5450" s="1"/>
    </row>
    <row r="5451" spans="6:13" x14ac:dyDescent="0.3">
      <c r="F5451" s="1"/>
    </row>
    <row r="5453" spans="6:13" x14ac:dyDescent="0.3">
      <c r="F5453" s="1"/>
    </row>
    <row r="5454" spans="6:13" x14ac:dyDescent="0.3">
      <c r="F5454" s="1"/>
    </row>
    <row r="5455" spans="6:13" x14ac:dyDescent="0.3">
      <c r="F5455" s="1"/>
    </row>
    <row r="5456" spans="6:13" x14ac:dyDescent="0.3">
      <c r="F5456" s="1"/>
      <c r="M5456" s="1"/>
    </row>
    <row r="5457" spans="6:14" x14ac:dyDescent="0.3">
      <c r="F5457" s="1"/>
    </row>
    <row r="5458" spans="6:14" x14ac:dyDescent="0.3">
      <c r="F5458" s="1"/>
    </row>
    <row r="5459" spans="6:14" x14ac:dyDescent="0.3">
      <c r="F5459" s="1"/>
    </row>
    <row r="5460" spans="6:14" x14ac:dyDescent="0.3">
      <c r="F5460" s="1"/>
    </row>
    <row r="5461" spans="6:14" x14ac:dyDescent="0.3">
      <c r="F5461" s="1"/>
    </row>
    <row r="5462" spans="6:14" x14ac:dyDescent="0.3">
      <c r="F5462" s="1"/>
    </row>
    <row r="5463" spans="6:14" x14ac:dyDescent="0.3">
      <c r="F5463" s="1"/>
      <c r="L5463" s="1"/>
    </row>
    <row r="5464" spans="6:14" x14ac:dyDescent="0.3">
      <c r="F5464" s="1"/>
    </row>
    <row r="5465" spans="6:14" x14ac:dyDescent="0.3">
      <c r="F5465" s="1"/>
    </row>
    <row r="5466" spans="6:14" x14ac:dyDescent="0.3">
      <c r="F5466" s="1"/>
    </row>
    <row r="5467" spans="6:14" x14ac:dyDescent="0.3">
      <c r="F5467" s="1"/>
      <c r="N5467" s="1"/>
    </row>
    <row r="5468" spans="6:14" x14ac:dyDescent="0.3">
      <c r="F5468" s="1"/>
    </row>
    <row r="5469" spans="6:14" x14ac:dyDescent="0.3">
      <c r="F5469" s="1"/>
    </row>
    <row r="5470" spans="6:14" x14ac:dyDescent="0.3">
      <c r="L5470" s="1"/>
      <c r="M5470" s="1"/>
    </row>
    <row r="5471" spans="6:14" x14ac:dyDescent="0.3">
      <c r="F5471" s="1"/>
      <c r="M5471" s="1"/>
    </row>
    <row r="5472" spans="6:14" x14ac:dyDescent="0.3">
      <c r="F5472" s="1"/>
    </row>
    <row r="5475" spans="6:13" x14ac:dyDescent="0.3">
      <c r="F5475" s="1"/>
    </row>
    <row r="5476" spans="6:13" x14ac:dyDescent="0.3">
      <c r="F5476" s="1"/>
    </row>
    <row r="5477" spans="6:13" x14ac:dyDescent="0.3">
      <c r="F5477" s="1"/>
    </row>
    <row r="5478" spans="6:13" x14ac:dyDescent="0.3">
      <c r="M5478" s="1"/>
    </row>
    <row r="5479" spans="6:13" x14ac:dyDescent="0.3">
      <c r="F5479" s="1"/>
    </row>
    <row r="5480" spans="6:13" x14ac:dyDescent="0.3">
      <c r="F5480" s="1"/>
    </row>
    <row r="5481" spans="6:13" x14ac:dyDescent="0.3">
      <c r="F5481" s="1"/>
    </row>
    <row r="5482" spans="6:13" x14ac:dyDescent="0.3">
      <c r="F5482" s="1"/>
    </row>
    <row r="5484" spans="6:13" x14ac:dyDescent="0.3">
      <c r="F5484" s="1"/>
    </row>
    <row r="5485" spans="6:13" x14ac:dyDescent="0.3">
      <c r="F5485" s="1"/>
    </row>
    <row r="5486" spans="6:13" x14ac:dyDescent="0.3">
      <c r="F5486" s="1"/>
    </row>
    <row r="5487" spans="6:13" x14ac:dyDescent="0.3">
      <c r="F5487" s="1"/>
    </row>
    <row r="5488" spans="6:13" x14ac:dyDescent="0.3">
      <c r="F5488" s="1"/>
    </row>
    <row r="5489" spans="6:14" x14ac:dyDescent="0.3">
      <c r="F5489" s="1"/>
    </row>
    <row r="5490" spans="6:14" x14ac:dyDescent="0.3">
      <c r="F5490" s="1"/>
    </row>
    <row r="5491" spans="6:14" x14ac:dyDescent="0.3">
      <c r="F5491" s="1"/>
    </row>
    <row r="5493" spans="6:14" x14ac:dyDescent="0.3">
      <c r="F5493" s="1"/>
    </row>
    <row r="5494" spans="6:14" x14ac:dyDescent="0.3">
      <c r="F5494" s="1"/>
    </row>
    <row r="5495" spans="6:14" x14ac:dyDescent="0.3">
      <c r="F5495" s="1"/>
    </row>
    <row r="5496" spans="6:14" x14ac:dyDescent="0.3">
      <c r="F5496" s="1"/>
      <c r="L5496" s="1"/>
      <c r="N5496" s="1"/>
    </row>
    <row r="5497" spans="6:14" x14ac:dyDescent="0.3">
      <c r="F5497" s="1"/>
    </row>
    <row r="5498" spans="6:14" x14ac:dyDescent="0.3">
      <c r="F5498" s="1"/>
      <c r="N5498" s="1"/>
    </row>
    <row r="5499" spans="6:14" x14ac:dyDescent="0.3">
      <c r="F5499" s="1"/>
    </row>
    <row r="5500" spans="6:14" x14ac:dyDescent="0.3">
      <c r="F5500" s="1"/>
    </row>
    <row r="5501" spans="6:14" x14ac:dyDescent="0.3">
      <c r="F5501" s="1"/>
    </row>
    <row r="5502" spans="6:14" x14ac:dyDescent="0.3">
      <c r="F5502" s="1"/>
    </row>
    <row r="5503" spans="6:14" x14ac:dyDescent="0.3">
      <c r="F5503" s="1"/>
    </row>
    <row r="5505" spans="6:15" x14ac:dyDescent="0.3">
      <c r="F5505" s="1"/>
    </row>
    <row r="5506" spans="6:15" x14ac:dyDescent="0.3">
      <c r="F5506" s="1"/>
    </row>
    <row r="5507" spans="6:15" x14ac:dyDescent="0.3">
      <c r="F5507" s="1"/>
    </row>
    <row r="5508" spans="6:15" x14ac:dyDescent="0.3">
      <c r="F5508" s="1"/>
    </row>
    <row r="5509" spans="6:15" x14ac:dyDescent="0.3">
      <c r="F5509" s="1"/>
    </row>
    <row r="5510" spans="6:15" x14ac:dyDescent="0.3">
      <c r="F5510" s="1"/>
    </row>
    <row r="5511" spans="6:15" x14ac:dyDescent="0.3">
      <c r="F5511" s="1"/>
    </row>
    <row r="5512" spans="6:15" x14ac:dyDescent="0.3">
      <c r="F5512" s="1"/>
    </row>
    <row r="5515" spans="6:15" x14ac:dyDescent="0.3">
      <c r="F5515" s="1"/>
    </row>
    <row r="5516" spans="6:15" x14ac:dyDescent="0.3">
      <c r="F5516" s="1"/>
    </row>
    <row r="5517" spans="6:15" x14ac:dyDescent="0.3">
      <c r="F5517" s="1"/>
    </row>
    <row r="5519" spans="6:15" x14ac:dyDescent="0.3">
      <c r="N5519" s="1"/>
      <c r="O5519" s="1"/>
    </row>
    <row r="5520" spans="6:15" x14ac:dyDescent="0.3">
      <c r="F5520" s="1"/>
    </row>
    <row r="5521" spans="6:15" x14ac:dyDescent="0.3">
      <c r="L5521" s="1"/>
      <c r="M5521" s="1"/>
      <c r="O5521" s="1"/>
    </row>
    <row r="5522" spans="6:15" x14ac:dyDescent="0.3">
      <c r="F5522" s="1"/>
    </row>
    <row r="5523" spans="6:15" x14ac:dyDescent="0.3">
      <c r="F5523" s="1"/>
    </row>
    <row r="5524" spans="6:15" x14ac:dyDescent="0.3">
      <c r="F5524" s="1"/>
    </row>
    <row r="5525" spans="6:15" x14ac:dyDescent="0.3">
      <c r="F5525" s="1"/>
    </row>
    <row r="5526" spans="6:15" x14ac:dyDescent="0.3">
      <c r="F5526" s="1"/>
    </row>
    <row r="5527" spans="6:15" x14ac:dyDescent="0.3">
      <c r="L5527" s="1"/>
    </row>
    <row r="5528" spans="6:15" x14ac:dyDescent="0.3">
      <c r="F5528" s="1"/>
    </row>
    <row r="5529" spans="6:15" x14ac:dyDescent="0.3">
      <c r="F5529" s="1"/>
    </row>
    <row r="5531" spans="6:15" x14ac:dyDescent="0.3">
      <c r="F5531" s="1"/>
    </row>
    <row r="5532" spans="6:15" x14ac:dyDescent="0.3">
      <c r="F5532" s="1"/>
    </row>
    <row r="5533" spans="6:15" x14ac:dyDescent="0.3">
      <c r="F5533" s="1"/>
    </row>
    <row r="5534" spans="6:15" x14ac:dyDescent="0.3">
      <c r="F5534" s="1"/>
    </row>
    <row r="5535" spans="6:15" x14ac:dyDescent="0.3">
      <c r="F5535" s="1"/>
    </row>
    <row r="5536" spans="6:15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13" x14ac:dyDescent="0.3">
      <c r="F5553" s="1"/>
    </row>
    <row r="5554" spans="6:13" x14ac:dyDescent="0.3">
      <c r="F5554" s="1"/>
    </row>
    <row r="5555" spans="6:13" x14ac:dyDescent="0.3">
      <c r="F5555" s="1"/>
      <c r="M5555" s="1"/>
    </row>
    <row r="5556" spans="6:13" x14ac:dyDescent="0.3">
      <c r="F5556" s="1"/>
    </row>
    <row r="5557" spans="6:13" x14ac:dyDescent="0.3">
      <c r="F5557" s="1"/>
    </row>
    <row r="5558" spans="6:13" x14ac:dyDescent="0.3">
      <c r="F5558" s="1"/>
    </row>
    <row r="5559" spans="6:13" x14ac:dyDescent="0.3">
      <c r="F5559" s="1"/>
    </row>
    <row r="5560" spans="6:13" x14ac:dyDescent="0.3">
      <c r="F5560" s="1"/>
    </row>
    <row r="5561" spans="6:13" x14ac:dyDescent="0.3">
      <c r="F5561" s="1"/>
    </row>
    <row r="5562" spans="6:13" x14ac:dyDescent="0.3">
      <c r="F5562" s="1"/>
    </row>
    <row r="5563" spans="6:13" x14ac:dyDescent="0.3">
      <c r="F5563" s="1"/>
    </row>
    <row r="5564" spans="6:13" x14ac:dyDescent="0.3">
      <c r="F5564" s="1"/>
    </row>
    <row r="5565" spans="6:13" x14ac:dyDescent="0.3">
      <c r="F5565" s="1"/>
    </row>
    <row r="5566" spans="6:13" x14ac:dyDescent="0.3">
      <c r="F5566" s="1"/>
    </row>
    <row r="5567" spans="6:13" x14ac:dyDescent="0.3">
      <c r="F5567" s="1"/>
    </row>
    <row r="5568" spans="6:13" x14ac:dyDescent="0.3">
      <c r="F5568" s="1"/>
    </row>
    <row r="5569" spans="6:14" x14ac:dyDescent="0.3">
      <c r="F5569" s="1"/>
    </row>
    <row r="5570" spans="6:14" x14ac:dyDescent="0.3">
      <c r="F5570" s="1"/>
    </row>
    <row r="5571" spans="6:14" x14ac:dyDescent="0.3">
      <c r="F5571" s="1"/>
    </row>
    <row r="5572" spans="6:14" x14ac:dyDescent="0.3">
      <c r="F5572" s="1"/>
    </row>
    <row r="5573" spans="6:14" x14ac:dyDescent="0.3">
      <c r="F5573" s="1"/>
    </row>
    <row r="5574" spans="6:14" x14ac:dyDescent="0.3">
      <c r="F5574" s="1"/>
    </row>
    <row r="5575" spans="6:14" x14ac:dyDescent="0.3">
      <c r="F5575" s="1"/>
    </row>
    <row r="5576" spans="6:14" x14ac:dyDescent="0.3">
      <c r="F5576" s="1"/>
    </row>
    <row r="5577" spans="6:14" x14ac:dyDescent="0.3">
      <c r="F5577" s="1"/>
      <c r="L5577" s="1"/>
      <c r="N5577" s="1"/>
    </row>
    <row r="5578" spans="6:14" x14ac:dyDescent="0.3">
      <c r="F5578" s="1"/>
    </row>
    <row r="5579" spans="6:14" x14ac:dyDescent="0.3">
      <c r="F5579" s="1"/>
    </row>
    <row r="5580" spans="6:14" x14ac:dyDescent="0.3">
      <c r="F5580" s="1"/>
    </row>
    <row r="5581" spans="6:14" x14ac:dyDescent="0.3">
      <c r="F5581" s="1"/>
    </row>
    <row r="5583" spans="6:14" x14ac:dyDescent="0.3">
      <c r="F5583" s="1"/>
    </row>
    <row r="5584" spans="6:14" x14ac:dyDescent="0.3">
      <c r="F5584" s="1"/>
    </row>
    <row r="5585" spans="6:13" x14ac:dyDescent="0.3">
      <c r="F5585" s="1"/>
    </row>
    <row r="5586" spans="6:13" x14ac:dyDescent="0.3">
      <c r="F5586" s="1"/>
    </row>
    <row r="5587" spans="6:13" x14ac:dyDescent="0.3">
      <c r="F5587" s="1"/>
    </row>
    <row r="5589" spans="6:13" x14ac:dyDescent="0.3">
      <c r="F5589" s="1"/>
    </row>
    <row r="5590" spans="6:13" x14ac:dyDescent="0.3">
      <c r="F5590" s="1"/>
    </row>
    <row r="5591" spans="6:13" x14ac:dyDescent="0.3">
      <c r="F5591" s="1"/>
    </row>
    <row r="5592" spans="6:13" x14ac:dyDescent="0.3">
      <c r="F5592" s="1"/>
    </row>
    <row r="5593" spans="6:13" x14ac:dyDescent="0.3">
      <c r="F5593" s="1"/>
    </row>
    <row r="5594" spans="6:13" x14ac:dyDescent="0.3">
      <c r="F5594" s="1"/>
    </row>
    <row r="5595" spans="6:13" x14ac:dyDescent="0.3">
      <c r="F5595" s="1"/>
      <c r="L5595" s="1"/>
    </row>
    <row r="5596" spans="6:13" x14ac:dyDescent="0.3">
      <c r="F5596" s="1"/>
    </row>
    <row r="5597" spans="6:13" x14ac:dyDescent="0.3">
      <c r="M5597" s="1"/>
    </row>
    <row r="5598" spans="6:13" x14ac:dyDescent="0.3">
      <c r="F5598" s="1"/>
    </row>
    <row r="5599" spans="6:13" x14ac:dyDescent="0.3">
      <c r="F5599" s="1"/>
    </row>
    <row r="5600" spans="6:13" x14ac:dyDescent="0.3">
      <c r="F5600" s="1"/>
    </row>
    <row r="5601" spans="6:15" x14ac:dyDescent="0.3">
      <c r="F5601" s="1"/>
    </row>
    <row r="5602" spans="6:15" x14ac:dyDescent="0.3">
      <c r="F5602" s="1"/>
    </row>
    <row r="5603" spans="6:15" x14ac:dyDescent="0.3">
      <c r="F5603" s="1"/>
      <c r="L5603" s="1"/>
      <c r="M5603" s="1"/>
      <c r="N5603" s="1"/>
      <c r="O5603" s="1"/>
    </row>
    <row r="5604" spans="6:15" x14ac:dyDescent="0.3">
      <c r="F5604" s="1"/>
    </row>
    <row r="5605" spans="6:15" x14ac:dyDescent="0.3">
      <c r="F5605" s="1"/>
    </row>
    <row r="5606" spans="6:15" x14ac:dyDescent="0.3">
      <c r="F5606" s="1"/>
    </row>
    <row r="5607" spans="6:15" x14ac:dyDescent="0.3">
      <c r="F5607" s="1"/>
    </row>
    <row r="5608" spans="6:15" x14ac:dyDescent="0.3">
      <c r="F5608" s="1"/>
      <c r="L5608" s="1"/>
    </row>
    <row r="5609" spans="6:15" x14ac:dyDescent="0.3">
      <c r="F5609" s="1"/>
    </row>
    <row r="5610" spans="6:15" x14ac:dyDescent="0.3">
      <c r="L5610" s="1"/>
      <c r="N5610" s="1"/>
    </row>
    <row r="5611" spans="6:15" x14ac:dyDescent="0.3">
      <c r="F5611" s="1"/>
    </row>
    <row r="5612" spans="6:15" x14ac:dyDescent="0.3">
      <c r="F5612" s="1"/>
    </row>
    <row r="5613" spans="6:15" x14ac:dyDescent="0.3">
      <c r="F5613" s="1"/>
    </row>
    <row r="5614" spans="6:15" x14ac:dyDescent="0.3">
      <c r="F5614" s="1"/>
    </row>
    <row r="5615" spans="6:15" x14ac:dyDescent="0.3">
      <c r="F5615" s="1"/>
    </row>
    <row r="5616" spans="6:15" x14ac:dyDescent="0.3">
      <c r="F5616" s="1"/>
    </row>
    <row r="5617" spans="6:15" x14ac:dyDescent="0.3">
      <c r="F5617" s="1"/>
    </row>
    <row r="5618" spans="6:15" x14ac:dyDescent="0.3">
      <c r="F5618" s="1"/>
    </row>
    <row r="5619" spans="6:15" x14ac:dyDescent="0.3">
      <c r="F5619" s="1"/>
      <c r="L5619" s="1"/>
      <c r="M5619" s="1"/>
      <c r="N5619" s="1"/>
    </row>
    <row r="5620" spans="6:15" x14ac:dyDescent="0.3">
      <c r="F5620" s="1"/>
    </row>
    <row r="5621" spans="6:15" x14ac:dyDescent="0.3">
      <c r="F5621" s="1"/>
    </row>
    <row r="5622" spans="6:15" x14ac:dyDescent="0.3">
      <c r="F5622" s="1"/>
    </row>
    <row r="5623" spans="6:15" x14ac:dyDescent="0.3">
      <c r="F5623" s="1"/>
    </row>
    <row r="5624" spans="6:15" x14ac:dyDescent="0.3">
      <c r="F5624" s="1"/>
    </row>
    <row r="5625" spans="6:15" x14ac:dyDescent="0.3">
      <c r="F5625" s="1"/>
    </row>
    <row r="5626" spans="6:15" x14ac:dyDescent="0.3">
      <c r="F5626" s="1"/>
    </row>
    <row r="5627" spans="6:15" x14ac:dyDescent="0.3">
      <c r="F5627" s="1"/>
    </row>
    <row r="5629" spans="6:15" x14ac:dyDescent="0.3">
      <c r="F5629" s="1"/>
      <c r="N5629" s="1"/>
      <c r="O5629" s="1"/>
    </row>
    <row r="5630" spans="6:15" x14ac:dyDescent="0.3">
      <c r="F5630" s="1"/>
    </row>
    <row r="5631" spans="6:15" x14ac:dyDescent="0.3">
      <c r="F5631" s="1"/>
    </row>
    <row r="5632" spans="6:15" x14ac:dyDescent="0.3">
      <c r="F5632" s="1"/>
    </row>
    <row r="5633" spans="6:15" x14ac:dyDescent="0.3">
      <c r="F5633" s="1"/>
    </row>
    <row r="5634" spans="6:15" x14ac:dyDescent="0.3">
      <c r="F5634" s="1"/>
      <c r="L5634" s="1"/>
    </row>
    <row r="5635" spans="6:15" x14ac:dyDescent="0.3">
      <c r="F5635" s="1"/>
    </row>
    <row r="5636" spans="6:15" x14ac:dyDescent="0.3">
      <c r="F5636" s="1"/>
    </row>
    <row r="5637" spans="6:15" x14ac:dyDescent="0.3">
      <c r="F5637" s="1"/>
    </row>
    <row r="5638" spans="6:15" x14ac:dyDescent="0.3">
      <c r="F5638" s="1"/>
      <c r="L5638" s="1"/>
    </row>
    <row r="5639" spans="6:15" x14ac:dyDescent="0.3">
      <c r="F5639" s="1"/>
    </row>
    <row r="5640" spans="6:15" x14ac:dyDescent="0.3">
      <c r="F5640" s="1"/>
      <c r="L5640" s="1"/>
      <c r="M5640" s="1"/>
      <c r="N5640" s="1"/>
      <c r="O5640" s="1"/>
    </row>
    <row r="5641" spans="6:15" x14ac:dyDescent="0.3">
      <c r="L5641" s="1"/>
      <c r="M5641" s="1"/>
      <c r="N5641" s="1"/>
      <c r="O5641" s="1"/>
    </row>
    <row r="5642" spans="6:15" x14ac:dyDescent="0.3">
      <c r="F5642" s="1"/>
    </row>
    <row r="5643" spans="6:15" x14ac:dyDescent="0.3">
      <c r="F5643" s="1"/>
    </row>
    <row r="5644" spans="6:15" x14ac:dyDescent="0.3">
      <c r="F5644" s="1"/>
    </row>
    <row r="5645" spans="6:15" x14ac:dyDescent="0.3">
      <c r="F5645" s="1"/>
    </row>
    <row r="5646" spans="6:15" x14ac:dyDescent="0.3">
      <c r="F5646" s="1"/>
    </row>
    <row r="5647" spans="6:15" x14ac:dyDescent="0.3">
      <c r="F5647" s="1"/>
    </row>
    <row r="5648" spans="6:15" x14ac:dyDescent="0.3">
      <c r="F5648" s="1"/>
    </row>
    <row r="5649" spans="6:15" x14ac:dyDescent="0.3">
      <c r="F5649" s="1"/>
    </row>
    <row r="5650" spans="6:15" x14ac:dyDescent="0.3">
      <c r="F5650" s="1"/>
    </row>
    <row r="5651" spans="6:15" x14ac:dyDescent="0.3">
      <c r="F5651" s="1"/>
    </row>
    <row r="5652" spans="6:15" x14ac:dyDescent="0.3">
      <c r="F5652" s="1"/>
    </row>
    <row r="5653" spans="6:15" x14ac:dyDescent="0.3">
      <c r="M5653" s="1"/>
      <c r="N5653" s="1"/>
      <c r="O5653" s="1"/>
    </row>
    <row r="5654" spans="6:15" x14ac:dyDescent="0.3">
      <c r="F5654" s="1"/>
    </row>
    <row r="5656" spans="6:15" x14ac:dyDescent="0.3">
      <c r="F5656" s="1"/>
    </row>
    <row r="5657" spans="6:15" x14ac:dyDescent="0.3">
      <c r="F5657" s="1"/>
    </row>
    <row r="5658" spans="6:15" x14ac:dyDescent="0.3">
      <c r="F5658" s="1"/>
    </row>
    <row r="5659" spans="6:15" x14ac:dyDescent="0.3">
      <c r="F5659" s="1"/>
      <c r="L5659" s="1"/>
      <c r="O5659" s="1"/>
    </row>
    <row r="5660" spans="6:15" x14ac:dyDescent="0.3">
      <c r="F5660" s="1"/>
    </row>
    <row r="5661" spans="6:15" x14ac:dyDescent="0.3">
      <c r="F5661" s="1"/>
    </row>
    <row r="5662" spans="6:15" x14ac:dyDescent="0.3">
      <c r="F5662" s="1"/>
    </row>
    <row r="5663" spans="6:15" x14ac:dyDescent="0.3">
      <c r="F5663" s="1"/>
    </row>
    <row r="5664" spans="6:15" x14ac:dyDescent="0.3">
      <c r="F5664" s="1"/>
    </row>
    <row r="5666" spans="6:13" x14ac:dyDescent="0.3">
      <c r="F5666" s="1"/>
    </row>
    <row r="5667" spans="6:13" x14ac:dyDescent="0.3">
      <c r="F5667" s="1"/>
    </row>
    <row r="5668" spans="6:13" x14ac:dyDescent="0.3">
      <c r="F5668" s="1"/>
    </row>
    <row r="5669" spans="6:13" x14ac:dyDescent="0.3">
      <c r="F5669" s="1"/>
    </row>
    <row r="5670" spans="6:13" x14ac:dyDescent="0.3">
      <c r="F5670" s="1"/>
    </row>
    <row r="5671" spans="6:13" x14ac:dyDescent="0.3">
      <c r="M5671" s="1"/>
    </row>
    <row r="5672" spans="6:13" x14ac:dyDescent="0.3">
      <c r="F5672" s="1"/>
    </row>
    <row r="5673" spans="6:13" x14ac:dyDescent="0.3">
      <c r="F5673" s="1"/>
    </row>
    <row r="5674" spans="6:13" x14ac:dyDescent="0.3">
      <c r="F5674" s="1"/>
    </row>
    <row r="5675" spans="6:13" x14ac:dyDescent="0.3">
      <c r="F5675" s="1"/>
    </row>
    <row r="5676" spans="6:13" x14ac:dyDescent="0.3">
      <c r="F5676" s="1"/>
    </row>
    <row r="5678" spans="6:13" x14ac:dyDescent="0.3">
      <c r="F5678" s="1"/>
    </row>
    <row r="5679" spans="6:13" x14ac:dyDescent="0.3">
      <c r="F5679" s="1"/>
    </row>
    <row r="5680" spans="6:13" x14ac:dyDescent="0.3">
      <c r="F5680" s="1"/>
    </row>
    <row r="5681" spans="6:14" x14ac:dyDescent="0.3">
      <c r="F5681" s="1"/>
    </row>
    <row r="5682" spans="6:14" x14ac:dyDescent="0.3">
      <c r="F5682" s="1"/>
    </row>
    <row r="5683" spans="6:14" x14ac:dyDescent="0.3">
      <c r="F5683" s="1"/>
      <c r="N5683" s="1"/>
    </row>
    <row r="5684" spans="6:14" x14ac:dyDescent="0.3">
      <c r="F5684" s="1"/>
    </row>
    <row r="5685" spans="6:14" x14ac:dyDescent="0.3">
      <c r="F5685" s="1"/>
    </row>
    <row r="5687" spans="6:14" x14ac:dyDescent="0.3">
      <c r="F5687" s="1"/>
    </row>
    <row r="5688" spans="6:14" x14ac:dyDescent="0.3">
      <c r="F5688" s="1"/>
      <c r="L5688" s="1"/>
    </row>
    <row r="5689" spans="6:14" x14ac:dyDescent="0.3">
      <c r="F5689" s="1"/>
    </row>
    <row r="5691" spans="6:14" x14ac:dyDescent="0.3">
      <c r="F5691" s="1"/>
    </row>
    <row r="5692" spans="6:14" x14ac:dyDescent="0.3">
      <c r="F5692" s="1"/>
    </row>
    <row r="5693" spans="6:14" x14ac:dyDescent="0.3">
      <c r="F5693" s="1"/>
    </row>
    <row r="5694" spans="6:14" x14ac:dyDescent="0.3">
      <c r="F5694" s="1"/>
    </row>
    <row r="5695" spans="6:14" x14ac:dyDescent="0.3">
      <c r="F5695" s="1"/>
    </row>
    <row r="5696" spans="6:14" x14ac:dyDescent="0.3">
      <c r="F5696" s="1"/>
    </row>
    <row r="5697" spans="6:15" x14ac:dyDescent="0.3">
      <c r="F5697" s="1"/>
    </row>
    <row r="5698" spans="6:15" x14ac:dyDescent="0.3">
      <c r="F5698" s="1"/>
    </row>
    <row r="5699" spans="6:15" x14ac:dyDescent="0.3">
      <c r="F5699" s="1"/>
    </row>
    <row r="5700" spans="6:15" x14ac:dyDescent="0.3">
      <c r="F5700" s="1"/>
    </row>
    <row r="5701" spans="6:15" x14ac:dyDescent="0.3">
      <c r="F5701" s="1"/>
    </row>
    <row r="5702" spans="6:15" x14ac:dyDescent="0.3">
      <c r="F5702" s="1"/>
    </row>
    <row r="5703" spans="6:15" x14ac:dyDescent="0.3">
      <c r="F5703" s="1"/>
    </row>
    <row r="5704" spans="6:15" x14ac:dyDescent="0.3">
      <c r="F5704" s="1"/>
    </row>
    <row r="5705" spans="6:15" x14ac:dyDescent="0.3">
      <c r="M5705" s="1"/>
      <c r="N5705" s="1"/>
      <c r="O5705" s="1"/>
    </row>
    <row r="5706" spans="6:15" x14ac:dyDescent="0.3">
      <c r="F5706" s="1"/>
    </row>
    <row r="5707" spans="6:15" x14ac:dyDescent="0.3">
      <c r="L5707" s="1"/>
      <c r="O5707" s="1"/>
    </row>
    <row r="5708" spans="6:15" x14ac:dyDescent="0.3">
      <c r="F5708" s="1"/>
    </row>
    <row r="5709" spans="6:15" x14ac:dyDescent="0.3">
      <c r="F5709" s="1"/>
    </row>
    <row r="5710" spans="6:15" x14ac:dyDescent="0.3">
      <c r="L5710" s="1"/>
    </row>
    <row r="5711" spans="6:15" x14ac:dyDescent="0.3">
      <c r="F5711" s="1"/>
    </row>
    <row r="5714" spans="6:14" x14ac:dyDescent="0.3">
      <c r="F5714" s="1"/>
    </row>
    <row r="5715" spans="6:14" x14ac:dyDescent="0.3">
      <c r="F5715" s="1"/>
    </row>
    <row r="5716" spans="6:14" x14ac:dyDescent="0.3">
      <c r="F5716" s="1"/>
    </row>
    <row r="5717" spans="6:14" x14ac:dyDescent="0.3">
      <c r="F5717" s="1"/>
    </row>
    <row r="5718" spans="6:14" x14ac:dyDescent="0.3">
      <c r="F5718" s="1"/>
    </row>
    <row r="5719" spans="6:14" x14ac:dyDescent="0.3">
      <c r="F5719" s="1"/>
    </row>
    <row r="5720" spans="6:14" x14ac:dyDescent="0.3">
      <c r="F5720" s="1"/>
    </row>
    <row r="5721" spans="6:14" x14ac:dyDescent="0.3">
      <c r="F5721" s="1"/>
    </row>
    <row r="5722" spans="6:14" x14ac:dyDescent="0.3">
      <c r="L5722" s="1"/>
      <c r="N5722" s="1"/>
    </row>
    <row r="5723" spans="6:14" x14ac:dyDescent="0.3">
      <c r="F5723" s="1"/>
    </row>
    <row r="5724" spans="6:14" x14ac:dyDescent="0.3">
      <c r="F5724" s="1"/>
    </row>
    <row r="5725" spans="6:14" x14ac:dyDescent="0.3">
      <c r="F5725" s="1"/>
    </row>
    <row r="5726" spans="6:14" x14ac:dyDescent="0.3">
      <c r="F5726" s="1"/>
    </row>
    <row r="5727" spans="6:14" x14ac:dyDescent="0.3">
      <c r="F5727" s="1"/>
      <c r="M5727" s="1"/>
    </row>
    <row r="5728" spans="6:14" x14ac:dyDescent="0.3">
      <c r="F5728" s="1"/>
    </row>
    <row r="5729" spans="6:15" x14ac:dyDescent="0.3">
      <c r="F5729" s="1"/>
      <c r="M5729" s="1"/>
    </row>
    <row r="5730" spans="6:15" x14ac:dyDescent="0.3">
      <c r="F5730" s="1"/>
    </row>
    <row r="5731" spans="6:15" x14ac:dyDescent="0.3">
      <c r="F5731" s="1"/>
    </row>
    <row r="5732" spans="6:15" x14ac:dyDescent="0.3">
      <c r="M5732" s="1"/>
      <c r="O5732" s="1"/>
    </row>
    <row r="5733" spans="6:15" x14ac:dyDescent="0.3">
      <c r="F5733" s="1"/>
    </row>
    <row r="5734" spans="6:15" x14ac:dyDescent="0.3">
      <c r="F5734" s="1"/>
    </row>
    <row r="5735" spans="6:15" x14ac:dyDescent="0.3">
      <c r="F5735" s="1"/>
    </row>
    <row r="5736" spans="6:15" x14ac:dyDescent="0.3">
      <c r="F5736" s="1"/>
    </row>
    <row r="5737" spans="6:15" x14ac:dyDescent="0.3">
      <c r="F5737" s="1"/>
    </row>
    <row r="5739" spans="6:15" x14ac:dyDescent="0.3">
      <c r="F5739" s="1"/>
    </row>
    <row r="5740" spans="6:15" x14ac:dyDescent="0.3">
      <c r="F5740" s="1"/>
    </row>
    <row r="5741" spans="6:15" x14ac:dyDescent="0.3">
      <c r="F5741" s="1"/>
    </row>
    <row r="5742" spans="6:15" x14ac:dyDescent="0.3">
      <c r="F5742" s="1"/>
    </row>
    <row r="5743" spans="6:15" x14ac:dyDescent="0.3">
      <c r="F5743" s="1"/>
    </row>
    <row r="5744" spans="6:15" x14ac:dyDescent="0.3">
      <c r="F5744" s="1"/>
    </row>
    <row r="5745" spans="6:15" x14ac:dyDescent="0.3">
      <c r="F5745" s="1"/>
    </row>
    <row r="5746" spans="6:15" x14ac:dyDescent="0.3">
      <c r="L5746" s="1"/>
      <c r="M5746" s="1"/>
      <c r="O5746" s="1"/>
    </row>
    <row r="5748" spans="6:15" x14ac:dyDescent="0.3">
      <c r="F5748" s="1"/>
    </row>
    <row r="5750" spans="6:15" x14ac:dyDescent="0.3">
      <c r="F5750" s="1"/>
    </row>
    <row r="5752" spans="6:15" x14ac:dyDescent="0.3">
      <c r="F5752" s="1"/>
    </row>
    <row r="5753" spans="6:15" x14ac:dyDescent="0.3">
      <c r="F5753" s="1"/>
    </row>
    <row r="5754" spans="6:15" x14ac:dyDescent="0.3">
      <c r="F5754" s="1"/>
    </row>
    <row r="5755" spans="6:15" x14ac:dyDescent="0.3">
      <c r="F5755" s="1"/>
    </row>
    <row r="5756" spans="6:15" x14ac:dyDescent="0.3">
      <c r="F5756" s="1"/>
    </row>
    <row r="5758" spans="6:15" x14ac:dyDescent="0.3">
      <c r="F5758" s="1"/>
    </row>
    <row r="5759" spans="6:15" x14ac:dyDescent="0.3">
      <c r="O5759" s="1"/>
    </row>
    <row r="5760" spans="6:15" x14ac:dyDescent="0.3">
      <c r="F5760" s="1"/>
    </row>
    <row r="5761" spans="6:12" x14ac:dyDescent="0.3">
      <c r="F5761" s="1"/>
    </row>
    <row r="5762" spans="6:12" x14ac:dyDescent="0.3">
      <c r="F5762" s="1"/>
    </row>
    <row r="5763" spans="6:12" x14ac:dyDescent="0.3">
      <c r="F5763" s="1"/>
    </row>
    <row r="5764" spans="6:12" x14ac:dyDescent="0.3">
      <c r="F5764" s="1"/>
    </row>
    <row r="5765" spans="6:12" x14ac:dyDescent="0.3">
      <c r="F5765" s="1"/>
    </row>
    <row r="5766" spans="6:12" x14ac:dyDescent="0.3">
      <c r="F5766" s="1"/>
    </row>
    <row r="5767" spans="6:12" x14ac:dyDescent="0.3">
      <c r="F5767" s="1"/>
      <c r="L5767" s="1"/>
    </row>
    <row r="5768" spans="6:12" x14ac:dyDescent="0.3">
      <c r="F5768" s="1"/>
    </row>
    <row r="5769" spans="6:12" x14ac:dyDescent="0.3">
      <c r="F5769" s="1"/>
    </row>
    <row r="5770" spans="6:12" x14ac:dyDescent="0.3">
      <c r="F5770" s="1"/>
    </row>
    <row r="5771" spans="6:12" x14ac:dyDescent="0.3">
      <c r="F5771" s="1"/>
    </row>
    <row r="5773" spans="6:12" x14ac:dyDescent="0.3">
      <c r="F5773" s="1"/>
    </row>
    <row r="5774" spans="6:12" x14ac:dyDescent="0.3">
      <c r="F5774" s="1"/>
    </row>
    <row r="5775" spans="6:12" x14ac:dyDescent="0.3">
      <c r="F5775" s="1"/>
    </row>
    <row r="5776" spans="6:12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9" spans="6:6" x14ac:dyDescent="0.3">
      <c r="F5789" s="1"/>
    </row>
    <row r="5790" spans="6:6" x14ac:dyDescent="0.3">
      <c r="F5790" s="1"/>
    </row>
    <row r="5792" spans="6:6" x14ac:dyDescent="0.3">
      <c r="F5792" s="1"/>
    </row>
    <row r="5793" spans="6:15" x14ac:dyDescent="0.3">
      <c r="F5793" s="1"/>
    </row>
    <row r="5794" spans="6:15" x14ac:dyDescent="0.3">
      <c r="F5794" s="1"/>
    </row>
    <row r="5795" spans="6:15" x14ac:dyDescent="0.3">
      <c r="F5795" s="1"/>
    </row>
    <row r="5796" spans="6:15" x14ac:dyDescent="0.3">
      <c r="F5796" s="1"/>
    </row>
    <row r="5797" spans="6:15" x14ac:dyDescent="0.3">
      <c r="F5797" s="1"/>
    </row>
    <row r="5798" spans="6:15" x14ac:dyDescent="0.3">
      <c r="F5798" s="1"/>
    </row>
    <row r="5799" spans="6:15" x14ac:dyDescent="0.3">
      <c r="F5799" s="1"/>
    </row>
    <row r="5800" spans="6:15" x14ac:dyDescent="0.3">
      <c r="F5800" s="1"/>
      <c r="L5800" s="1"/>
      <c r="M5800" s="1"/>
      <c r="O5800" s="1"/>
    </row>
    <row r="5801" spans="6:15" x14ac:dyDescent="0.3">
      <c r="F5801" s="1"/>
    </row>
    <row r="5803" spans="6:15" x14ac:dyDescent="0.3">
      <c r="F5803" s="1"/>
    </row>
    <row r="5804" spans="6:15" x14ac:dyDescent="0.3">
      <c r="F5804" s="1"/>
    </row>
    <row r="5805" spans="6:15" x14ac:dyDescent="0.3">
      <c r="F5805" s="1"/>
      <c r="L5805" s="1"/>
      <c r="N5805" s="1"/>
    </row>
    <row r="5806" spans="6:15" x14ac:dyDescent="0.3">
      <c r="F5806" s="1"/>
      <c r="L5806" s="1"/>
      <c r="N5806" s="1"/>
      <c r="O5806" s="1"/>
    </row>
    <row r="5807" spans="6:15" x14ac:dyDescent="0.3">
      <c r="F5807" s="1"/>
    </row>
    <row r="5808" spans="6:15" x14ac:dyDescent="0.3">
      <c r="F5808" s="1"/>
    </row>
    <row r="5809" spans="6:13" x14ac:dyDescent="0.3">
      <c r="F5809" s="1"/>
    </row>
    <row r="5810" spans="6:13" x14ac:dyDescent="0.3">
      <c r="F5810" s="1"/>
    </row>
    <row r="5811" spans="6:13" x14ac:dyDescent="0.3">
      <c r="L5811" s="1"/>
      <c r="M5811" s="1"/>
    </row>
    <row r="5812" spans="6:13" x14ac:dyDescent="0.3">
      <c r="F5812" s="1"/>
    </row>
    <row r="5813" spans="6:13" x14ac:dyDescent="0.3">
      <c r="F5813" s="1"/>
    </row>
    <row r="5814" spans="6:13" x14ac:dyDescent="0.3">
      <c r="F5814" s="1"/>
    </row>
    <row r="5815" spans="6:13" x14ac:dyDescent="0.3">
      <c r="F5815" s="1"/>
    </row>
    <row r="5816" spans="6:13" x14ac:dyDescent="0.3">
      <c r="F5816" s="1"/>
    </row>
    <row r="5817" spans="6:13" x14ac:dyDescent="0.3">
      <c r="F5817" s="1"/>
    </row>
    <row r="5818" spans="6:13" x14ac:dyDescent="0.3">
      <c r="F5818" s="1"/>
    </row>
    <row r="5820" spans="6:13" x14ac:dyDescent="0.3">
      <c r="F5820" s="1"/>
    </row>
    <row r="5821" spans="6:13" x14ac:dyDescent="0.3">
      <c r="F5821" s="1"/>
    </row>
    <row r="5822" spans="6:13" x14ac:dyDescent="0.3">
      <c r="F5822" s="1"/>
    </row>
    <row r="5823" spans="6:13" x14ac:dyDescent="0.3">
      <c r="F5823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40" spans="6:6" x14ac:dyDescent="0.3">
      <c r="F5840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15" x14ac:dyDescent="0.3">
      <c r="F5857" s="1"/>
    </row>
    <row r="5858" spans="6:15" x14ac:dyDescent="0.3">
      <c r="F5858" s="1"/>
    </row>
    <row r="5859" spans="6:15" x14ac:dyDescent="0.3">
      <c r="F5859" s="1"/>
    </row>
    <row r="5861" spans="6:15" x14ac:dyDescent="0.3">
      <c r="F5861" s="1"/>
    </row>
    <row r="5863" spans="6:15" x14ac:dyDescent="0.3">
      <c r="F5863" s="1"/>
    </row>
    <row r="5864" spans="6:15" x14ac:dyDescent="0.3">
      <c r="F5864" s="1"/>
    </row>
    <row r="5865" spans="6:15" x14ac:dyDescent="0.3">
      <c r="F5865" s="1"/>
    </row>
    <row r="5866" spans="6:15" x14ac:dyDescent="0.3">
      <c r="F5866" s="1"/>
      <c r="L5866" s="1"/>
      <c r="M5866" s="1"/>
      <c r="O5866" s="1"/>
    </row>
    <row r="5867" spans="6:15" x14ac:dyDescent="0.3">
      <c r="F5867" s="1"/>
      <c r="L5867" s="1"/>
    </row>
    <row r="5868" spans="6:15" x14ac:dyDescent="0.3">
      <c r="F5868" s="1"/>
    </row>
    <row r="5869" spans="6:15" x14ac:dyDescent="0.3">
      <c r="F5869" s="1"/>
    </row>
    <row r="5870" spans="6:15" x14ac:dyDescent="0.3">
      <c r="F5870" s="1"/>
    </row>
    <row r="5871" spans="6:15" x14ac:dyDescent="0.3">
      <c r="F5871" s="1"/>
    </row>
    <row r="5872" spans="6:15" x14ac:dyDescent="0.3">
      <c r="F5872" s="1"/>
    </row>
    <row r="5873" spans="6:15" x14ac:dyDescent="0.3">
      <c r="F5873" s="1"/>
    </row>
    <row r="5874" spans="6:15" x14ac:dyDescent="0.3">
      <c r="F5874" s="1"/>
    </row>
    <row r="5875" spans="6:15" x14ac:dyDescent="0.3">
      <c r="F5875" s="1"/>
    </row>
    <row r="5876" spans="6:15" x14ac:dyDescent="0.3">
      <c r="F5876" s="1"/>
    </row>
    <row r="5878" spans="6:15" x14ac:dyDescent="0.3">
      <c r="L5878" s="1"/>
      <c r="M5878" s="1"/>
      <c r="N5878" s="1"/>
      <c r="O5878" s="1"/>
    </row>
    <row r="5879" spans="6:15" x14ac:dyDescent="0.3">
      <c r="F5879" s="1"/>
    </row>
    <row r="5880" spans="6:15" x14ac:dyDescent="0.3">
      <c r="F5880" s="1"/>
    </row>
    <row r="5881" spans="6:15" x14ac:dyDescent="0.3">
      <c r="F5881" s="1"/>
    </row>
    <row r="5882" spans="6:15" x14ac:dyDescent="0.3">
      <c r="F5882" s="1"/>
    </row>
    <row r="5886" spans="6:15" x14ac:dyDescent="0.3">
      <c r="F5886" s="1"/>
    </row>
    <row r="5887" spans="6:15" x14ac:dyDescent="0.3">
      <c r="F5887" s="1"/>
    </row>
    <row r="5889" spans="6:15" x14ac:dyDescent="0.3">
      <c r="F5889" s="1"/>
      <c r="L5889" s="1"/>
      <c r="O5889" s="1"/>
    </row>
    <row r="5890" spans="6:15" x14ac:dyDescent="0.3">
      <c r="F5890" s="1"/>
    </row>
    <row r="5891" spans="6:15" x14ac:dyDescent="0.3">
      <c r="F5891" s="1"/>
    </row>
    <row r="5892" spans="6:15" x14ac:dyDescent="0.3">
      <c r="F5892" s="1"/>
    </row>
    <row r="5894" spans="6:15" x14ac:dyDescent="0.3">
      <c r="F5894" s="1"/>
    </row>
    <row r="5895" spans="6:15" x14ac:dyDescent="0.3">
      <c r="F5895" s="1"/>
    </row>
    <row r="5896" spans="6:15" x14ac:dyDescent="0.3">
      <c r="F5896" s="1"/>
    </row>
    <row r="5898" spans="6:15" x14ac:dyDescent="0.3">
      <c r="F5898" s="1"/>
      <c r="L5898" s="1"/>
      <c r="M5898" s="1"/>
      <c r="N5898" s="1"/>
    </row>
    <row r="5899" spans="6:15" x14ac:dyDescent="0.3">
      <c r="F5899" s="1"/>
    </row>
    <row r="5900" spans="6:15" x14ac:dyDescent="0.3">
      <c r="F5900" s="1"/>
    </row>
    <row r="5901" spans="6:15" x14ac:dyDescent="0.3">
      <c r="F5901" s="1"/>
    </row>
    <row r="5903" spans="6:15" x14ac:dyDescent="0.3">
      <c r="F5903" s="1"/>
    </row>
    <row r="5904" spans="6:15" x14ac:dyDescent="0.3">
      <c r="F5904" s="1"/>
    </row>
    <row r="5905" spans="6:14" x14ac:dyDescent="0.3">
      <c r="F5905" s="1"/>
    </row>
    <row r="5906" spans="6:14" x14ac:dyDescent="0.3">
      <c r="F5906" s="1"/>
    </row>
    <row r="5907" spans="6:14" x14ac:dyDescent="0.3">
      <c r="F5907" s="1"/>
    </row>
    <row r="5908" spans="6:14" x14ac:dyDescent="0.3">
      <c r="F5908" s="1"/>
    </row>
    <row r="5909" spans="6:14" x14ac:dyDescent="0.3">
      <c r="F5909" s="1"/>
    </row>
    <row r="5910" spans="6:14" x14ac:dyDescent="0.3">
      <c r="F5910" s="1"/>
    </row>
    <row r="5911" spans="6:14" x14ac:dyDescent="0.3">
      <c r="F5911" s="1"/>
    </row>
    <row r="5912" spans="6:14" x14ac:dyDescent="0.3">
      <c r="F5912" s="1"/>
    </row>
    <row r="5914" spans="6:14" x14ac:dyDescent="0.3">
      <c r="F5914" s="1"/>
    </row>
    <row r="5915" spans="6:14" x14ac:dyDescent="0.3">
      <c r="F5915" s="1"/>
      <c r="L5915" s="1"/>
      <c r="M5915" s="1"/>
      <c r="N5915" s="1"/>
    </row>
    <row r="5916" spans="6:14" x14ac:dyDescent="0.3">
      <c r="F5916" s="1"/>
    </row>
    <row r="5917" spans="6:14" x14ac:dyDescent="0.3">
      <c r="F5917" s="1"/>
      <c r="M5917" s="1"/>
    </row>
    <row r="5918" spans="6:14" x14ac:dyDescent="0.3">
      <c r="F5918" s="1"/>
    </row>
    <row r="5919" spans="6:14" x14ac:dyDescent="0.3">
      <c r="F5919" s="1"/>
    </row>
    <row r="5920" spans="6:14" x14ac:dyDescent="0.3">
      <c r="L5920" s="1"/>
    </row>
    <row r="5921" spans="6:14" x14ac:dyDescent="0.3">
      <c r="F5921" s="1"/>
    </row>
    <row r="5922" spans="6:14" x14ac:dyDescent="0.3">
      <c r="F5922" s="1"/>
    </row>
    <row r="5923" spans="6:14" x14ac:dyDescent="0.3">
      <c r="F5923" s="1"/>
    </row>
    <row r="5924" spans="6:14" x14ac:dyDescent="0.3">
      <c r="F5924" s="1"/>
    </row>
    <row r="5925" spans="6:14" x14ac:dyDescent="0.3">
      <c r="F5925" s="1"/>
    </row>
    <row r="5927" spans="6:14" x14ac:dyDescent="0.3">
      <c r="F5927" s="1"/>
    </row>
    <row r="5929" spans="6:14" x14ac:dyDescent="0.3">
      <c r="F5929" s="1"/>
    </row>
    <row r="5930" spans="6:14" x14ac:dyDescent="0.3">
      <c r="F5930" s="1"/>
    </row>
    <row r="5931" spans="6:14" x14ac:dyDescent="0.3">
      <c r="F5931" s="1"/>
    </row>
    <row r="5932" spans="6:14" x14ac:dyDescent="0.3">
      <c r="F5932" s="1"/>
    </row>
    <row r="5934" spans="6:14" x14ac:dyDescent="0.3">
      <c r="F5934" s="1"/>
    </row>
    <row r="5935" spans="6:14" x14ac:dyDescent="0.3">
      <c r="F5935" s="1"/>
      <c r="M5935" s="1"/>
      <c r="N5935" s="1"/>
    </row>
    <row r="5936" spans="6:14" x14ac:dyDescent="0.3">
      <c r="F5936" s="1"/>
    </row>
    <row r="5938" spans="6:15" x14ac:dyDescent="0.3">
      <c r="F5938" s="1"/>
    </row>
    <row r="5939" spans="6:15" x14ac:dyDescent="0.3">
      <c r="F5939" s="1"/>
    </row>
    <row r="5940" spans="6:15" x14ac:dyDescent="0.3">
      <c r="F5940" s="1"/>
    </row>
    <row r="5941" spans="6:15" x14ac:dyDescent="0.3">
      <c r="F5941" s="1"/>
    </row>
    <row r="5942" spans="6:15" x14ac:dyDescent="0.3">
      <c r="F5942" s="1"/>
    </row>
    <row r="5943" spans="6:15" x14ac:dyDescent="0.3">
      <c r="F5943" s="1"/>
    </row>
    <row r="5944" spans="6:15" x14ac:dyDescent="0.3">
      <c r="F5944" s="1"/>
    </row>
    <row r="5945" spans="6:15" x14ac:dyDescent="0.3">
      <c r="F5945" s="1"/>
    </row>
    <row r="5946" spans="6:15" x14ac:dyDescent="0.3">
      <c r="F5946" s="1"/>
    </row>
    <row r="5947" spans="6:15" x14ac:dyDescent="0.3">
      <c r="F5947" s="1"/>
    </row>
    <row r="5948" spans="6:15" x14ac:dyDescent="0.3">
      <c r="L5948" s="1"/>
      <c r="M5948" s="1"/>
      <c r="N5948" s="1"/>
      <c r="O5948" s="1"/>
    </row>
    <row r="5950" spans="6:15" x14ac:dyDescent="0.3">
      <c r="F5950" s="1"/>
      <c r="N5950" s="1"/>
    </row>
    <row r="5951" spans="6:15" x14ac:dyDescent="0.3">
      <c r="F5951" s="1"/>
    </row>
    <row r="5952" spans="6:15" x14ac:dyDescent="0.3">
      <c r="F5952" s="1"/>
      <c r="L5952" s="1"/>
    </row>
    <row r="5953" spans="6:14" x14ac:dyDescent="0.3">
      <c r="F5953" s="1"/>
    </row>
    <row r="5954" spans="6:14" x14ac:dyDescent="0.3">
      <c r="F5954" s="1"/>
    </row>
    <row r="5955" spans="6:14" x14ac:dyDescent="0.3">
      <c r="F5955" s="1"/>
    </row>
    <row r="5956" spans="6:14" x14ac:dyDescent="0.3">
      <c r="F5956" s="1"/>
      <c r="N5956" s="1"/>
    </row>
    <row r="5957" spans="6:14" x14ac:dyDescent="0.3">
      <c r="F5957" s="1"/>
    </row>
    <row r="5958" spans="6:14" x14ac:dyDescent="0.3">
      <c r="F5958" s="1"/>
    </row>
    <row r="5959" spans="6:14" x14ac:dyDescent="0.3">
      <c r="F5959" s="1"/>
    </row>
    <row r="5961" spans="6:14" x14ac:dyDescent="0.3">
      <c r="F5961" s="1"/>
    </row>
    <row r="5962" spans="6:14" x14ac:dyDescent="0.3">
      <c r="M5962" s="1"/>
      <c r="N5962" s="1"/>
    </row>
    <row r="5963" spans="6:14" x14ac:dyDescent="0.3">
      <c r="F5963" s="1"/>
    </row>
    <row r="5965" spans="6:14" x14ac:dyDescent="0.3">
      <c r="F5965" s="1"/>
    </row>
    <row r="5967" spans="6:14" x14ac:dyDescent="0.3">
      <c r="F5967" s="1"/>
    </row>
    <row r="5968" spans="6:14" x14ac:dyDescent="0.3">
      <c r="F5968" s="1"/>
    </row>
    <row r="5969" spans="6:14" x14ac:dyDescent="0.3">
      <c r="F5969" s="1"/>
    </row>
    <row r="5970" spans="6:14" x14ac:dyDescent="0.3">
      <c r="F5970" s="1"/>
    </row>
    <row r="5972" spans="6:14" x14ac:dyDescent="0.3">
      <c r="F5972" s="1"/>
    </row>
    <row r="5973" spans="6:14" x14ac:dyDescent="0.3">
      <c r="F5973" s="1"/>
    </row>
    <row r="5974" spans="6:14" x14ac:dyDescent="0.3">
      <c r="F5974" s="1"/>
    </row>
    <row r="5975" spans="6:14" x14ac:dyDescent="0.3">
      <c r="F5975" s="1"/>
    </row>
    <row r="5976" spans="6:14" x14ac:dyDescent="0.3">
      <c r="F5976" s="1"/>
    </row>
    <row r="5977" spans="6:14" x14ac:dyDescent="0.3">
      <c r="F5977" s="1"/>
    </row>
    <row r="5978" spans="6:14" x14ac:dyDescent="0.3">
      <c r="F5978" s="1"/>
    </row>
    <row r="5979" spans="6:14" x14ac:dyDescent="0.3">
      <c r="F5979" s="1"/>
    </row>
    <row r="5980" spans="6:14" x14ac:dyDescent="0.3">
      <c r="F5980" s="1"/>
    </row>
    <row r="5981" spans="6:14" x14ac:dyDescent="0.3">
      <c r="F5981" s="1"/>
    </row>
    <row r="5982" spans="6:14" x14ac:dyDescent="0.3">
      <c r="F5982" s="1"/>
    </row>
    <row r="5983" spans="6:14" x14ac:dyDescent="0.3">
      <c r="F5983" s="1"/>
      <c r="N5983" s="1"/>
    </row>
    <row r="5985" spans="6:14" x14ac:dyDescent="0.3">
      <c r="F5985" s="1"/>
    </row>
    <row r="5986" spans="6:14" x14ac:dyDescent="0.3">
      <c r="F5986" s="1"/>
    </row>
    <row r="5987" spans="6:14" x14ac:dyDescent="0.3">
      <c r="F5987" s="1"/>
    </row>
    <row r="5988" spans="6:14" x14ac:dyDescent="0.3">
      <c r="F5988" s="1"/>
    </row>
    <row r="5989" spans="6:14" x14ac:dyDescent="0.3">
      <c r="F5989" s="1"/>
    </row>
    <row r="5990" spans="6:14" x14ac:dyDescent="0.3">
      <c r="F5990" s="1"/>
    </row>
    <row r="5991" spans="6:14" x14ac:dyDescent="0.3">
      <c r="F5991" s="1"/>
    </row>
    <row r="5992" spans="6:14" x14ac:dyDescent="0.3">
      <c r="L5992" s="1"/>
    </row>
    <row r="5993" spans="6:14" x14ac:dyDescent="0.3">
      <c r="F5993" s="1"/>
      <c r="N5993" s="1"/>
    </row>
    <row r="5994" spans="6:14" x14ac:dyDescent="0.3">
      <c r="F5994" s="1"/>
    </row>
    <row r="5995" spans="6:14" x14ac:dyDescent="0.3">
      <c r="F5995" s="1"/>
    </row>
    <row r="5996" spans="6:14" x14ac:dyDescent="0.3">
      <c r="F5996" s="1"/>
    </row>
    <row r="5997" spans="6:14" x14ac:dyDescent="0.3">
      <c r="F5997" s="1"/>
    </row>
    <row r="5998" spans="6:14" x14ac:dyDescent="0.3">
      <c r="F5998" s="1"/>
    </row>
    <row r="5999" spans="6:14" x14ac:dyDescent="0.3">
      <c r="F5999" s="1"/>
      <c r="M5999" s="1"/>
    </row>
    <row r="6000" spans="6:14" x14ac:dyDescent="0.3">
      <c r="F6000" s="1"/>
    </row>
    <row r="6001" spans="6:13" x14ac:dyDescent="0.3">
      <c r="F6001" s="1"/>
    </row>
    <row r="6002" spans="6:13" x14ac:dyDescent="0.3">
      <c r="F6002" s="1"/>
    </row>
    <row r="6003" spans="6:13" x14ac:dyDescent="0.3">
      <c r="F6003" s="1"/>
      <c r="L6003" s="1"/>
    </row>
    <row r="6005" spans="6:13" x14ac:dyDescent="0.3">
      <c r="F6005" s="1"/>
    </row>
    <row r="6006" spans="6:13" x14ac:dyDescent="0.3">
      <c r="F6006" s="1"/>
    </row>
    <row r="6007" spans="6:13" x14ac:dyDescent="0.3">
      <c r="F6007" s="1"/>
    </row>
    <row r="6008" spans="6:13" x14ac:dyDescent="0.3">
      <c r="F6008" s="1"/>
    </row>
    <row r="6009" spans="6:13" x14ac:dyDescent="0.3">
      <c r="F6009" s="1"/>
    </row>
    <row r="6010" spans="6:13" x14ac:dyDescent="0.3">
      <c r="F6010" s="1"/>
    </row>
    <row r="6012" spans="6:13" x14ac:dyDescent="0.3">
      <c r="F6012" s="1"/>
    </row>
    <row r="6014" spans="6:13" x14ac:dyDescent="0.3">
      <c r="F6014" s="1"/>
    </row>
    <row r="6015" spans="6:13" x14ac:dyDescent="0.3">
      <c r="F6015" s="1"/>
    </row>
    <row r="6016" spans="6:13" x14ac:dyDescent="0.3">
      <c r="M6016" s="1"/>
    </row>
    <row r="6017" spans="6:15" x14ac:dyDescent="0.3">
      <c r="F6017" s="1"/>
    </row>
    <row r="6019" spans="6:15" x14ac:dyDescent="0.3">
      <c r="F6019" s="1"/>
    </row>
    <row r="6020" spans="6:15" x14ac:dyDescent="0.3">
      <c r="F6020" s="1"/>
    </row>
    <row r="6021" spans="6:15" x14ac:dyDescent="0.3">
      <c r="F6021" s="1"/>
    </row>
    <row r="6022" spans="6:15" x14ac:dyDescent="0.3">
      <c r="F6022" s="1"/>
    </row>
    <row r="6023" spans="6:15" x14ac:dyDescent="0.3">
      <c r="F6023" s="1"/>
    </row>
    <row r="6024" spans="6:15" x14ac:dyDescent="0.3">
      <c r="F6024" s="1"/>
    </row>
    <row r="6025" spans="6:15" x14ac:dyDescent="0.3">
      <c r="F6025" s="1"/>
    </row>
    <row r="6026" spans="6:15" x14ac:dyDescent="0.3">
      <c r="F6026" s="1"/>
    </row>
    <row r="6027" spans="6:15" x14ac:dyDescent="0.3">
      <c r="F6027" s="1"/>
      <c r="M6027" s="1"/>
      <c r="N6027" s="1"/>
      <c r="O6027" s="1"/>
    </row>
    <row r="6028" spans="6:15" x14ac:dyDescent="0.3">
      <c r="F6028" s="1"/>
    </row>
    <row r="6029" spans="6:15" x14ac:dyDescent="0.3">
      <c r="F6029" s="1"/>
    </row>
    <row r="6030" spans="6:15" x14ac:dyDescent="0.3">
      <c r="F6030" s="1"/>
    </row>
    <row r="6031" spans="6:15" x14ac:dyDescent="0.3">
      <c r="F6031" s="1"/>
    </row>
    <row r="6032" spans="6:15" x14ac:dyDescent="0.3">
      <c r="F6032" s="1"/>
    </row>
    <row r="6033" spans="6:15" x14ac:dyDescent="0.3">
      <c r="F6033" s="1"/>
    </row>
    <row r="6036" spans="6:15" x14ac:dyDescent="0.3">
      <c r="F6036" s="1"/>
    </row>
    <row r="6037" spans="6:15" x14ac:dyDescent="0.3">
      <c r="F6037" s="1"/>
    </row>
    <row r="6038" spans="6:15" x14ac:dyDescent="0.3">
      <c r="F6038" s="1"/>
      <c r="M6038" s="1"/>
      <c r="O6038" s="1"/>
    </row>
    <row r="6039" spans="6:15" x14ac:dyDescent="0.3">
      <c r="F6039" s="1"/>
    </row>
    <row r="6040" spans="6:15" x14ac:dyDescent="0.3">
      <c r="F6040" s="1"/>
    </row>
    <row r="6041" spans="6:15" x14ac:dyDescent="0.3">
      <c r="F6041" s="1"/>
    </row>
    <row r="6042" spans="6:15" x14ac:dyDescent="0.3">
      <c r="F6042" s="1"/>
    </row>
    <row r="6043" spans="6:15" x14ac:dyDescent="0.3">
      <c r="F6043" s="1"/>
      <c r="L6043" s="1"/>
      <c r="M6043" s="1"/>
    </row>
    <row r="6044" spans="6:15" x14ac:dyDescent="0.3">
      <c r="F6044" s="1"/>
    </row>
    <row r="6045" spans="6:15" x14ac:dyDescent="0.3">
      <c r="F6045" s="1"/>
      <c r="M6045" s="1"/>
    </row>
    <row r="6046" spans="6:15" x14ac:dyDescent="0.3">
      <c r="F6046" s="1"/>
    </row>
    <row r="6047" spans="6:15" x14ac:dyDescent="0.3">
      <c r="F6047" s="1"/>
    </row>
    <row r="6048" spans="6:15" x14ac:dyDescent="0.3">
      <c r="F6048" s="1"/>
    </row>
    <row r="6049" spans="6:15" x14ac:dyDescent="0.3">
      <c r="F6049" s="1"/>
    </row>
    <row r="6050" spans="6:15" x14ac:dyDescent="0.3">
      <c r="N6050" s="1"/>
      <c r="O6050" s="1"/>
    </row>
    <row r="6051" spans="6:15" x14ac:dyDescent="0.3">
      <c r="F6051" s="1"/>
    </row>
    <row r="6052" spans="6:15" x14ac:dyDescent="0.3">
      <c r="F6052" s="1"/>
    </row>
    <row r="6053" spans="6:15" x14ac:dyDescent="0.3">
      <c r="F6053" s="1"/>
    </row>
    <row r="6054" spans="6:15" x14ac:dyDescent="0.3">
      <c r="F6054" s="1"/>
    </row>
    <row r="6056" spans="6:15" x14ac:dyDescent="0.3">
      <c r="F6056" s="1"/>
    </row>
    <row r="6057" spans="6:15" x14ac:dyDescent="0.3">
      <c r="F6057" s="1"/>
    </row>
    <row r="6058" spans="6:15" x14ac:dyDescent="0.3">
      <c r="F6058" s="1"/>
    </row>
    <row r="6059" spans="6:15" x14ac:dyDescent="0.3">
      <c r="F6059" s="1"/>
    </row>
    <row r="6060" spans="6:15" x14ac:dyDescent="0.3">
      <c r="F6060" s="1"/>
    </row>
    <row r="6061" spans="6:15" x14ac:dyDescent="0.3">
      <c r="F6061" s="1"/>
      <c r="N6061" s="1"/>
      <c r="O6061" s="1"/>
    </row>
    <row r="6062" spans="6:15" x14ac:dyDescent="0.3">
      <c r="F6062" s="1"/>
    </row>
    <row r="6063" spans="6:15" x14ac:dyDescent="0.3">
      <c r="F6063" s="1"/>
    </row>
    <row r="6064" spans="6:15" x14ac:dyDescent="0.3">
      <c r="F6064" s="1"/>
    </row>
    <row r="6065" spans="6:14" x14ac:dyDescent="0.3">
      <c r="F6065" s="1"/>
    </row>
    <row r="6066" spans="6:14" x14ac:dyDescent="0.3">
      <c r="F6066" s="1"/>
    </row>
    <row r="6067" spans="6:14" x14ac:dyDescent="0.3">
      <c r="F6067" s="1"/>
    </row>
    <row r="6068" spans="6:14" x14ac:dyDescent="0.3">
      <c r="F6068" s="1"/>
    </row>
    <row r="6070" spans="6:14" x14ac:dyDescent="0.3">
      <c r="F6070" s="1"/>
    </row>
    <row r="6072" spans="6:14" x14ac:dyDescent="0.3">
      <c r="F6072" s="1"/>
    </row>
    <row r="6073" spans="6:14" x14ac:dyDescent="0.3">
      <c r="F6073" s="1"/>
    </row>
    <row r="6074" spans="6:14" x14ac:dyDescent="0.3">
      <c r="F6074" s="1"/>
    </row>
    <row r="6075" spans="6:14" x14ac:dyDescent="0.3">
      <c r="F6075" s="1"/>
    </row>
    <row r="6077" spans="6:14" x14ac:dyDescent="0.3">
      <c r="F6077" s="1"/>
    </row>
    <row r="6078" spans="6:14" x14ac:dyDescent="0.3">
      <c r="F6078" s="1"/>
    </row>
    <row r="6079" spans="6:14" x14ac:dyDescent="0.3">
      <c r="F6079" s="1"/>
    </row>
    <row r="6080" spans="6:14" x14ac:dyDescent="0.3">
      <c r="F6080" s="1"/>
      <c r="N6080" s="1"/>
    </row>
    <row r="6081" spans="6:13" x14ac:dyDescent="0.3">
      <c r="F6081" s="1"/>
    </row>
    <row r="6082" spans="6:13" x14ac:dyDescent="0.3">
      <c r="F6082" s="1"/>
    </row>
    <row r="6083" spans="6:13" x14ac:dyDescent="0.3">
      <c r="M6083" s="1"/>
    </row>
    <row r="6084" spans="6:13" x14ac:dyDescent="0.3">
      <c r="F6084" s="1"/>
    </row>
    <row r="6085" spans="6:13" x14ac:dyDescent="0.3">
      <c r="F6085" s="1"/>
    </row>
    <row r="6086" spans="6:13" x14ac:dyDescent="0.3">
      <c r="F6086" s="1"/>
    </row>
    <row r="6087" spans="6:13" x14ac:dyDescent="0.3">
      <c r="F6087" s="1"/>
    </row>
    <row r="6088" spans="6:13" x14ac:dyDescent="0.3">
      <c r="F6088" s="1"/>
      <c r="M6088" s="1"/>
    </row>
    <row r="6089" spans="6:13" x14ac:dyDescent="0.3">
      <c r="F6089" s="1"/>
    </row>
    <row r="6090" spans="6:13" x14ac:dyDescent="0.3">
      <c r="F6090" s="1"/>
    </row>
    <row r="6092" spans="6:13" x14ac:dyDescent="0.3">
      <c r="F6092" s="1"/>
    </row>
    <row r="6094" spans="6:13" x14ac:dyDescent="0.3">
      <c r="F6094" s="1"/>
    </row>
    <row r="6096" spans="6:13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15" x14ac:dyDescent="0.3">
      <c r="F6113" s="1"/>
    </row>
    <row r="6114" spans="6:15" x14ac:dyDescent="0.3">
      <c r="F6114" s="1"/>
    </row>
    <row r="6116" spans="6:15" x14ac:dyDescent="0.3">
      <c r="F6116" s="1"/>
    </row>
    <row r="6117" spans="6:15" x14ac:dyDescent="0.3">
      <c r="F6117" s="1"/>
    </row>
    <row r="6118" spans="6:15" x14ac:dyDescent="0.3">
      <c r="F6118" s="1"/>
    </row>
    <row r="6119" spans="6:15" x14ac:dyDescent="0.3">
      <c r="L6119" s="1"/>
      <c r="M6119" s="1"/>
      <c r="O6119" s="1"/>
    </row>
    <row r="6120" spans="6:15" x14ac:dyDescent="0.3">
      <c r="F6120" s="1"/>
    </row>
    <row r="6121" spans="6:15" x14ac:dyDescent="0.3">
      <c r="F6121" s="1"/>
    </row>
    <row r="6122" spans="6:15" x14ac:dyDescent="0.3">
      <c r="F6122" s="1"/>
    </row>
    <row r="6123" spans="6:15" x14ac:dyDescent="0.3">
      <c r="F6123" s="1"/>
    </row>
    <row r="6126" spans="6:15" x14ac:dyDescent="0.3">
      <c r="F6126" s="1"/>
    </row>
    <row r="6127" spans="6:15" x14ac:dyDescent="0.3">
      <c r="F6127" s="1"/>
    </row>
    <row r="6128" spans="6:15" x14ac:dyDescent="0.3">
      <c r="N6128" s="1"/>
    </row>
    <row r="6129" spans="6:13" x14ac:dyDescent="0.3">
      <c r="F6129" s="1"/>
    </row>
    <row r="6130" spans="6:13" x14ac:dyDescent="0.3">
      <c r="F6130" s="1"/>
    </row>
    <row r="6131" spans="6:13" x14ac:dyDescent="0.3">
      <c r="F6131" s="1"/>
    </row>
    <row r="6132" spans="6:13" x14ac:dyDescent="0.3">
      <c r="F6132" s="1"/>
    </row>
    <row r="6133" spans="6:13" x14ac:dyDescent="0.3">
      <c r="F6133" s="1"/>
    </row>
    <row r="6135" spans="6:13" x14ac:dyDescent="0.3">
      <c r="F6135" s="1"/>
    </row>
    <row r="6136" spans="6:13" x14ac:dyDescent="0.3">
      <c r="F6136" s="1"/>
    </row>
    <row r="6137" spans="6:13" x14ac:dyDescent="0.3">
      <c r="F6137" s="1"/>
    </row>
    <row r="6138" spans="6:13" x14ac:dyDescent="0.3">
      <c r="F6138" s="1"/>
    </row>
    <row r="6139" spans="6:13" x14ac:dyDescent="0.3">
      <c r="M6139" s="1"/>
    </row>
    <row r="6140" spans="6:13" x14ac:dyDescent="0.3">
      <c r="F6140" s="1"/>
    </row>
    <row r="6141" spans="6:13" x14ac:dyDescent="0.3">
      <c r="F6141" s="1"/>
    </row>
    <row r="6142" spans="6:13" x14ac:dyDescent="0.3">
      <c r="F6142" s="1"/>
    </row>
    <row r="6143" spans="6:13" x14ac:dyDescent="0.3">
      <c r="F6143" s="1"/>
    </row>
    <row r="6144" spans="6:13" x14ac:dyDescent="0.3">
      <c r="F6144" s="1"/>
    </row>
    <row r="6145" spans="6:15" x14ac:dyDescent="0.3">
      <c r="F6145" s="1"/>
    </row>
    <row r="6146" spans="6:15" x14ac:dyDescent="0.3">
      <c r="F6146" s="1"/>
    </row>
    <row r="6147" spans="6:15" x14ac:dyDescent="0.3">
      <c r="F6147" s="1"/>
    </row>
    <row r="6148" spans="6:15" x14ac:dyDescent="0.3">
      <c r="F6148" s="1"/>
    </row>
    <row r="6149" spans="6:15" x14ac:dyDescent="0.3">
      <c r="F6149" s="1"/>
    </row>
    <row r="6150" spans="6:15" x14ac:dyDescent="0.3">
      <c r="F6150" s="1"/>
    </row>
    <row r="6151" spans="6:15" x14ac:dyDescent="0.3">
      <c r="F6151" s="1"/>
    </row>
    <row r="6152" spans="6:15" x14ac:dyDescent="0.3">
      <c r="F6152" s="1"/>
    </row>
    <row r="6153" spans="6:15" x14ac:dyDescent="0.3">
      <c r="F6153" s="1"/>
    </row>
    <row r="6154" spans="6:15" x14ac:dyDescent="0.3">
      <c r="F6154" s="1"/>
    </row>
    <row r="6155" spans="6:15" x14ac:dyDescent="0.3">
      <c r="F6155" s="1"/>
    </row>
    <row r="6156" spans="6:15" x14ac:dyDescent="0.3">
      <c r="F6156" s="1"/>
    </row>
    <row r="6157" spans="6:15" x14ac:dyDescent="0.3">
      <c r="F6157" s="1"/>
    </row>
    <row r="6158" spans="6:15" x14ac:dyDescent="0.3">
      <c r="F6158" s="1"/>
      <c r="M6158" s="1"/>
      <c r="N6158" s="1"/>
      <c r="O6158" s="1"/>
    </row>
    <row r="6159" spans="6:15" x14ac:dyDescent="0.3">
      <c r="F6159" s="1"/>
    </row>
    <row r="6160" spans="6:15" x14ac:dyDescent="0.3">
      <c r="F6160" s="1"/>
    </row>
    <row r="6161" spans="6:6" x14ac:dyDescent="0.3">
      <c r="F6161" s="1"/>
    </row>
    <row r="6162" spans="6:6" x14ac:dyDescent="0.3">
      <c r="F6162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8" spans="6:6" x14ac:dyDescent="0.3">
      <c r="F6168" s="1"/>
    </row>
    <row r="6169" spans="6:6" x14ac:dyDescent="0.3">
      <c r="F6169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14" x14ac:dyDescent="0.3">
      <c r="F6177" s="1"/>
    </row>
    <row r="6181" spans="6:14" x14ac:dyDescent="0.3">
      <c r="F6181" s="1"/>
    </row>
    <row r="6182" spans="6:14" x14ac:dyDescent="0.3">
      <c r="F6182" s="1"/>
    </row>
    <row r="6183" spans="6:14" x14ac:dyDescent="0.3">
      <c r="F6183" s="1"/>
    </row>
    <row r="6184" spans="6:14" x14ac:dyDescent="0.3">
      <c r="F6184" s="1"/>
    </row>
    <row r="6185" spans="6:14" x14ac:dyDescent="0.3">
      <c r="F6185" s="1"/>
    </row>
    <row r="6186" spans="6:14" x14ac:dyDescent="0.3">
      <c r="F6186" s="1"/>
    </row>
    <row r="6187" spans="6:14" x14ac:dyDescent="0.3">
      <c r="F6187" s="1"/>
    </row>
    <row r="6188" spans="6:14" x14ac:dyDescent="0.3">
      <c r="F6188" s="1"/>
    </row>
    <row r="6190" spans="6:14" x14ac:dyDescent="0.3">
      <c r="F6190" s="1"/>
    </row>
    <row r="6191" spans="6:14" x14ac:dyDescent="0.3">
      <c r="F6191" s="1"/>
    </row>
    <row r="6192" spans="6:14" x14ac:dyDescent="0.3">
      <c r="N6192" s="1"/>
    </row>
    <row r="6193" spans="6:15" x14ac:dyDescent="0.3">
      <c r="F6193" s="1"/>
    </row>
    <row r="6194" spans="6:15" x14ac:dyDescent="0.3">
      <c r="F6194" s="1"/>
    </row>
    <row r="6195" spans="6:15" x14ac:dyDescent="0.3">
      <c r="F6195" s="1"/>
    </row>
    <row r="6196" spans="6:15" x14ac:dyDescent="0.3">
      <c r="F6196" s="1"/>
    </row>
    <row r="6197" spans="6:15" x14ac:dyDescent="0.3">
      <c r="F6197" s="1"/>
    </row>
    <row r="6198" spans="6:15" x14ac:dyDescent="0.3">
      <c r="F6198" s="1"/>
    </row>
    <row r="6199" spans="6:15" x14ac:dyDescent="0.3">
      <c r="F6199" s="1"/>
    </row>
    <row r="6200" spans="6:15" x14ac:dyDescent="0.3">
      <c r="F6200" s="1"/>
    </row>
    <row r="6201" spans="6:15" x14ac:dyDescent="0.3">
      <c r="F6201" s="1"/>
    </row>
    <row r="6202" spans="6:15" x14ac:dyDescent="0.3">
      <c r="F6202" s="1"/>
    </row>
    <row r="6203" spans="6:15" x14ac:dyDescent="0.3">
      <c r="F6203" s="1"/>
    </row>
    <row r="6205" spans="6:15" x14ac:dyDescent="0.3">
      <c r="F6205" s="1"/>
    </row>
    <row r="6206" spans="6:15" x14ac:dyDescent="0.3">
      <c r="F6206" s="1"/>
    </row>
    <row r="6207" spans="6:15" x14ac:dyDescent="0.3">
      <c r="F6207" s="1"/>
      <c r="L6207" s="1"/>
      <c r="M6207" s="1"/>
      <c r="O6207" s="1"/>
    </row>
    <row r="6208" spans="6:15" x14ac:dyDescent="0.3">
      <c r="F6208" s="1"/>
    </row>
    <row r="6210" spans="6:15" x14ac:dyDescent="0.3">
      <c r="F6210" s="1"/>
    </row>
    <row r="6211" spans="6:15" x14ac:dyDescent="0.3">
      <c r="F6211" s="1"/>
    </row>
    <row r="6212" spans="6:15" x14ac:dyDescent="0.3">
      <c r="L6212" s="1"/>
    </row>
    <row r="6213" spans="6:15" x14ac:dyDescent="0.3">
      <c r="F6213" s="1"/>
    </row>
    <row r="6214" spans="6:15" x14ac:dyDescent="0.3">
      <c r="F6214" s="1"/>
    </row>
    <row r="6215" spans="6:15" x14ac:dyDescent="0.3">
      <c r="F6215" s="1"/>
    </row>
    <row r="6217" spans="6:15" x14ac:dyDescent="0.3">
      <c r="F6217" s="1"/>
      <c r="O6217" s="1"/>
    </row>
    <row r="6218" spans="6:15" x14ac:dyDescent="0.3">
      <c r="F6218" s="1"/>
    </row>
    <row r="6219" spans="6:15" x14ac:dyDescent="0.3">
      <c r="F6219" s="1"/>
    </row>
    <row r="6220" spans="6:15" x14ac:dyDescent="0.3">
      <c r="F6220" s="1"/>
    </row>
    <row r="6221" spans="6:15" x14ac:dyDescent="0.3">
      <c r="F6221" s="1"/>
    </row>
    <row r="6222" spans="6:15" x14ac:dyDescent="0.3">
      <c r="F6222" s="1"/>
      <c r="L6222" s="1"/>
    </row>
    <row r="6223" spans="6:15" x14ac:dyDescent="0.3">
      <c r="F6223" s="1"/>
    </row>
    <row r="6224" spans="6:15" x14ac:dyDescent="0.3">
      <c r="F6224" s="1"/>
    </row>
    <row r="6225" spans="6:13" x14ac:dyDescent="0.3">
      <c r="F6225" s="1"/>
    </row>
    <row r="6226" spans="6:13" x14ac:dyDescent="0.3">
      <c r="F6226" s="1"/>
    </row>
    <row r="6227" spans="6:13" x14ac:dyDescent="0.3">
      <c r="F6227" s="1"/>
      <c r="M6227" s="1"/>
    </row>
    <row r="6228" spans="6:13" x14ac:dyDescent="0.3">
      <c r="L6228" s="1"/>
      <c r="M6228" s="1"/>
    </row>
    <row r="6229" spans="6:13" x14ac:dyDescent="0.3">
      <c r="F6229" s="1"/>
    </row>
    <row r="6230" spans="6:13" x14ac:dyDescent="0.3">
      <c r="F6230" s="1"/>
    </row>
    <row r="6231" spans="6:13" x14ac:dyDescent="0.3">
      <c r="F6231" s="1"/>
      <c r="L6231" s="1"/>
      <c r="M6231" s="1"/>
    </row>
    <row r="6232" spans="6:13" x14ac:dyDescent="0.3">
      <c r="F6232" s="1"/>
    </row>
    <row r="6233" spans="6:13" x14ac:dyDescent="0.3">
      <c r="F6233" s="1"/>
    </row>
    <row r="6234" spans="6:13" x14ac:dyDescent="0.3">
      <c r="F6234" s="1"/>
    </row>
    <row r="6235" spans="6:13" x14ac:dyDescent="0.3">
      <c r="F6235" s="1"/>
    </row>
    <row r="6236" spans="6:13" x14ac:dyDescent="0.3">
      <c r="F6236" s="1"/>
    </row>
    <row r="6237" spans="6:13" x14ac:dyDescent="0.3">
      <c r="F6237" s="1"/>
    </row>
    <row r="6238" spans="6:13" x14ac:dyDescent="0.3">
      <c r="F6238" s="1"/>
    </row>
    <row r="6239" spans="6:13" x14ac:dyDescent="0.3">
      <c r="F6239" s="1"/>
    </row>
    <row r="6240" spans="6:13" x14ac:dyDescent="0.3">
      <c r="F6240" s="1"/>
    </row>
    <row r="6242" spans="6:15" x14ac:dyDescent="0.3">
      <c r="F6242" s="1"/>
    </row>
    <row r="6244" spans="6:15" x14ac:dyDescent="0.3">
      <c r="F6244" s="1"/>
    </row>
    <row r="6246" spans="6:15" x14ac:dyDescent="0.3">
      <c r="F6246" s="1"/>
    </row>
    <row r="6247" spans="6:15" x14ac:dyDescent="0.3">
      <c r="F6247" s="1"/>
    </row>
    <row r="6248" spans="6:15" x14ac:dyDescent="0.3">
      <c r="F6248" s="1"/>
    </row>
    <row r="6249" spans="6:15" x14ac:dyDescent="0.3">
      <c r="F6249" s="1"/>
    </row>
    <row r="6250" spans="6:15" x14ac:dyDescent="0.3">
      <c r="F6250" s="1"/>
    </row>
    <row r="6251" spans="6:15" x14ac:dyDescent="0.3">
      <c r="F6251" s="1"/>
    </row>
    <row r="6253" spans="6:15" x14ac:dyDescent="0.3">
      <c r="F6253" s="1"/>
    </row>
    <row r="6254" spans="6:15" x14ac:dyDescent="0.3">
      <c r="F6254" s="1"/>
    </row>
    <row r="6255" spans="6:15" x14ac:dyDescent="0.3">
      <c r="L6255" s="1"/>
      <c r="M6255" s="1"/>
      <c r="N6255" s="1"/>
      <c r="O6255" s="1"/>
    </row>
    <row r="6256" spans="6:15" x14ac:dyDescent="0.3">
      <c r="F6256" s="1"/>
    </row>
    <row r="6257" spans="6:13" x14ac:dyDescent="0.3">
      <c r="F6257" s="1"/>
    </row>
    <row r="6258" spans="6:13" x14ac:dyDescent="0.3">
      <c r="F6258" s="1"/>
    </row>
    <row r="6259" spans="6:13" x14ac:dyDescent="0.3">
      <c r="F6259" s="1"/>
    </row>
    <row r="6260" spans="6:13" x14ac:dyDescent="0.3">
      <c r="F6260" s="1"/>
    </row>
    <row r="6261" spans="6:13" x14ac:dyDescent="0.3">
      <c r="F6261" s="1"/>
      <c r="M6261" s="1"/>
    </row>
    <row r="6262" spans="6:13" x14ac:dyDescent="0.3">
      <c r="F6262" s="1"/>
    </row>
    <row r="6263" spans="6:13" x14ac:dyDescent="0.3">
      <c r="F6263" s="1"/>
    </row>
    <row r="6264" spans="6:13" x14ac:dyDescent="0.3">
      <c r="F6264" s="1"/>
    </row>
    <row r="6265" spans="6:13" x14ac:dyDescent="0.3">
      <c r="F6265" s="1"/>
    </row>
    <row r="6267" spans="6:13" x14ac:dyDescent="0.3">
      <c r="F6267" s="1"/>
      <c r="L6267" s="1"/>
    </row>
    <row r="6268" spans="6:13" x14ac:dyDescent="0.3">
      <c r="F6268" s="1"/>
    </row>
    <row r="6269" spans="6:13" x14ac:dyDescent="0.3">
      <c r="F6269" s="1"/>
    </row>
    <row r="6270" spans="6:13" x14ac:dyDescent="0.3">
      <c r="F6270" s="1"/>
    </row>
    <row r="6272" spans="6:13" x14ac:dyDescent="0.3">
      <c r="F6272" s="1"/>
    </row>
    <row r="6273" spans="6:14" x14ac:dyDescent="0.3">
      <c r="F6273" s="1"/>
    </row>
    <row r="6274" spans="6:14" x14ac:dyDescent="0.3">
      <c r="F6274" s="1"/>
    </row>
    <row r="6275" spans="6:14" x14ac:dyDescent="0.3">
      <c r="F6275" s="1"/>
    </row>
    <row r="6276" spans="6:14" x14ac:dyDescent="0.3">
      <c r="F6276" s="1"/>
    </row>
    <row r="6277" spans="6:14" x14ac:dyDescent="0.3">
      <c r="F6277" s="1"/>
    </row>
    <row r="6278" spans="6:14" x14ac:dyDescent="0.3">
      <c r="F6278" s="1"/>
    </row>
    <row r="6279" spans="6:14" x14ac:dyDescent="0.3">
      <c r="F6279" s="1"/>
      <c r="L6279" s="1"/>
    </row>
    <row r="6280" spans="6:14" x14ac:dyDescent="0.3">
      <c r="F6280" s="1"/>
    </row>
    <row r="6281" spans="6:14" x14ac:dyDescent="0.3">
      <c r="F6281" s="1"/>
    </row>
    <row r="6282" spans="6:14" x14ac:dyDescent="0.3">
      <c r="F6282" s="1"/>
      <c r="M6282" s="1"/>
    </row>
    <row r="6285" spans="6:14" x14ac:dyDescent="0.3">
      <c r="M6285" s="1"/>
    </row>
    <row r="6286" spans="6:14" x14ac:dyDescent="0.3">
      <c r="F6286" s="1"/>
    </row>
    <row r="6287" spans="6:14" x14ac:dyDescent="0.3">
      <c r="F6287" s="1"/>
      <c r="N6287" s="1"/>
    </row>
    <row r="6289" spans="6:14" x14ac:dyDescent="0.3">
      <c r="F6289" s="1"/>
    </row>
    <row r="6290" spans="6:14" x14ac:dyDescent="0.3">
      <c r="F6290" s="1"/>
    </row>
    <row r="6291" spans="6:14" x14ac:dyDescent="0.3">
      <c r="F6291" s="1"/>
    </row>
    <row r="6293" spans="6:14" x14ac:dyDescent="0.3">
      <c r="F6293" s="1"/>
    </row>
    <row r="6294" spans="6:14" x14ac:dyDescent="0.3">
      <c r="F6294" s="1"/>
    </row>
    <row r="6295" spans="6:14" x14ac:dyDescent="0.3">
      <c r="F6295" s="1"/>
    </row>
    <row r="6296" spans="6:14" x14ac:dyDescent="0.3">
      <c r="F6296" s="1"/>
      <c r="N6296" s="1"/>
    </row>
    <row r="6297" spans="6:14" x14ac:dyDescent="0.3">
      <c r="F6297" s="1"/>
    </row>
    <row r="6298" spans="6:14" x14ac:dyDescent="0.3">
      <c r="F6298" s="1"/>
    </row>
    <row r="6299" spans="6:14" x14ac:dyDescent="0.3">
      <c r="F6299" s="1"/>
    </row>
    <row r="6300" spans="6:14" x14ac:dyDescent="0.3">
      <c r="F6300" s="1"/>
    </row>
    <row r="6301" spans="6:14" x14ac:dyDescent="0.3">
      <c r="F6301" s="1"/>
    </row>
    <row r="6302" spans="6:14" x14ac:dyDescent="0.3">
      <c r="F6302" s="1"/>
      <c r="L6302" s="1"/>
      <c r="M6302" s="1"/>
    </row>
    <row r="6303" spans="6:14" x14ac:dyDescent="0.3">
      <c r="F6303" s="1"/>
    </row>
    <row r="6304" spans="6:14" x14ac:dyDescent="0.3">
      <c r="F6304" s="1"/>
    </row>
    <row r="6305" spans="6:14" x14ac:dyDescent="0.3">
      <c r="F6305" s="1"/>
    </row>
    <row r="6306" spans="6:14" x14ac:dyDescent="0.3">
      <c r="F6306" s="1"/>
      <c r="L6306" s="1"/>
    </row>
    <row r="6307" spans="6:14" x14ac:dyDescent="0.3">
      <c r="F6307" s="1"/>
      <c r="L6307" s="1"/>
    </row>
    <row r="6308" spans="6:14" x14ac:dyDescent="0.3">
      <c r="F6308" s="1"/>
    </row>
    <row r="6309" spans="6:14" x14ac:dyDescent="0.3">
      <c r="F6309" s="1"/>
    </row>
    <row r="6310" spans="6:14" x14ac:dyDescent="0.3">
      <c r="F6310" s="1"/>
    </row>
    <row r="6311" spans="6:14" x14ac:dyDescent="0.3">
      <c r="F6311" s="1"/>
      <c r="L6311" s="1"/>
      <c r="M6311" s="1"/>
      <c r="N6311" s="1"/>
    </row>
    <row r="6312" spans="6:14" x14ac:dyDescent="0.3">
      <c r="F6312" s="1"/>
    </row>
    <row r="6313" spans="6:14" x14ac:dyDescent="0.3">
      <c r="F6313" s="1"/>
    </row>
    <row r="6314" spans="6:14" x14ac:dyDescent="0.3">
      <c r="F6314" s="1"/>
    </row>
    <row r="6315" spans="6:14" x14ac:dyDescent="0.3">
      <c r="F6315" s="1"/>
    </row>
    <row r="6316" spans="6:14" x14ac:dyDescent="0.3">
      <c r="F6316" s="1"/>
    </row>
    <row r="6317" spans="6:14" x14ac:dyDescent="0.3">
      <c r="F6317" s="1"/>
    </row>
    <row r="6318" spans="6:14" x14ac:dyDescent="0.3">
      <c r="F6318" s="1"/>
    </row>
    <row r="6319" spans="6:14" x14ac:dyDescent="0.3">
      <c r="F6319" s="1"/>
    </row>
    <row r="6320" spans="6:14" x14ac:dyDescent="0.3">
      <c r="F6320" s="1"/>
    </row>
    <row r="6321" spans="6:14" x14ac:dyDescent="0.3">
      <c r="F6321" s="1"/>
    </row>
    <row r="6322" spans="6:14" x14ac:dyDescent="0.3">
      <c r="F6322" s="1"/>
    </row>
    <row r="6324" spans="6:14" x14ac:dyDescent="0.3">
      <c r="F6324" s="1"/>
      <c r="N6324" s="1"/>
    </row>
    <row r="6325" spans="6:14" x14ac:dyDescent="0.3">
      <c r="F6325" s="1"/>
    </row>
    <row r="6326" spans="6:14" x14ac:dyDescent="0.3">
      <c r="F6326" s="1"/>
    </row>
    <row r="6327" spans="6:14" x14ac:dyDescent="0.3">
      <c r="F6327" s="1"/>
    </row>
    <row r="6328" spans="6:14" x14ac:dyDescent="0.3">
      <c r="F6328" s="1"/>
    </row>
    <row r="6330" spans="6:14" x14ac:dyDescent="0.3">
      <c r="F6330" s="1"/>
    </row>
    <row r="6331" spans="6:14" x14ac:dyDescent="0.3">
      <c r="F6331" s="1"/>
    </row>
    <row r="6332" spans="6:14" x14ac:dyDescent="0.3">
      <c r="F6332" s="1"/>
    </row>
    <row r="6333" spans="6:14" x14ac:dyDescent="0.3">
      <c r="F6333" s="1"/>
    </row>
    <row r="6334" spans="6:14" x14ac:dyDescent="0.3">
      <c r="F6334" s="1"/>
    </row>
    <row r="6336" spans="6:14" x14ac:dyDescent="0.3">
      <c r="F6336" s="1"/>
    </row>
    <row r="6337" spans="6:14" x14ac:dyDescent="0.3">
      <c r="F6337" s="1"/>
    </row>
    <row r="6338" spans="6:14" x14ac:dyDescent="0.3">
      <c r="F6338" s="1"/>
      <c r="M6338" s="1"/>
    </row>
    <row r="6339" spans="6:14" x14ac:dyDescent="0.3">
      <c r="F6339" s="1"/>
    </row>
    <row r="6340" spans="6:14" x14ac:dyDescent="0.3">
      <c r="F6340" s="1"/>
    </row>
    <row r="6342" spans="6:14" x14ac:dyDescent="0.3">
      <c r="F6342" s="1"/>
      <c r="L6342" s="1"/>
      <c r="M6342" s="1"/>
      <c r="N6342" s="1"/>
    </row>
    <row r="6343" spans="6:14" x14ac:dyDescent="0.3">
      <c r="F6343" s="1"/>
    </row>
    <row r="6344" spans="6:14" x14ac:dyDescent="0.3">
      <c r="F6344" s="1"/>
    </row>
    <row r="6345" spans="6:14" x14ac:dyDescent="0.3">
      <c r="F6345" s="1"/>
    </row>
    <row r="6346" spans="6:14" x14ac:dyDescent="0.3">
      <c r="F6346" s="1"/>
    </row>
    <row r="6347" spans="6:14" x14ac:dyDescent="0.3">
      <c r="F6347" s="1"/>
    </row>
    <row r="6349" spans="6:14" x14ac:dyDescent="0.3">
      <c r="F6349" s="1"/>
    </row>
    <row r="6350" spans="6:14" x14ac:dyDescent="0.3">
      <c r="F6350" s="1"/>
    </row>
    <row r="6351" spans="6:14" x14ac:dyDescent="0.3">
      <c r="F6351" s="1"/>
    </row>
    <row r="6352" spans="6:14" x14ac:dyDescent="0.3">
      <c r="F6352" s="1"/>
    </row>
    <row r="6354" spans="6:13" x14ac:dyDescent="0.3">
      <c r="F6354" s="1"/>
    </row>
    <row r="6355" spans="6:13" x14ac:dyDescent="0.3">
      <c r="F6355" s="1"/>
    </row>
    <row r="6356" spans="6:13" x14ac:dyDescent="0.3">
      <c r="M6356" s="1"/>
    </row>
    <row r="6357" spans="6:13" x14ac:dyDescent="0.3">
      <c r="F6357" s="1"/>
    </row>
    <row r="6358" spans="6:13" x14ac:dyDescent="0.3">
      <c r="F6358" s="1"/>
    </row>
    <row r="6359" spans="6:13" x14ac:dyDescent="0.3">
      <c r="F6359" s="1"/>
    </row>
    <row r="6360" spans="6:13" x14ac:dyDescent="0.3">
      <c r="F6360" s="1"/>
    </row>
    <row r="6361" spans="6:13" x14ac:dyDescent="0.3">
      <c r="F6361" s="1"/>
    </row>
    <row r="6363" spans="6:13" x14ac:dyDescent="0.3">
      <c r="F6363" s="1"/>
    </row>
    <row r="6364" spans="6:13" x14ac:dyDescent="0.3">
      <c r="F6364" s="1"/>
    </row>
    <row r="6365" spans="6:13" x14ac:dyDescent="0.3">
      <c r="F6365" s="1"/>
    </row>
    <row r="6366" spans="6:13" x14ac:dyDescent="0.3">
      <c r="F6366" s="1"/>
    </row>
    <row r="6367" spans="6:13" x14ac:dyDescent="0.3">
      <c r="F6367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2" spans="6:6" x14ac:dyDescent="0.3">
      <c r="F6382" s="1"/>
    </row>
    <row r="6384" spans="6:6" x14ac:dyDescent="0.3">
      <c r="F6384" s="1"/>
    </row>
    <row r="6385" spans="6:14" x14ac:dyDescent="0.3">
      <c r="F6385" s="1"/>
    </row>
    <row r="6386" spans="6:14" x14ac:dyDescent="0.3">
      <c r="F6386" s="1"/>
    </row>
    <row r="6387" spans="6:14" x14ac:dyDescent="0.3">
      <c r="F6387" s="1"/>
    </row>
    <row r="6388" spans="6:14" x14ac:dyDescent="0.3">
      <c r="F6388" s="1"/>
    </row>
    <row r="6391" spans="6:14" x14ac:dyDescent="0.3">
      <c r="F6391" s="1"/>
      <c r="N6391" s="1"/>
    </row>
    <row r="6393" spans="6:14" x14ac:dyDescent="0.3">
      <c r="F6393" s="1"/>
    </row>
    <row r="6394" spans="6:14" x14ac:dyDescent="0.3">
      <c r="F6394" s="1"/>
    </row>
    <row r="6395" spans="6:14" x14ac:dyDescent="0.3">
      <c r="F6395" s="1"/>
    </row>
    <row r="6396" spans="6:14" x14ac:dyDescent="0.3">
      <c r="M6396" s="1"/>
      <c r="N6396" s="1"/>
    </row>
    <row r="6397" spans="6:14" x14ac:dyDescent="0.3">
      <c r="F6397" s="1"/>
    </row>
    <row r="6398" spans="6:14" x14ac:dyDescent="0.3">
      <c r="F6398" s="1"/>
      <c r="N6398" s="1"/>
    </row>
    <row r="6399" spans="6:14" x14ac:dyDescent="0.3">
      <c r="M6399" s="1"/>
    </row>
    <row r="6400" spans="6:14" x14ac:dyDescent="0.3">
      <c r="F6400" s="1"/>
      <c r="M6400" s="1"/>
    </row>
    <row r="6401" spans="6:14" x14ac:dyDescent="0.3">
      <c r="F6401" s="1"/>
    </row>
    <row r="6402" spans="6:14" x14ac:dyDescent="0.3">
      <c r="F6402" s="1"/>
    </row>
    <row r="6403" spans="6:14" x14ac:dyDescent="0.3">
      <c r="F6403" s="1"/>
    </row>
    <row r="6405" spans="6:14" x14ac:dyDescent="0.3">
      <c r="F6405" s="1"/>
    </row>
    <row r="6406" spans="6:14" x14ac:dyDescent="0.3">
      <c r="F6406" s="1"/>
    </row>
    <row r="6407" spans="6:14" x14ac:dyDescent="0.3">
      <c r="N6407" s="1"/>
    </row>
    <row r="6409" spans="6:14" x14ac:dyDescent="0.3">
      <c r="F6409" s="1"/>
      <c r="M6409" s="1"/>
      <c r="N6409" s="1"/>
    </row>
    <row r="6410" spans="6:14" x14ac:dyDescent="0.3">
      <c r="F6410" s="1"/>
    </row>
    <row r="6411" spans="6:14" x14ac:dyDescent="0.3">
      <c r="F6411" s="1"/>
    </row>
    <row r="6412" spans="6:14" x14ac:dyDescent="0.3">
      <c r="F6412" s="1"/>
    </row>
    <row r="6413" spans="6:14" x14ac:dyDescent="0.3">
      <c r="F6413" s="1"/>
    </row>
    <row r="6414" spans="6:14" x14ac:dyDescent="0.3">
      <c r="F6414" s="1"/>
    </row>
    <row r="6415" spans="6:14" x14ac:dyDescent="0.3">
      <c r="F6415" s="1"/>
    </row>
    <row r="6416" spans="6:14" x14ac:dyDescent="0.3">
      <c r="F6416" s="1"/>
    </row>
    <row r="6417" spans="6:14" x14ac:dyDescent="0.3">
      <c r="F6417" s="1"/>
    </row>
    <row r="6418" spans="6:14" x14ac:dyDescent="0.3">
      <c r="F6418" s="1"/>
    </row>
    <row r="6419" spans="6:14" x14ac:dyDescent="0.3">
      <c r="F6419" s="1"/>
    </row>
    <row r="6420" spans="6:14" x14ac:dyDescent="0.3">
      <c r="F6420" s="1"/>
    </row>
    <row r="6421" spans="6:14" x14ac:dyDescent="0.3">
      <c r="F6421" s="1"/>
    </row>
    <row r="6423" spans="6:14" x14ac:dyDescent="0.3">
      <c r="F6423" s="1"/>
    </row>
    <row r="6424" spans="6:14" x14ac:dyDescent="0.3">
      <c r="F6424" s="1"/>
    </row>
    <row r="6425" spans="6:14" x14ac:dyDescent="0.3">
      <c r="F6425" s="1"/>
    </row>
    <row r="6426" spans="6:14" x14ac:dyDescent="0.3">
      <c r="F6426" s="1"/>
    </row>
    <row r="6427" spans="6:14" x14ac:dyDescent="0.3">
      <c r="F6427" s="1"/>
    </row>
    <row r="6428" spans="6:14" x14ac:dyDescent="0.3">
      <c r="F6428" s="1"/>
    </row>
    <row r="6429" spans="6:14" x14ac:dyDescent="0.3">
      <c r="F6429" s="1"/>
    </row>
    <row r="6430" spans="6:14" x14ac:dyDescent="0.3">
      <c r="F6430" s="1"/>
    </row>
    <row r="6431" spans="6:14" x14ac:dyDescent="0.3">
      <c r="F6431" s="1"/>
      <c r="N6431" s="1"/>
    </row>
    <row r="6432" spans="6:14" x14ac:dyDescent="0.3">
      <c r="F6432" s="1"/>
    </row>
    <row r="6433" spans="6:13" x14ac:dyDescent="0.3">
      <c r="F6433" s="1"/>
    </row>
    <row r="6434" spans="6:13" x14ac:dyDescent="0.3">
      <c r="F6434" s="1"/>
    </row>
    <row r="6435" spans="6:13" x14ac:dyDescent="0.3">
      <c r="F6435" s="1"/>
    </row>
    <row r="6438" spans="6:13" x14ac:dyDescent="0.3">
      <c r="F6438" s="1"/>
    </row>
    <row r="6439" spans="6:13" x14ac:dyDescent="0.3">
      <c r="F6439" s="1"/>
      <c r="M6439" s="1"/>
    </row>
    <row r="6440" spans="6:13" x14ac:dyDescent="0.3">
      <c r="F6440" s="1"/>
    </row>
    <row r="6441" spans="6:13" x14ac:dyDescent="0.3">
      <c r="F6441" s="1"/>
    </row>
    <row r="6442" spans="6:13" x14ac:dyDescent="0.3">
      <c r="F6442" s="1"/>
    </row>
    <row r="6443" spans="6:13" x14ac:dyDescent="0.3">
      <c r="F6443" s="1"/>
    </row>
    <row r="6444" spans="6:13" x14ac:dyDescent="0.3">
      <c r="F6444" s="1"/>
    </row>
    <row r="6446" spans="6:13" x14ac:dyDescent="0.3">
      <c r="F6446" s="1"/>
    </row>
    <row r="6447" spans="6:13" x14ac:dyDescent="0.3">
      <c r="F6447" s="1"/>
    </row>
    <row r="6448" spans="6:13" x14ac:dyDescent="0.3">
      <c r="F6448" s="1"/>
      <c r="L6448" s="1"/>
      <c r="M6448" s="1"/>
    </row>
    <row r="6449" spans="6:14" x14ac:dyDescent="0.3">
      <c r="F6449" s="1"/>
    </row>
    <row r="6450" spans="6:14" x14ac:dyDescent="0.3">
      <c r="F6450" s="1"/>
    </row>
    <row r="6451" spans="6:14" x14ac:dyDescent="0.3">
      <c r="F6451" s="1"/>
    </row>
    <row r="6452" spans="6:14" x14ac:dyDescent="0.3">
      <c r="F6452" s="1"/>
    </row>
    <row r="6453" spans="6:14" x14ac:dyDescent="0.3">
      <c r="F6453" s="1"/>
    </row>
    <row r="6454" spans="6:14" x14ac:dyDescent="0.3">
      <c r="F6454" s="1"/>
    </row>
    <row r="6455" spans="6:14" x14ac:dyDescent="0.3">
      <c r="F6455" s="1"/>
    </row>
    <row r="6456" spans="6:14" x14ac:dyDescent="0.3">
      <c r="F6456" s="1"/>
    </row>
    <row r="6457" spans="6:14" x14ac:dyDescent="0.3">
      <c r="F6457" s="1"/>
    </row>
    <row r="6458" spans="6:14" x14ac:dyDescent="0.3">
      <c r="F6458" s="1"/>
    </row>
    <row r="6459" spans="6:14" x14ac:dyDescent="0.3">
      <c r="F6459" s="1"/>
    </row>
    <row r="6460" spans="6:14" x14ac:dyDescent="0.3">
      <c r="N6460" s="1"/>
    </row>
    <row r="6461" spans="6:14" x14ac:dyDescent="0.3">
      <c r="F6461" s="1"/>
    </row>
    <row r="6462" spans="6:14" x14ac:dyDescent="0.3">
      <c r="F6462" s="1"/>
    </row>
    <row r="6463" spans="6:14" x14ac:dyDescent="0.3">
      <c r="F6463" s="1"/>
    </row>
    <row r="6464" spans="6:14" x14ac:dyDescent="0.3">
      <c r="F6464" s="1"/>
    </row>
    <row r="6465" spans="6:15" x14ac:dyDescent="0.3">
      <c r="F6465" s="1"/>
    </row>
    <row r="6466" spans="6:15" x14ac:dyDescent="0.3">
      <c r="M6466" s="1"/>
      <c r="N6466" s="1"/>
      <c r="O6466" s="1"/>
    </row>
    <row r="6467" spans="6:15" x14ac:dyDescent="0.3">
      <c r="F6467" s="1"/>
    </row>
    <row r="6468" spans="6:15" x14ac:dyDescent="0.3">
      <c r="F6468" s="1"/>
    </row>
    <row r="6469" spans="6:15" x14ac:dyDescent="0.3">
      <c r="F6469" s="1"/>
    </row>
    <row r="6471" spans="6:15" x14ac:dyDescent="0.3">
      <c r="F6471" s="1"/>
    </row>
    <row r="6472" spans="6:15" x14ac:dyDescent="0.3">
      <c r="F6472" s="1"/>
    </row>
    <row r="6473" spans="6:15" x14ac:dyDescent="0.3">
      <c r="F6473" s="1"/>
    </row>
    <row r="6474" spans="6:15" x14ac:dyDescent="0.3">
      <c r="F6474" s="1"/>
    </row>
    <row r="6475" spans="6:15" x14ac:dyDescent="0.3">
      <c r="F6475" s="1"/>
    </row>
    <row r="6476" spans="6:15" x14ac:dyDescent="0.3">
      <c r="F6476" s="1"/>
    </row>
    <row r="6477" spans="6:15" x14ac:dyDescent="0.3">
      <c r="L6477" s="1"/>
      <c r="M6477" s="1"/>
      <c r="N6477" s="1"/>
    </row>
    <row r="6478" spans="6:15" x14ac:dyDescent="0.3">
      <c r="F6478" s="1"/>
    </row>
    <row r="6479" spans="6:15" x14ac:dyDescent="0.3">
      <c r="F6479" s="1"/>
    </row>
    <row r="6480" spans="6:15" x14ac:dyDescent="0.3">
      <c r="F6480" s="1"/>
      <c r="L6480" s="1"/>
    </row>
    <row r="6481" spans="6:14" x14ac:dyDescent="0.3">
      <c r="F6481" s="1"/>
      <c r="N6481" s="1"/>
    </row>
    <row r="6482" spans="6:14" x14ac:dyDescent="0.3">
      <c r="F6482" s="1"/>
    </row>
    <row r="6483" spans="6:14" x14ac:dyDescent="0.3">
      <c r="F6483" s="1"/>
    </row>
    <row r="6484" spans="6:14" x14ac:dyDescent="0.3">
      <c r="F6484" s="1"/>
    </row>
    <row r="6486" spans="6:14" x14ac:dyDescent="0.3">
      <c r="F6486" s="1"/>
    </row>
    <row r="6487" spans="6:14" x14ac:dyDescent="0.3">
      <c r="F6487" s="1"/>
    </row>
    <row r="6488" spans="6:14" x14ac:dyDescent="0.3">
      <c r="F6488" s="1"/>
      <c r="L6488" s="1"/>
      <c r="N6488" s="1"/>
    </row>
    <row r="6489" spans="6:14" x14ac:dyDescent="0.3">
      <c r="F6489" s="1"/>
    </row>
    <row r="6490" spans="6:14" x14ac:dyDescent="0.3">
      <c r="F6490" s="1"/>
    </row>
    <row r="6491" spans="6:14" x14ac:dyDescent="0.3">
      <c r="F6491" s="1"/>
    </row>
    <row r="6492" spans="6:14" x14ac:dyDescent="0.3">
      <c r="F6492" s="1"/>
    </row>
    <row r="6493" spans="6:14" x14ac:dyDescent="0.3">
      <c r="F6493" s="1"/>
    </row>
    <row r="6494" spans="6:14" x14ac:dyDescent="0.3">
      <c r="F6494" s="1"/>
    </row>
    <row r="6495" spans="6:14" x14ac:dyDescent="0.3">
      <c r="F6495" s="1"/>
    </row>
    <row r="6497" spans="6:14" x14ac:dyDescent="0.3">
      <c r="F6497" s="1"/>
    </row>
    <row r="6498" spans="6:14" x14ac:dyDescent="0.3">
      <c r="F6498" s="1"/>
    </row>
    <row r="6500" spans="6:14" x14ac:dyDescent="0.3">
      <c r="F6500" s="1"/>
    </row>
    <row r="6501" spans="6:14" x14ac:dyDescent="0.3">
      <c r="F6501" s="1"/>
    </row>
    <row r="6502" spans="6:14" x14ac:dyDescent="0.3">
      <c r="F6502" s="1"/>
    </row>
    <row r="6503" spans="6:14" x14ac:dyDescent="0.3">
      <c r="F6503" s="1"/>
    </row>
    <row r="6504" spans="6:14" x14ac:dyDescent="0.3">
      <c r="F6504" s="1"/>
      <c r="M6504" s="1"/>
      <c r="N6504" s="1"/>
    </row>
    <row r="6505" spans="6:14" x14ac:dyDescent="0.3">
      <c r="F6505" s="1"/>
    </row>
    <row r="6506" spans="6:14" x14ac:dyDescent="0.3">
      <c r="F6506" s="1"/>
    </row>
    <row r="6509" spans="6:14" x14ac:dyDescent="0.3">
      <c r="F6509" s="1"/>
    </row>
    <row r="6510" spans="6:14" x14ac:dyDescent="0.3">
      <c r="F6510" s="1"/>
    </row>
    <row r="6511" spans="6:14" x14ac:dyDescent="0.3">
      <c r="F6511" s="1"/>
    </row>
    <row r="6513" spans="6:15" x14ac:dyDescent="0.3">
      <c r="F6513" s="1"/>
    </row>
    <row r="6514" spans="6:15" x14ac:dyDescent="0.3">
      <c r="F6514" s="1"/>
    </row>
    <row r="6515" spans="6:15" x14ac:dyDescent="0.3">
      <c r="F6515" s="1"/>
    </row>
    <row r="6516" spans="6:15" x14ac:dyDescent="0.3">
      <c r="F6516" s="1"/>
    </row>
    <row r="6517" spans="6:15" x14ac:dyDescent="0.3">
      <c r="F6517" s="1"/>
    </row>
    <row r="6518" spans="6:15" x14ac:dyDescent="0.3">
      <c r="F6518" s="1"/>
    </row>
    <row r="6519" spans="6:15" x14ac:dyDescent="0.3">
      <c r="F6519" s="1"/>
    </row>
    <row r="6520" spans="6:15" x14ac:dyDescent="0.3">
      <c r="O6520" s="1"/>
    </row>
    <row r="6521" spans="6:15" x14ac:dyDescent="0.3">
      <c r="F6521" s="1"/>
    </row>
    <row r="6522" spans="6:15" x14ac:dyDescent="0.3">
      <c r="F6522" s="1"/>
    </row>
    <row r="6523" spans="6:15" x14ac:dyDescent="0.3">
      <c r="F6523" s="1"/>
    </row>
    <row r="6524" spans="6:15" x14ac:dyDescent="0.3">
      <c r="F6524" s="1"/>
    </row>
    <row r="6525" spans="6:15" x14ac:dyDescent="0.3">
      <c r="F6525" s="1"/>
    </row>
    <row r="6526" spans="6:15" x14ac:dyDescent="0.3">
      <c r="F6526" s="1"/>
    </row>
    <row r="6527" spans="6:15" x14ac:dyDescent="0.3">
      <c r="F6527" s="1"/>
    </row>
    <row r="6528" spans="6:15" x14ac:dyDescent="0.3">
      <c r="F6528" s="1"/>
    </row>
    <row r="6529" spans="6:14" x14ac:dyDescent="0.3">
      <c r="F6529" s="1"/>
      <c r="N6529" s="1"/>
    </row>
    <row r="6530" spans="6:14" x14ac:dyDescent="0.3">
      <c r="F6530" s="1"/>
    </row>
    <row r="6532" spans="6:14" x14ac:dyDescent="0.3">
      <c r="F6532" s="1"/>
    </row>
    <row r="6533" spans="6:14" x14ac:dyDescent="0.3">
      <c r="F6533" s="1"/>
    </row>
    <row r="6534" spans="6:14" x14ac:dyDescent="0.3">
      <c r="F6534" s="1"/>
    </row>
    <row r="6535" spans="6:14" x14ac:dyDescent="0.3">
      <c r="F6535" s="1"/>
    </row>
    <row r="6536" spans="6:14" x14ac:dyDescent="0.3">
      <c r="F6536" s="1"/>
    </row>
    <row r="6537" spans="6:14" x14ac:dyDescent="0.3">
      <c r="F6537" s="1"/>
    </row>
    <row r="6538" spans="6:14" x14ac:dyDescent="0.3">
      <c r="F6538" s="1"/>
    </row>
    <row r="6539" spans="6:14" x14ac:dyDescent="0.3">
      <c r="F6539" s="1"/>
    </row>
    <row r="6540" spans="6:14" x14ac:dyDescent="0.3">
      <c r="F6540" s="1"/>
    </row>
    <row r="6541" spans="6:14" x14ac:dyDescent="0.3">
      <c r="F6541" s="1"/>
    </row>
    <row r="6542" spans="6:14" x14ac:dyDescent="0.3">
      <c r="F6542" s="1"/>
    </row>
    <row r="6543" spans="6:14" x14ac:dyDescent="0.3">
      <c r="F6543" s="1"/>
    </row>
    <row r="6545" spans="6:14" x14ac:dyDescent="0.3">
      <c r="F6545" s="1"/>
    </row>
    <row r="6546" spans="6:14" x14ac:dyDescent="0.3">
      <c r="F6546" s="1"/>
    </row>
    <row r="6547" spans="6:14" x14ac:dyDescent="0.3">
      <c r="F6547" s="1"/>
    </row>
    <row r="6548" spans="6:14" x14ac:dyDescent="0.3">
      <c r="F6548" s="1"/>
    </row>
    <row r="6549" spans="6:14" x14ac:dyDescent="0.3">
      <c r="F6549" s="1"/>
    </row>
    <row r="6550" spans="6:14" x14ac:dyDescent="0.3">
      <c r="F6550" s="1"/>
    </row>
    <row r="6551" spans="6:14" x14ac:dyDescent="0.3">
      <c r="F6551" s="1"/>
    </row>
    <row r="6552" spans="6:14" x14ac:dyDescent="0.3">
      <c r="F6552" s="1"/>
    </row>
    <row r="6553" spans="6:14" x14ac:dyDescent="0.3">
      <c r="F6553" s="1"/>
    </row>
    <row r="6554" spans="6:14" x14ac:dyDescent="0.3">
      <c r="L6554" s="1"/>
      <c r="N6554" s="1"/>
    </row>
    <row r="6555" spans="6:14" x14ac:dyDescent="0.3">
      <c r="F6555" s="1"/>
    </row>
    <row r="6556" spans="6:14" x14ac:dyDescent="0.3">
      <c r="F6556" s="1"/>
    </row>
    <row r="6557" spans="6:14" x14ac:dyDescent="0.3">
      <c r="F6557" s="1"/>
    </row>
    <row r="6558" spans="6:14" x14ac:dyDescent="0.3">
      <c r="F6558" s="1"/>
      <c r="M6558" s="1"/>
    </row>
    <row r="6559" spans="6:14" x14ac:dyDescent="0.3">
      <c r="F6559" s="1"/>
    </row>
    <row r="6560" spans="6:14" x14ac:dyDescent="0.3">
      <c r="F6560" s="1"/>
    </row>
    <row r="6561" spans="6:15" x14ac:dyDescent="0.3">
      <c r="F6561" s="1"/>
    </row>
    <row r="6562" spans="6:15" x14ac:dyDescent="0.3">
      <c r="F6562" s="1"/>
    </row>
    <row r="6563" spans="6:15" x14ac:dyDescent="0.3">
      <c r="F6563" s="1"/>
    </row>
    <row r="6564" spans="6:15" x14ac:dyDescent="0.3">
      <c r="F6564" s="1"/>
    </row>
    <row r="6565" spans="6:15" x14ac:dyDescent="0.3">
      <c r="F6565" s="1"/>
    </row>
    <row r="6566" spans="6:15" x14ac:dyDescent="0.3">
      <c r="O6566" s="1"/>
    </row>
    <row r="6567" spans="6:15" x14ac:dyDescent="0.3">
      <c r="F6567" s="1"/>
    </row>
    <row r="6568" spans="6:15" x14ac:dyDescent="0.3">
      <c r="F6568" s="1"/>
    </row>
    <row r="6569" spans="6:15" x14ac:dyDescent="0.3">
      <c r="F6569" s="1"/>
      <c r="M6569" s="1"/>
    </row>
    <row r="6570" spans="6:15" x14ac:dyDescent="0.3">
      <c r="F6570" s="1"/>
    </row>
    <row r="6571" spans="6:15" x14ac:dyDescent="0.3">
      <c r="F6571" s="1"/>
    </row>
    <row r="6572" spans="6:15" x14ac:dyDescent="0.3">
      <c r="F6572" s="1"/>
    </row>
    <row r="6573" spans="6:15" x14ac:dyDescent="0.3">
      <c r="F6573" s="1"/>
    </row>
    <row r="6574" spans="6:15" x14ac:dyDescent="0.3">
      <c r="F6574" s="1"/>
    </row>
    <row r="6575" spans="6:15" x14ac:dyDescent="0.3">
      <c r="L6575" s="1"/>
    </row>
    <row r="6576" spans="6:15" x14ac:dyDescent="0.3">
      <c r="F6576" s="1"/>
    </row>
    <row r="6577" spans="6:15" x14ac:dyDescent="0.3">
      <c r="F6577" s="1"/>
    </row>
    <row r="6579" spans="6:15" x14ac:dyDescent="0.3">
      <c r="F6579" s="1"/>
      <c r="L6579" s="1"/>
      <c r="M6579" s="1"/>
      <c r="O6579" s="1"/>
    </row>
    <row r="6580" spans="6:15" x14ac:dyDescent="0.3">
      <c r="F6580" s="1"/>
      <c r="N6580" s="1"/>
    </row>
    <row r="6581" spans="6:15" x14ac:dyDescent="0.3">
      <c r="F6581" s="1"/>
    </row>
    <row r="6582" spans="6:15" x14ac:dyDescent="0.3">
      <c r="F6582" s="1"/>
    </row>
    <row r="6583" spans="6:15" x14ac:dyDescent="0.3">
      <c r="F6583" s="1"/>
    </row>
    <row r="6584" spans="6:15" x14ac:dyDescent="0.3">
      <c r="F6584" s="1"/>
    </row>
    <row r="6585" spans="6:15" x14ac:dyDescent="0.3">
      <c r="F6585" s="1"/>
      <c r="L6585" s="1"/>
      <c r="M6585" s="1"/>
    </row>
    <row r="6586" spans="6:15" x14ac:dyDescent="0.3">
      <c r="F6586" s="1"/>
    </row>
    <row r="6587" spans="6:15" x14ac:dyDescent="0.3">
      <c r="F6587" s="1"/>
    </row>
    <row r="6589" spans="6:15" x14ac:dyDescent="0.3">
      <c r="F6589" s="1"/>
    </row>
    <row r="6590" spans="6:15" x14ac:dyDescent="0.3">
      <c r="F6590" s="1"/>
    </row>
    <row r="6591" spans="6:15" x14ac:dyDescent="0.3">
      <c r="F6591" s="1"/>
    </row>
    <row r="6592" spans="6:15" x14ac:dyDescent="0.3">
      <c r="F6592" s="1"/>
    </row>
    <row r="6593" spans="6:14" x14ac:dyDescent="0.3">
      <c r="F6593" s="1"/>
      <c r="M6593" s="1"/>
    </row>
    <row r="6594" spans="6:14" x14ac:dyDescent="0.3">
      <c r="F6594" s="1"/>
    </row>
    <row r="6595" spans="6:14" x14ac:dyDescent="0.3">
      <c r="F6595" s="1"/>
    </row>
    <row r="6596" spans="6:14" x14ac:dyDescent="0.3">
      <c r="F6596" s="1"/>
    </row>
    <row r="6598" spans="6:14" x14ac:dyDescent="0.3">
      <c r="F6598" s="1"/>
    </row>
    <row r="6599" spans="6:14" x14ac:dyDescent="0.3">
      <c r="F6599" s="1"/>
    </row>
    <row r="6600" spans="6:14" x14ac:dyDescent="0.3">
      <c r="F6600" s="1"/>
    </row>
    <row r="6601" spans="6:14" x14ac:dyDescent="0.3">
      <c r="F6601" s="1"/>
    </row>
    <row r="6602" spans="6:14" x14ac:dyDescent="0.3">
      <c r="F6602" s="1"/>
    </row>
    <row r="6604" spans="6:14" x14ac:dyDescent="0.3">
      <c r="F6604" s="1"/>
    </row>
    <row r="6605" spans="6:14" x14ac:dyDescent="0.3">
      <c r="N6605" s="1"/>
    </row>
    <row r="6606" spans="6:14" x14ac:dyDescent="0.3">
      <c r="F6606" s="1"/>
    </row>
    <row r="6607" spans="6:14" x14ac:dyDescent="0.3">
      <c r="F6607" s="1"/>
    </row>
    <row r="6608" spans="6:14" x14ac:dyDescent="0.3">
      <c r="F6608" s="1"/>
    </row>
    <row r="6609" spans="6:14" x14ac:dyDescent="0.3">
      <c r="F6609" s="1"/>
    </row>
    <row r="6610" spans="6:14" x14ac:dyDescent="0.3">
      <c r="F6610" s="1"/>
    </row>
    <row r="6611" spans="6:14" x14ac:dyDescent="0.3">
      <c r="F6611" s="1"/>
    </row>
    <row r="6612" spans="6:14" x14ac:dyDescent="0.3">
      <c r="F6612" s="1"/>
    </row>
    <row r="6613" spans="6:14" x14ac:dyDescent="0.3">
      <c r="F6613" s="1"/>
    </row>
    <row r="6614" spans="6:14" x14ac:dyDescent="0.3">
      <c r="F6614" s="1"/>
      <c r="M6614" s="1"/>
      <c r="N6614" s="1"/>
    </row>
    <row r="6615" spans="6:14" x14ac:dyDescent="0.3">
      <c r="F6615" s="1"/>
    </row>
    <row r="6616" spans="6:14" x14ac:dyDescent="0.3">
      <c r="F6616" s="1"/>
    </row>
    <row r="6617" spans="6:14" x14ac:dyDescent="0.3">
      <c r="F6617" s="1"/>
    </row>
    <row r="6618" spans="6:14" x14ac:dyDescent="0.3">
      <c r="F6618" s="1"/>
    </row>
    <row r="6619" spans="6:14" x14ac:dyDescent="0.3">
      <c r="F6619" s="1"/>
      <c r="L6619" s="1"/>
      <c r="N6619" s="1"/>
    </row>
    <row r="6620" spans="6:14" x14ac:dyDescent="0.3">
      <c r="F6620" s="1"/>
    </row>
    <row r="6621" spans="6:14" x14ac:dyDescent="0.3">
      <c r="F6621" s="1"/>
    </row>
    <row r="6622" spans="6:14" x14ac:dyDescent="0.3">
      <c r="F6622" s="1"/>
    </row>
    <row r="6624" spans="6:14" x14ac:dyDescent="0.3">
      <c r="F6624" s="1"/>
    </row>
    <row r="6625" spans="6:15" x14ac:dyDescent="0.3">
      <c r="F6625" s="1"/>
    </row>
    <row r="6626" spans="6:15" x14ac:dyDescent="0.3">
      <c r="F6626" s="1"/>
    </row>
    <row r="6627" spans="6:15" x14ac:dyDescent="0.3">
      <c r="L6627" s="1"/>
      <c r="M6627" s="1"/>
    </row>
    <row r="6628" spans="6:15" x14ac:dyDescent="0.3">
      <c r="F6628" s="1"/>
    </row>
    <row r="6629" spans="6:15" x14ac:dyDescent="0.3">
      <c r="F6629" s="1"/>
    </row>
    <row r="6630" spans="6:15" x14ac:dyDescent="0.3">
      <c r="F6630" s="1"/>
    </row>
    <row r="6631" spans="6:15" x14ac:dyDescent="0.3">
      <c r="F6631" s="1"/>
    </row>
    <row r="6632" spans="6:15" x14ac:dyDescent="0.3">
      <c r="F6632" s="1"/>
    </row>
    <row r="6633" spans="6:15" x14ac:dyDescent="0.3">
      <c r="F6633" s="1"/>
    </row>
    <row r="6634" spans="6:15" x14ac:dyDescent="0.3">
      <c r="F6634" s="1"/>
    </row>
    <row r="6635" spans="6:15" x14ac:dyDescent="0.3">
      <c r="F6635" s="1"/>
    </row>
    <row r="6636" spans="6:15" x14ac:dyDescent="0.3">
      <c r="F6636" s="1"/>
      <c r="M6636" s="1"/>
      <c r="N6636" s="1"/>
      <c r="O6636" s="1"/>
    </row>
    <row r="6637" spans="6:15" x14ac:dyDescent="0.3">
      <c r="L6637" s="1"/>
      <c r="M6637" s="1"/>
      <c r="O6637" s="1"/>
    </row>
    <row r="6638" spans="6:15" x14ac:dyDescent="0.3">
      <c r="F6638" s="1"/>
    </row>
    <row r="6639" spans="6:15" x14ac:dyDescent="0.3">
      <c r="F6639" s="1"/>
    </row>
    <row r="6640" spans="6:15" x14ac:dyDescent="0.3">
      <c r="F6640" s="1"/>
    </row>
    <row r="6641" spans="6:12" x14ac:dyDescent="0.3">
      <c r="F6641" s="1"/>
    </row>
    <row r="6642" spans="6:12" x14ac:dyDescent="0.3">
      <c r="F6642" s="1"/>
    </row>
    <row r="6643" spans="6:12" x14ac:dyDescent="0.3">
      <c r="F6643" s="1"/>
    </row>
    <row r="6645" spans="6:12" x14ac:dyDescent="0.3">
      <c r="F6645" s="1"/>
    </row>
    <row r="6646" spans="6:12" x14ac:dyDescent="0.3">
      <c r="F6646" s="1"/>
    </row>
    <row r="6647" spans="6:12" x14ac:dyDescent="0.3">
      <c r="F6647" s="1"/>
    </row>
    <row r="6648" spans="6:12" x14ac:dyDescent="0.3">
      <c r="L6648" s="1"/>
    </row>
    <row r="6649" spans="6:12" x14ac:dyDescent="0.3">
      <c r="F6649" s="1"/>
    </row>
    <row r="6650" spans="6:12" x14ac:dyDescent="0.3">
      <c r="F6650" s="1"/>
    </row>
    <row r="6651" spans="6:12" x14ac:dyDescent="0.3">
      <c r="F6651" s="1"/>
    </row>
    <row r="6652" spans="6:12" x14ac:dyDescent="0.3">
      <c r="F6652" s="1"/>
      <c r="L6652" s="1"/>
    </row>
    <row r="6653" spans="6:12" x14ac:dyDescent="0.3">
      <c r="F6653" s="1"/>
    </row>
    <row r="6654" spans="6:12" x14ac:dyDescent="0.3">
      <c r="F6654" s="1"/>
    </row>
    <row r="6656" spans="6:12" x14ac:dyDescent="0.3">
      <c r="F6656" s="1"/>
    </row>
    <row r="6657" spans="6:15" x14ac:dyDescent="0.3">
      <c r="F6657" s="1"/>
    </row>
    <row r="6658" spans="6:15" x14ac:dyDescent="0.3">
      <c r="F6658" s="1"/>
    </row>
    <row r="6659" spans="6:15" x14ac:dyDescent="0.3">
      <c r="F6659" s="1"/>
    </row>
    <row r="6660" spans="6:15" x14ac:dyDescent="0.3">
      <c r="F6660" s="1"/>
    </row>
    <row r="6661" spans="6:15" x14ac:dyDescent="0.3">
      <c r="F6661" s="1"/>
    </row>
    <row r="6662" spans="6:15" x14ac:dyDescent="0.3">
      <c r="M6662" s="1"/>
      <c r="O6662" s="1"/>
    </row>
    <row r="6664" spans="6:15" x14ac:dyDescent="0.3">
      <c r="F6664" s="1"/>
    </row>
    <row r="6665" spans="6:15" x14ac:dyDescent="0.3">
      <c r="F6665" s="1"/>
    </row>
    <row r="6666" spans="6:15" x14ac:dyDescent="0.3">
      <c r="F6666" s="1"/>
    </row>
    <row r="6668" spans="6:15" x14ac:dyDescent="0.3">
      <c r="F6668" s="1"/>
    </row>
    <row r="6669" spans="6:15" x14ac:dyDescent="0.3">
      <c r="F6669" s="1"/>
    </row>
    <row r="6671" spans="6:15" x14ac:dyDescent="0.3">
      <c r="F6671" s="1"/>
    </row>
    <row r="6672" spans="6:15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12" x14ac:dyDescent="0.3">
      <c r="F6689" s="1"/>
    </row>
    <row r="6690" spans="6:12" x14ac:dyDescent="0.3">
      <c r="F6690" s="1"/>
    </row>
    <row r="6691" spans="6:12" x14ac:dyDescent="0.3">
      <c r="F6691" s="1"/>
    </row>
    <row r="6692" spans="6:12" x14ac:dyDescent="0.3">
      <c r="F6692" s="1"/>
    </row>
    <row r="6693" spans="6:12" x14ac:dyDescent="0.3">
      <c r="F6693" s="1"/>
    </row>
    <row r="6694" spans="6:12" x14ac:dyDescent="0.3">
      <c r="F6694" s="1"/>
    </row>
    <row r="6695" spans="6:12" x14ac:dyDescent="0.3">
      <c r="F6695" s="1"/>
    </row>
    <row r="6696" spans="6:12" x14ac:dyDescent="0.3">
      <c r="F6696" s="1"/>
    </row>
    <row r="6697" spans="6:12" x14ac:dyDescent="0.3">
      <c r="F6697" s="1"/>
    </row>
    <row r="6698" spans="6:12" x14ac:dyDescent="0.3">
      <c r="F6698" s="1"/>
    </row>
    <row r="6699" spans="6:12" x14ac:dyDescent="0.3">
      <c r="F6699" s="1"/>
      <c r="L6699" s="1"/>
    </row>
    <row r="6700" spans="6:12" x14ac:dyDescent="0.3">
      <c r="F6700" s="1"/>
    </row>
    <row r="6701" spans="6:12" x14ac:dyDescent="0.3">
      <c r="F6701" s="1"/>
    </row>
    <row r="6702" spans="6:12" x14ac:dyDescent="0.3">
      <c r="F6702" s="1"/>
    </row>
    <row r="6705" spans="6:15" x14ac:dyDescent="0.3">
      <c r="F6705" s="1"/>
    </row>
    <row r="6706" spans="6:15" x14ac:dyDescent="0.3">
      <c r="F6706" s="1"/>
      <c r="L6706" s="1"/>
      <c r="M6706" s="1"/>
      <c r="O6706" s="1"/>
    </row>
    <row r="6707" spans="6:15" x14ac:dyDescent="0.3">
      <c r="F6707" s="1"/>
    </row>
    <row r="6708" spans="6:15" x14ac:dyDescent="0.3">
      <c r="F6708" s="1"/>
    </row>
    <row r="6709" spans="6:15" x14ac:dyDescent="0.3">
      <c r="F6709" s="1"/>
    </row>
    <row r="6710" spans="6:15" x14ac:dyDescent="0.3">
      <c r="F6710" s="1"/>
    </row>
    <row r="6711" spans="6:15" x14ac:dyDescent="0.3">
      <c r="F6711" s="1"/>
    </row>
    <row r="6712" spans="6:15" x14ac:dyDescent="0.3">
      <c r="L6712" s="1"/>
      <c r="N6712" s="1"/>
    </row>
    <row r="6713" spans="6:15" x14ac:dyDescent="0.3">
      <c r="F6713" s="1"/>
    </row>
    <row r="6714" spans="6:15" x14ac:dyDescent="0.3">
      <c r="F6714" s="1"/>
      <c r="N6714" s="1"/>
    </row>
    <row r="6715" spans="6:15" x14ac:dyDescent="0.3">
      <c r="F6715" s="1"/>
    </row>
    <row r="6716" spans="6:15" x14ac:dyDescent="0.3">
      <c r="F6716" s="1"/>
    </row>
    <row r="6717" spans="6:15" x14ac:dyDescent="0.3">
      <c r="F6717" s="1"/>
    </row>
    <row r="6719" spans="6:15" x14ac:dyDescent="0.3">
      <c r="F6719" s="1"/>
    </row>
    <row r="6720" spans="6:15" x14ac:dyDescent="0.3">
      <c r="F6720" s="1"/>
    </row>
    <row r="6721" spans="6:13" x14ac:dyDescent="0.3">
      <c r="F6721" s="1"/>
      <c r="M6721" s="1"/>
    </row>
    <row r="6722" spans="6:13" x14ac:dyDescent="0.3">
      <c r="F6722" s="1"/>
    </row>
    <row r="6723" spans="6:13" x14ac:dyDescent="0.3">
      <c r="F6723" s="1"/>
    </row>
    <row r="6724" spans="6:13" x14ac:dyDescent="0.3">
      <c r="F6724" s="1"/>
    </row>
    <row r="6725" spans="6:13" x14ac:dyDescent="0.3">
      <c r="F6725" s="1"/>
    </row>
    <row r="6726" spans="6:13" x14ac:dyDescent="0.3">
      <c r="F6726" s="1"/>
    </row>
    <row r="6727" spans="6:13" x14ac:dyDescent="0.3">
      <c r="F6727" s="1"/>
      <c r="L6727" s="1"/>
    </row>
    <row r="6728" spans="6:13" x14ac:dyDescent="0.3">
      <c r="F6728" s="1"/>
    </row>
    <row r="6730" spans="6:13" x14ac:dyDescent="0.3">
      <c r="F6730" s="1"/>
    </row>
    <row r="6731" spans="6:13" x14ac:dyDescent="0.3">
      <c r="F6731" s="1"/>
    </row>
    <row r="6732" spans="6:13" x14ac:dyDescent="0.3">
      <c r="F6732" s="1"/>
    </row>
    <row r="6733" spans="6:13" x14ac:dyDescent="0.3">
      <c r="F6733" s="1"/>
    </row>
    <row r="6734" spans="6:13" x14ac:dyDescent="0.3">
      <c r="F6734" s="1"/>
    </row>
    <row r="6735" spans="6:13" x14ac:dyDescent="0.3">
      <c r="F6735" s="1"/>
    </row>
    <row r="6736" spans="6:13" x14ac:dyDescent="0.3">
      <c r="F6736" s="1"/>
    </row>
    <row r="6737" spans="6:15" x14ac:dyDescent="0.3">
      <c r="F6737" s="1"/>
    </row>
    <row r="6738" spans="6:15" x14ac:dyDescent="0.3">
      <c r="F6738" s="1"/>
    </row>
    <row r="6739" spans="6:15" x14ac:dyDescent="0.3">
      <c r="F6739" s="1"/>
    </row>
    <row r="6740" spans="6:15" x14ac:dyDescent="0.3">
      <c r="F6740" s="1"/>
    </row>
    <row r="6741" spans="6:15" x14ac:dyDescent="0.3">
      <c r="F6741" s="1"/>
    </row>
    <row r="6742" spans="6:15" x14ac:dyDescent="0.3">
      <c r="F6742" s="1"/>
    </row>
    <row r="6743" spans="6:15" x14ac:dyDescent="0.3">
      <c r="L6743" s="1"/>
      <c r="M6743" s="1"/>
      <c r="N6743" s="1"/>
      <c r="O6743" s="1"/>
    </row>
    <row r="6744" spans="6:15" x14ac:dyDescent="0.3">
      <c r="F6744" s="1"/>
    </row>
    <row r="6745" spans="6:15" x14ac:dyDescent="0.3">
      <c r="F6745" s="1"/>
    </row>
    <row r="6746" spans="6:15" x14ac:dyDescent="0.3">
      <c r="F6746" s="1"/>
    </row>
    <row r="6747" spans="6:15" x14ac:dyDescent="0.3">
      <c r="F6747" s="1"/>
    </row>
    <row r="6748" spans="6:15" x14ac:dyDescent="0.3">
      <c r="F6748" s="1"/>
      <c r="M6748" s="1"/>
    </row>
    <row r="6749" spans="6:15" x14ac:dyDescent="0.3">
      <c r="F6749" s="1"/>
      <c r="N6749" s="1"/>
    </row>
    <row r="6750" spans="6:15" x14ac:dyDescent="0.3">
      <c r="F6750" s="1"/>
    </row>
    <row r="6752" spans="6:15" x14ac:dyDescent="0.3">
      <c r="F6752" s="1"/>
    </row>
    <row r="6753" spans="6:15" x14ac:dyDescent="0.3">
      <c r="F6753" s="1"/>
    </row>
    <row r="6754" spans="6:15" x14ac:dyDescent="0.3">
      <c r="F6754" s="1"/>
    </row>
    <row r="6756" spans="6:15" x14ac:dyDescent="0.3">
      <c r="F6756" s="1"/>
    </row>
    <row r="6757" spans="6:15" x14ac:dyDescent="0.3">
      <c r="F6757" s="1"/>
    </row>
    <row r="6758" spans="6:15" x14ac:dyDescent="0.3">
      <c r="M6758" s="1"/>
      <c r="N6758" s="1"/>
    </row>
    <row r="6759" spans="6:15" x14ac:dyDescent="0.3">
      <c r="F6759" s="1"/>
    </row>
    <row r="6760" spans="6:15" x14ac:dyDescent="0.3">
      <c r="F6760" s="1"/>
    </row>
    <row r="6761" spans="6:15" x14ac:dyDescent="0.3">
      <c r="F6761" s="1"/>
    </row>
    <row r="6762" spans="6:15" x14ac:dyDescent="0.3">
      <c r="F6762" s="1"/>
      <c r="L6762" s="1"/>
    </row>
    <row r="6763" spans="6:15" x14ac:dyDescent="0.3">
      <c r="F6763" s="1"/>
      <c r="L6763" s="1"/>
      <c r="M6763" s="1"/>
      <c r="N6763" s="1"/>
      <c r="O6763" s="1"/>
    </row>
    <row r="6764" spans="6:15" x14ac:dyDescent="0.3">
      <c r="F6764" s="1"/>
    </row>
    <row r="6765" spans="6:15" x14ac:dyDescent="0.3">
      <c r="F6765" s="1"/>
    </row>
    <row r="6766" spans="6:15" x14ac:dyDescent="0.3">
      <c r="F6766" s="1"/>
    </row>
    <row r="6767" spans="6:15" x14ac:dyDescent="0.3">
      <c r="F6767" s="1"/>
    </row>
    <row r="6768" spans="6:15" x14ac:dyDescent="0.3">
      <c r="F6768" s="1"/>
    </row>
    <row r="6769" spans="6:12" x14ac:dyDescent="0.3">
      <c r="F6769" s="1"/>
    </row>
    <row r="6770" spans="6:12" x14ac:dyDescent="0.3">
      <c r="F6770" s="1"/>
    </row>
    <row r="6771" spans="6:12" x14ac:dyDescent="0.3">
      <c r="F6771" s="1"/>
    </row>
    <row r="6774" spans="6:12" x14ac:dyDescent="0.3">
      <c r="F6774" s="1"/>
    </row>
    <row r="6775" spans="6:12" x14ac:dyDescent="0.3">
      <c r="F6775" s="1"/>
    </row>
    <row r="6776" spans="6:12" x14ac:dyDescent="0.3">
      <c r="F6776" s="1"/>
    </row>
    <row r="6777" spans="6:12" x14ac:dyDescent="0.3">
      <c r="F6777" s="1"/>
    </row>
    <row r="6779" spans="6:12" x14ac:dyDescent="0.3">
      <c r="F6779" s="1"/>
    </row>
    <row r="6780" spans="6:12" x14ac:dyDescent="0.3">
      <c r="F6780" s="1"/>
    </row>
    <row r="6781" spans="6:12" x14ac:dyDescent="0.3">
      <c r="F6781" s="1"/>
    </row>
    <row r="6782" spans="6:12" x14ac:dyDescent="0.3">
      <c r="F6782" s="1"/>
    </row>
    <row r="6783" spans="6:12" x14ac:dyDescent="0.3">
      <c r="F6783" s="1"/>
    </row>
    <row r="6784" spans="6:12" x14ac:dyDescent="0.3">
      <c r="F6784" s="1"/>
      <c r="L6784" s="1"/>
    </row>
    <row r="6785" spans="6:14" x14ac:dyDescent="0.3">
      <c r="F6785" s="1"/>
    </row>
    <row r="6786" spans="6:14" x14ac:dyDescent="0.3">
      <c r="F6786" s="1"/>
    </row>
    <row r="6787" spans="6:14" x14ac:dyDescent="0.3">
      <c r="F6787" s="1"/>
      <c r="N6787" s="1"/>
    </row>
    <row r="6788" spans="6:14" x14ac:dyDescent="0.3">
      <c r="F6788" s="1"/>
    </row>
    <row r="6789" spans="6:14" x14ac:dyDescent="0.3">
      <c r="F6789" s="1"/>
    </row>
    <row r="6790" spans="6:14" x14ac:dyDescent="0.3">
      <c r="F6790" s="1"/>
    </row>
    <row r="6791" spans="6:14" x14ac:dyDescent="0.3">
      <c r="F6791" s="1"/>
    </row>
    <row r="6792" spans="6:14" x14ac:dyDescent="0.3">
      <c r="F6792" s="1"/>
    </row>
    <row r="6793" spans="6:14" x14ac:dyDescent="0.3">
      <c r="F6793" s="1"/>
    </row>
    <row r="6794" spans="6:14" x14ac:dyDescent="0.3">
      <c r="F6794" s="1"/>
    </row>
    <row r="6795" spans="6:14" x14ac:dyDescent="0.3">
      <c r="F6795" s="1"/>
    </row>
    <row r="6797" spans="6:14" x14ac:dyDescent="0.3">
      <c r="F6797" s="1"/>
    </row>
    <row r="6798" spans="6:14" x14ac:dyDescent="0.3">
      <c r="F6798" s="1"/>
    </row>
    <row r="6799" spans="6:14" x14ac:dyDescent="0.3">
      <c r="F6799" s="1"/>
    </row>
    <row r="6800" spans="6:14" x14ac:dyDescent="0.3">
      <c r="F6800" s="1"/>
    </row>
    <row r="6801" spans="6:12" x14ac:dyDescent="0.3">
      <c r="F6801" s="1"/>
    </row>
    <row r="6802" spans="6:12" x14ac:dyDescent="0.3">
      <c r="F6802" s="1"/>
    </row>
    <row r="6803" spans="6:12" x14ac:dyDescent="0.3">
      <c r="L6803" s="1"/>
    </row>
    <row r="6804" spans="6:12" x14ac:dyDescent="0.3">
      <c r="F6804" s="1"/>
    </row>
    <row r="6805" spans="6:12" x14ac:dyDescent="0.3">
      <c r="F6805" s="1"/>
    </row>
    <row r="6806" spans="6:12" x14ac:dyDescent="0.3">
      <c r="F6806" s="1"/>
    </row>
    <row r="6807" spans="6:12" x14ac:dyDescent="0.3">
      <c r="F6807" s="1"/>
    </row>
    <row r="6808" spans="6:12" x14ac:dyDescent="0.3">
      <c r="F6808" s="1"/>
    </row>
    <row r="6809" spans="6:12" x14ac:dyDescent="0.3">
      <c r="F6809" s="1"/>
    </row>
    <row r="6810" spans="6:12" x14ac:dyDescent="0.3">
      <c r="F6810" s="1"/>
    </row>
    <row r="6811" spans="6:12" x14ac:dyDescent="0.3">
      <c r="F6811" s="1"/>
    </row>
    <row r="6812" spans="6:12" x14ac:dyDescent="0.3">
      <c r="F6812" s="1"/>
    </row>
    <row r="6813" spans="6:12" x14ac:dyDescent="0.3">
      <c r="F6813" s="1"/>
    </row>
    <row r="6814" spans="6:12" x14ac:dyDescent="0.3">
      <c r="F6814" s="1"/>
    </row>
    <row r="6815" spans="6:12" x14ac:dyDescent="0.3">
      <c r="F6815" s="1"/>
    </row>
    <row r="6816" spans="6:12" x14ac:dyDescent="0.3">
      <c r="F6816" s="1"/>
    </row>
    <row r="6817" spans="6:13" x14ac:dyDescent="0.3">
      <c r="F6817" s="1"/>
      <c r="M6817" s="1"/>
    </row>
    <row r="6818" spans="6:13" x14ac:dyDescent="0.3">
      <c r="F6818" s="1"/>
    </row>
    <row r="6819" spans="6:13" x14ac:dyDescent="0.3">
      <c r="F6819" s="1"/>
    </row>
    <row r="6820" spans="6:13" x14ac:dyDescent="0.3">
      <c r="F6820" s="1"/>
    </row>
    <row r="6821" spans="6:13" x14ac:dyDescent="0.3">
      <c r="F6821" s="1"/>
    </row>
    <row r="6823" spans="6:13" x14ac:dyDescent="0.3">
      <c r="F6823" s="1"/>
    </row>
    <row r="6824" spans="6:13" x14ac:dyDescent="0.3">
      <c r="F6824" s="1"/>
    </row>
    <row r="6825" spans="6:13" x14ac:dyDescent="0.3">
      <c r="F6825" s="1"/>
    </row>
    <row r="6826" spans="6:13" x14ac:dyDescent="0.3">
      <c r="F6826" s="1"/>
    </row>
    <row r="6827" spans="6:13" x14ac:dyDescent="0.3">
      <c r="F6827" s="1"/>
    </row>
    <row r="6828" spans="6:13" x14ac:dyDescent="0.3">
      <c r="F6828" s="1"/>
    </row>
    <row r="6829" spans="6:13" x14ac:dyDescent="0.3">
      <c r="F6829" s="1"/>
      <c r="M6829" s="1"/>
    </row>
    <row r="6830" spans="6:13" x14ac:dyDescent="0.3">
      <c r="F6830" s="1"/>
    </row>
    <row r="6831" spans="6:13" x14ac:dyDescent="0.3">
      <c r="F6831" s="1"/>
    </row>
    <row r="6833" spans="6:13" x14ac:dyDescent="0.3">
      <c r="F6833" s="1"/>
    </row>
    <row r="6834" spans="6:13" x14ac:dyDescent="0.3">
      <c r="F6834" s="1"/>
    </row>
    <row r="6835" spans="6:13" x14ac:dyDescent="0.3">
      <c r="F6835" s="1"/>
    </row>
    <row r="6836" spans="6:13" x14ac:dyDescent="0.3">
      <c r="F6836" s="1"/>
    </row>
    <row r="6838" spans="6:13" x14ac:dyDescent="0.3">
      <c r="F6838" s="1"/>
    </row>
    <row r="6839" spans="6:13" x14ac:dyDescent="0.3">
      <c r="F6839" s="1"/>
    </row>
    <row r="6840" spans="6:13" x14ac:dyDescent="0.3">
      <c r="F6840" s="1"/>
    </row>
    <row r="6842" spans="6:13" x14ac:dyDescent="0.3">
      <c r="F6842" s="1"/>
      <c r="M6842" s="1"/>
    </row>
    <row r="6843" spans="6:13" x14ac:dyDescent="0.3">
      <c r="F6843" s="1"/>
    </row>
    <row r="6844" spans="6:13" x14ac:dyDescent="0.3">
      <c r="F6844" s="1"/>
    </row>
    <row r="6845" spans="6:13" x14ac:dyDescent="0.3">
      <c r="F6845" s="1"/>
    </row>
    <row r="6846" spans="6:13" x14ac:dyDescent="0.3">
      <c r="F6846" s="1"/>
    </row>
    <row r="6848" spans="6:13" x14ac:dyDescent="0.3">
      <c r="F6848" s="1"/>
    </row>
    <row r="6849" spans="6:14" x14ac:dyDescent="0.3">
      <c r="L6849" s="1"/>
    </row>
    <row r="6850" spans="6:14" x14ac:dyDescent="0.3">
      <c r="F6850" s="1"/>
    </row>
    <row r="6851" spans="6:14" x14ac:dyDescent="0.3">
      <c r="F6851" s="1"/>
      <c r="L6851" s="1"/>
    </row>
    <row r="6852" spans="6:14" x14ac:dyDescent="0.3">
      <c r="F6852" s="1"/>
    </row>
    <row r="6853" spans="6:14" x14ac:dyDescent="0.3">
      <c r="F6853" s="1"/>
    </row>
    <row r="6854" spans="6:14" x14ac:dyDescent="0.3">
      <c r="F6854" s="1"/>
    </row>
    <row r="6855" spans="6:14" x14ac:dyDescent="0.3">
      <c r="N6855" s="1"/>
    </row>
    <row r="6856" spans="6:14" x14ac:dyDescent="0.3">
      <c r="F6856" s="1"/>
      <c r="M6856" s="1"/>
    </row>
    <row r="6857" spans="6:14" x14ac:dyDescent="0.3">
      <c r="F6857" s="1"/>
    </row>
    <row r="6858" spans="6:14" x14ac:dyDescent="0.3">
      <c r="F6858" s="1"/>
    </row>
    <row r="6859" spans="6:14" x14ac:dyDescent="0.3">
      <c r="F6859" s="1"/>
    </row>
    <row r="6861" spans="6:14" x14ac:dyDescent="0.3">
      <c r="F6861" s="1"/>
    </row>
    <row r="6862" spans="6:14" x14ac:dyDescent="0.3">
      <c r="F6862" s="1"/>
    </row>
    <row r="6863" spans="6:14" x14ac:dyDescent="0.3">
      <c r="F6863" s="1"/>
    </row>
    <row r="6864" spans="6:14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2" spans="6:15" x14ac:dyDescent="0.3">
      <c r="M6882" s="1"/>
      <c r="O6882" s="1"/>
    </row>
    <row r="6883" spans="6:15" x14ac:dyDescent="0.3">
      <c r="F6883" s="1"/>
    </row>
    <row r="6886" spans="6:15" x14ac:dyDescent="0.3">
      <c r="F6886" s="1"/>
    </row>
    <row r="6887" spans="6:15" x14ac:dyDescent="0.3">
      <c r="F6887" s="1"/>
    </row>
    <row r="6888" spans="6:15" x14ac:dyDescent="0.3">
      <c r="F6888" s="1"/>
    </row>
    <row r="6889" spans="6:15" x14ac:dyDescent="0.3">
      <c r="F6889" s="1"/>
    </row>
    <row r="6890" spans="6:15" x14ac:dyDescent="0.3">
      <c r="F6890" s="1"/>
    </row>
    <row r="6891" spans="6:15" x14ac:dyDescent="0.3">
      <c r="F6891" s="1"/>
    </row>
    <row r="6892" spans="6:15" x14ac:dyDescent="0.3">
      <c r="F6892" s="1"/>
    </row>
    <row r="6893" spans="6:15" x14ac:dyDescent="0.3">
      <c r="F6893" s="1"/>
    </row>
    <row r="6894" spans="6:15" x14ac:dyDescent="0.3">
      <c r="F6894" s="1"/>
    </row>
    <row r="6895" spans="6:15" x14ac:dyDescent="0.3">
      <c r="F6895" s="1"/>
    </row>
    <row r="6896" spans="6:15" x14ac:dyDescent="0.3">
      <c r="F6896" s="1"/>
    </row>
    <row r="6897" spans="6:14" x14ac:dyDescent="0.3">
      <c r="F6897" s="1"/>
    </row>
    <row r="6898" spans="6:14" x14ac:dyDescent="0.3">
      <c r="F6898" s="1"/>
    </row>
    <row r="6899" spans="6:14" x14ac:dyDescent="0.3">
      <c r="F6899" s="1"/>
    </row>
    <row r="6901" spans="6:14" x14ac:dyDescent="0.3">
      <c r="F6901" s="1"/>
    </row>
    <row r="6902" spans="6:14" x14ac:dyDescent="0.3">
      <c r="F6902" s="1"/>
    </row>
    <row r="6903" spans="6:14" x14ac:dyDescent="0.3">
      <c r="F6903" s="1"/>
    </row>
    <row r="6904" spans="6:14" x14ac:dyDescent="0.3">
      <c r="F6904" s="1"/>
    </row>
    <row r="6906" spans="6:14" x14ac:dyDescent="0.3">
      <c r="N6906" s="1"/>
    </row>
    <row r="6907" spans="6:14" x14ac:dyDescent="0.3">
      <c r="F6907" s="1"/>
    </row>
    <row r="6908" spans="6:14" x14ac:dyDescent="0.3">
      <c r="F6908" s="1"/>
    </row>
    <row r="6909" spans="6:14" x14ac:dyDescent="0.3">
      <c r="F6909" s="1"/>
    </row>
    <row r="6910" spans="6:14" x14ac:dyDescent="0.3">
      <c r="F6910" s="1"/>
    </row>
    <row r="6911" spans="6:14" x14ac:dyDescent="0.3">
      <c r="F6911" s="1"/>
      <c r="L6911" s="1"/>
    </row>
    <row r="6912" spans="6:14" x14ac:dyDescent="0.3">
      <c r="F6912" s="1"/>
    </row>
    <row r="6913" spans="6:13" x14ac:dyDescent="0.3">
      <c r="F6913" s="1"/>
    </row>
    <row r="6914" spans="6:13" x14ac:dyDescent="0.3">
      <c r="F6914" s="1"/>
    </row>
    <row r="6915" spans="6:13" x14ac:dyDescent="0.3">
      <c r="F6915" s="1"/>
    </row>
    <row r="6916" spans="6:13" x14ac:dyDescent="0.3">
      <c r="F6916" s="1"/>
    </row>
    <row r="6917" spans="6:13" x14ac:dyDescent="0.3">
      <c r="F6917" s="1"/>
    </row>
    <row r="6918" spans="6:13" x14ac:dyDescent="0.3">
      <c r="F6918" s="1"/>
    </row>
    <row r="6919" spans="6:13" x14ac:dyDescent="0.3">
      <c r="F6919" s="1"/>
    </row>
    <row r="6920" spans="6:13" x14ac:dyDescent="0.3">
      <c r="F6920" s="1"/>
    </row>
    <row r="6921" spans="6:13" x14ac:dyDescent="0.3">
      <c r="F6921" s="1"/>
    </row>
    <row r="6922" spans="6:13" x14ac:dyDescent="0.3">
      <c r="M6922" s="1"/>
    </row>
    <row r="6923" spans="6:13" x14ac:dyDescent="0.3">
      <c r="F6923" s="1"/>
    </row>
    <row r="6924" spans="6:13" x14ac:dyDescent="0.3">
      <c r="F6924" s="1"/>
    </row>
    <row r="6925" spans="6:13" x14ac:dyDescent="0.3">
      <c r="F6925" s="1"/>
    </row>
    <row r="6926" spans="6:13" x14ac:dyDescent="0.3">
      <c r="F6926" s="1"/>
    </row>
    <row r="6927" spans="6:13" x14ac:dyDescent="0.3">
      <c r="F6927" s="1"/>
    </row>
    <row r="6930" spans="6:15" x14ac:dyDescent="0.3">
      <c r="F6930" s="1"/>
    </row>
    <row r="6931" spans="6:15" x14ac:dyDescent="0.3">
      <c r="F6931" s="1"/>
    </row>
    <row r="6932" spans="6:15" x14ac:dyDescent="0.3">
      <c r="F6932" s="1"/>
    </row>
    <row r="6933" spans="6:15" x14ac:dyDescent="0.3">
      <c r="F6933" s="1"/>
    </row>
    <row r="6935" spans="6:15" x14ac:dyDescent="0.3">
      <c r="F6935" s="1"/>
    </row>
    <row r="6936" spans="6:15" x14ac:dyDescent="0.3">
      <c r="F6936" s="1"/>
    </row>
    <row r="6937" spans="6:15" x14ac:dyDescent="0.3">
      <c r="F6937" s="1"/>
    </row>
    <row r="6938" spans="6:15" x14ac:dyDescent="0.3">
      <c r="F6938" s="1"/>
      <c r="L6938" s="1"/>
      <c r="M6938" s="1"/>
    </row>
    <row r="6939" spans="6:15" x14ac:dyDescent="0.3">
      <c r="F6939" s="1"/>
    </row>
    <row r="6940" spans="6:15" x14ac:dyDescent="0.3">
      <c r="F6940" s="1"/>
    </row>
    <row r="6942" spans="6:15" x14ac:dyDescent="0.3">
      <c r="F6942" s="1"/>
    </row>
    <row r="6943" spans="6:15" x14ac:dyDescent="0.3">
      <c r="F6943" s="1"/>
      <c r="L6943" s="1"/>
      <c r="N6943" s="1"/>
      <c r="O6943" s="1"/>
    </row>
    <row r="6945" spans="6:15" x14ac:dyDescent="0.3">
      <c r="F6945" s="1"/>
    </row>
    <row r="6946" spans="6:15" x14ac:dyDescent="0.3">
      <c r="F6946" s="1"/>
    </row>
    <row r="6947" spans="6:15" x14ac:dyDescent="0.3">
      <c r="F6947" s="1"/>
    </row>
    <row r="6948" spans="6:15" x14ac:dyDescent="0.3">
      <c r="F6948" s="1"/>
    </row>
    <row r="6949" spans="6:15" x14ac:dyDescent="0.3">
      <c r="F6949" s="1"/>
    </row>
    <row r="6950" spans="6:15" x14ac:dyDescent="0.3">
      <c r="M6950" s="1"/>
      <c r="N6950" s="1"/>
      <c r="O6950" s="1"/>
    </row>
    <row r="6952" spans="6:15" x14ac:dyDescent="0.3">
      <c r="M6952" s="1"/>
    </row>
    <row r="6953" spans="6:15" x14ac:dyDescent="0.3">
      <c r="F6953" s="1"/>
    </row>
    <row r="6954" spans="6:15" x14ac:dyDescent="0.3">
      <c r="F6954" s="1"/>
    </row>
    <row r="6955" spans="6:15" x14ac:dyDescent="0.3">
      <c r="F6955" s="1"/>
    </row>
    <row r="6956" spans="6:15" x14ac:dyDescent="0.3">
      <c r="F6956" s="1"/>
    </row>
    <row r="6957" spans="6:15" x14ac:dyDescent="0.3">
      <c r="F6957" s="1"/>
    </row>
    <row r="6958" spans="6:15" x14ac:dyDescent="0.3">
      <c r="F6958" s="1"/>
    </row>
    <row r="6959" spans="6:15" x14ac:dyDescent="0.3">
      <c r="F6959" s="1"/>
    </row>
    <row r="6960" spans="6:15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6" spans="6:6" x14ac:dyDescent="0.3">
      <c r="F6976" s="1"/>
    </row>
    <row r="6977" spans="6:15" x14ac:dyDescent="0.3">
      <c r="F6977" s="1"/>
    </row>
    <row r="6978" spans="6:15" x14ac:dyDescent="0.3">
      <c r="F6978" s="1"/>
    </row>
    <row r="6979" spans="6:15" x14ac:dyDescent="0.3">
      <c r="L6979" s="1"/>
    </row>
    <row r="6981" spans="6:15" x14ac:dyDescent="0.3">
      <c r="F6981" s="1"/>
    </row>
    <row r="6982" spans="6:15" x14ac:dyDescent="0.3">
      <c r="F6982" s="1"/>
    </row>
    <row r="6983" spans="6:15" x14ac:dyDescent="0.3">
      <c r="F6983" s="1"/>
    </row>
    <row r="6984" spans="6:15" x14ac:dyDescent="0.3">
      <c r="F6984" s="1"/>
    </row>
    <row r="6985" spans="6:15" x14ac:dyDescent="0.3">
      <c r="M6985" s="1"/>
      <c r="N6985" s="1"/>
      <c r="O6985" s="1"/>
    </row>
    <row r="6986" spans="6:15" x14ac:dyDescent="0.3">
      <c r="F6986" s="1"/>
    </row>
    <row r="6987" spans="6:15" x14ac:dyDescent="0.3">
      <c r="F6987" s="1"/>
    </row>
    <row r="6989" spans="6:15" x14ac:dyDescent="0.3">
      <c r="F6989" s="1"/>
    </row>
    <row r="6990" spans="6:15" x14ac:dyDescent="0.3">
      <c r="F6990" s="1"/>
    </row>
    <row r="6991" spans="6:15" x14ac:dyDescent="0.3">
      <c r="F6991" s="1"/>
    </row>
    <row r="6992" spans="6:15" x14ac:dyDescent="0.3">
      <c r="F6992" s="1"/>
    </row>
    <row r="6993" spans="6:13" x14ac:dyDescent="0.3">
      <c r="F6993" s="1"/>
    </row>
    <row r="6994" spans="6:13" x14ac:dyDescent="0.3">
      <c r="F6994" s="1"/>
    </row>
    <row r="6995" spans="6:13" x14ac:dyDescent="0.3">
      <c r="F6995" s="1"/>
    </row>
    <row r="6996" spans="6:13" x14ac:dyDescent="0.3">
      <c r="F6996" s="1"/>
    </row>
    <row r="6998" spans="6:13" x14ac:dyDescent="0.3">
      <c r="F6998" s="1"/>
    </row>
    <row r="6999" spans="6:13" x14ac:dyDescent="0.3">
      <c r="F6999" s="1"/>
    </row>
    <row r="7000" spans="6:13" x14ac:dyDescent="0.3">
      <c r="M7000" s="1"/>
    </row>
    <row r="7003" spans="6:13" x14ac:dyDescent="0.3">
      <c r="F7003" s="1"/>
    </row>
    <row r="7004" spans="6:13" x14ac:dyDescent="0.3">
      <c r="F7004" s="1"/>
    </row>
    <row r="7005" spans="6:13" x14ac:dyDescent="0.3">
      <c r="F7005" s="1"/>
    </row>
    <row r="7007" spans="6:13" x14ac:dyDescent="0.3">
      <c r="F7007" s="1"/>
    </row>
    <row r="7008" spans="6:13" x14ac:dyDescent="0.3">
      <c r="F7008" s="1"/>
    </row>
    <row r="7009" spans="6:14" x14ac:dyDescent="0.3">
      <c r="F7009" s="1"/>
    </row>
    <row r="7012" spans="6:14" x14ac:dyDescent="0.3">
      <c r="F7012" s="1"/>
      <c r="M7012" s="1"/>
    </row>
    <row r="7013" spans="6:14" x14ac:dyDescent="0.3">
      <c r="F7013" s="1"/>
    </row>
    <row r="7015" spans="6:14" x14ac:dyDescent="0.3">
      <c r="F7015" s="1"/>
    </row>
    <row r="7017" spans="6:14" x14ac:dyDescent="0.3">
      <c r="F7017" s="1"/>
    </row>
    <row r="7018" spans="6:14" x14ac:dyDescent="0.3">
      <c r="F7018" s="1"/>
      <c r="L7018" s="1"/>
      <c r="M7018" s="1"/>
      <c r="N7018" s="1"/>
    </row>
    <row r="7019" spans="6:14" x14ac:dyDescent="0.3">
      <c r="F7019" s="1"/>
    </row>
    <row r="7020" spans="6:14" x14ac:dyDescent="0.3">
      <c r="F7020" s="1"/>
      <c r="N7020" s="1"/>
    </row>
    <row r="7021" spans="6:14" x14ac:dyDescent="0.3">
      <c r="F7021" s="1"/>
    </row>
    <row r="7022" spans="6:14" x14ac:dyDescent="0.3">
      <c r="L7022" s="1"/>
      <c r="N7022" s="1"/>
    </row>
    <row r="7023" spans="6:14" x14ac:dyDescent="0.3">
      <c r="F7023" s="1"/>
    </row>
    <row r="7024" spans="6:14" x14ac:dyDescent="0.3">
      <c r="M7024" s="1"/>
    </row>
    <row r="7025" spans="6:14" x14ac:dyDescent="0.3">
      <c r="F7025" s="1"/>
    </row>
    <row r="7026" spans="6:14" x14ac:dyDescent="0.3">
      <c r="F7026" s="1"/>
    </row>
    <row r="7027" spans="6:14" x14ac:dyDescent="0.3">
      <c r="F7027" s="1"/>
    </row>
    <row r="7028" spans="6:14" x14ac:dyDescent="0.3">
      <c r="F7028" s="1"/>
    </row>
    <row r="7029" spans="6:14" x14ac:dyDescent="0.3">
      <c r="F7029" s="1"/>
    </row>
    <row r="7031" spans="6:14" x14ac:dyDescent="0.3">
      <c r="F7031" s="1"/>
    </row>
    <row r="7033" spans="6:14" x14ac:dyDescent="0.3">
      <c r="F7033" s="1"/>
    </row>
    <row r="7034" spans="6:14" x14ac:dyDescent="0.3">
      <c r="F7034" s="1"/>
    </row>
    <row r="7035" spans="6:14" x14ac:dyDescent="0.3">
      <c r="F7035" s="1"/>
    </row>
    <row r="7036" spans="6:14" x14ac:dyDescent="0.3">
      <c r="F7036" s="1"/>
    </row>
    <row r="7038" spans="6:14" x14ac:dyDescent="0.3">
      <c r="F7038" s="1"/>
      <c r="N7038" s="1"/>
    </row>
    <row r="7039" spans="6:14" x14ac:dyDescent="0.3">
      <c r="F7039" s="1"/>
    </row>
    <row r="7040" spans="6:14" x14ac:dyDescent="0.3">
      <c r="F7040" s="1"/>
    </row>
    <row r="7042" spans="6:15" x14ac:dyDescent="0.3">
      <c r="F7042" s="1"/>
    </row>
    <row r="7043" spans="6:15" x14ac:dyDescent="0.3">
      <c r="F7043" s="1"/>
    </row>
    <row r="7044" spans="6:15" x14ac:dyDescent="0.3">
      <c r="F7044" s="1"/>
    </row>
    <row r="7045" spans="6:15" x14ac:dyDescent="0.3">
      <c r="F7045" s="1"/>
    </row>
    <row r="7046" spans="6:15" x14ac:dyDescent="0.3">
      <c r="F7046" s="1"/>
      <c r="N7046" s="1"/>
    </row>
    <row r="7047" spans="6:15" x14ac:dyDescent="0.3">
      <c r="F7047" s="1"/>
    </row>
    <row r="7048" spans="6:15" x14ac:dyDescent="0.3">
      <c r="F7048" s="1"/>
    </row>
    <row r="7051" spans="6:15" x14ac:dyDescent="0.3">
      <c r="M7051" s="1"/>
      <c r="N7051" s="1"/>
      <c r="O7051" s="1"/>
    </row>
    <row r="7052" spans="6:15" x14ac:dyDescent="0.3">
      <c r="F7052" s="1"/>
    </row>
    <row r="7053" spans="6:15" x14ac:dyDescent="0.3">
      <c r="F7053" s="1"/>
      <c r="L7053" s="1"/>
    </row>
    <row r="7054" spans="6:15" x14ac:dyDescent="0.3">
      <c r="F7054" s="1"/>
    </row>
    <row r="7055" spans="6:15" x14ac:dyDescent="0.3">
      <c r="F7055" s="1"/>
    </row>
    <row r="7056" spans="6:15" x14ac:dyDescent="0.3">
      <c r="F7056" s="1"/>
    </row>
    <row r="7057" spans="6:14" x14ac:dyDescent="0.3">
      <c r="F7057" s="1"/>
    </row>
    <row r="7058" spans="6:14" x14ac:dyDescent="0.3">
      <c r="M7058" s="1"/>
      <c r="N7058" s="1"/>
    </row>
    <row r="7059" spans="6:14" x14ac:dyDescent="0.3">
      <c r="F7059" s="1"/>
    </row>
    <row r="7060" spans="6:14" x14ac:dyDescent="0.3">
      <c r="F7060" s="1"/>
    </row>
    <row r="7061" spans="6:14" x14ac:dyDescent="0.3">
      <c r="F7061" s="1"/>
    </row>
    <row r="7062" spans="6:14" x14ac:dyDescent="0.3">
      <c r="F7062" s="1"/>
    </row>
    <row r="7064" spans="6:14" x14ac:dyDescent="0.3">
      <c r="F7064" s="1"/>
    </row>
    <row r="7065" spans="6:14" x14ac:dyDescent="0.3">
      <c r="F7065" s="1"/>
      <c r="L7065" s="1"/>
      <c r="M7065" s="1"/>
    </row>
    <row r="7066" spans="6:14" x14ac:dyDescent="0.3">
      <c r="F7066" s="1"/>
    </row>
    <row r="7067" spans="6:14" x14ac:dyDescent="0.3">
      <c r="F7067" s="1"/>
    </row>
    <row r="7068" spans="6:14" x14ac:dyDescent="0.3">
      <c r="F7068" s="1"/>
    </row>
    <row r="7069" spans="6:14" x14ac:dyDescent="0.3">
      <c r="F7069" s="1"/>
    </row>
    <row r="7070" spans="6:14" x14ac:dyDescent="0.3">
      <c r="F7070" s="1"/>
    </row>
    <row r="7071" spans="6:14" x14ac:dyDescent="0.3">
      <c r="F7071" s="1"/>
    </row>
    <row r="7072" spans="6:14" x14ac:dyDescent="0.3">
      <c r="F7072" s="1"/>
    </row>
    <row r="7073" spans="6:15" x14ac:dyDescent="0.3">
      <c r="F7073" s="1"/>
    </row>
    <row r="7075" spans="6:15" x14ac:dyDescent="0.3">
      <c r="F7075" s="1"/>
      <c r="L7075" s="1"/>
    </row>
    <row r="7076" spans="6:15" x14ac:dyDescent="0.3">
      <c r="F7076" s="1"/>
    </row>
    <row r="7077" spans="6:15" x14ac:dyDescent="0.3">
      <c r="F7077" s="1"/>
    </row>
    <row r="7078" spans="6:15" x14ac:dyDescent="0.3">
      <c r="F7078" s="1"/>
    </row>
    <row r="7079" spans="6:15" x14ac:dyDescent="0.3">
      <c r="F7079" s="1"/>
    </row>
    <row r="7080" spans="6:15" x14ac:dyDescent="0.3">
      <c r="F7080" s="1"/>
    </row>
    <row r="7081" spans="6:15" x14ac:dyDescent="0.3">
      <c r="L7081" s="1"/>
      <c r="M7081" s="1"/>
      <c r="N7081" s="1"/>
      <c r="O7081" s="1"/>
    </row>
    <row r="7082" spans="6:15" x14ac:dyDescent="0.3">
      <c r="F7082" s="1"/>
    </row>
    <row r="7083" spans="6:15" x14ac:dyDescent="0.3">
      <c r="F7083" s="1"/>
    </row>
    <row r="7084" spans="6:15" x14ac:dyDescent="0.3">
      <c r="F7084" s="1"/>
    </row>
    <row r="7086" spans="6:15" x14ac:dyDescent="0.3">
      <c r="F7086" s="1"/>
    </row>
    <row r="7087" spans="6:15" x14ac:dyDescent="0.3">
      <c r="F7087" s="1"/>
    </row>
    <row r="7088" spans="6:15" x14ac:dyDescent="0.3">
      <c r="F7088" s="1"/>
    </row>
    <row r="7089" spans="6:15" x14ac:dyDescent="0.3">
      <c r="F7089" s="1"/>
    </row>
    <row r="7090" spans="6:15" x14ac:dyDescent="0.3">
      <c r="L7090" s="1"/>
      <c r="M7090" s="1"/>
      <c r="O7090" s="1"/>
    </row>
    <row r="7091" spans="6:15" x14ac:dyDescent="0.3">
      <c r="F7091" s="1"/>
    </row>
    <row r="7093" spans="6:15" x14ac:dyDescent="0.3">
      <c r="F7093" s="1"/>
    </row>
    <row r="7094" spans="6:15" x14ac:dyDescent="0.3">
      <c r="F7094" s="1"/>
    </row>
    <row r="7095" spans="6:15" x14ac:dyDescent="0.3">
      <c r="L7095" s="1"/>
    </row>
    <row r="7096" spans="6:15" x14ac:dyDescent="0.3">
      <c r="F7096" s="1"/>
    </row>
    <row r="7097" spans="6:15" x14ac:dyDescent="0.3">
      <c r="F7097" s="1"/>
      <c r="M7097" s="1"/>
    </row>
    <row r="7098" spans="6:15" x14ac:dyDescent="0.3">
      <c r="F7098" s="1"/>
      <c r="N7098" s="1"/>
    </row>
    <row r="7099" spans="6:15" x14ac:dyDescent="0.3">
      <c r="F7099" s="1"/>
    </row>
    <row r="7100" spans="6:15" x14ac:dyDescent="0.3">
      <c r="F7100" s="1"/>
    </row>
    <row r="7101" spans="6:15" x14ac:dyDescent="0.3">
      <c r="F7101" s="1"/>
    </row>
    <row r="7102" spans="6:15" x14ac:dyDescent="0.3">
      <c r="F7102" s="1"/>
    </row>
    <row r="7103" spans="6:15" x14ac:dyDescent="0.3">
      <c r="F7103" s="1"/>
    </row>
    <row r="7104" spans="6:15" x14ac:dyDescent="0.3">
      <c r="F7104" s="1"/>
    </row>
    <row r="7106" spans="6:15" x14ac:dyDescent="0.3">
      <c r="F7106" s="1"/>
    </row>
    <row r="7107" spans="6:15" x14ac:dyDescent="0.3">
      <c r="F7107" s="1"/>
    </row>
    <row r="7108" spans="6:15" x14ac:dyDescent="0.3">
      <c r="F7108" s="1"/>
      <c r="L7108" s="1"/>
    </row>
    <row r="7109" spans="6:15" x14ac:dyDescent="0.3">
      <c r="F7109" s="1"/>
      <c r="L7109" s="1"/>
    </row>
    <row r="7110" spans="6:15" x14ac:dyDescent="0.3">
      <c r="F7110" s="1"/>
    </row>
    <row r="7111" spans="6:15" x14ac:dyDescent="0.3">
      <c r="F7111" s="1"/>
    </row>
    <row r="7112" spans="6:15" x14ac:dyDescent="0.3">
      <c r="F7112" s="1"/>
    </row>
    <row r="7113" spans="6:15" x14ac:dyDescent="0.3">
      <c r="M7113" s="1"/>
      <c r="O7113" s="1"/>
    </row>
    <row r="7114" spans="6:15" x14ac:dyDescent="0.3">
      <c r="F7114" s="1"/>
    </row>
    <row r="7115" spans="6:15" x14ac:dyDescent="0.3">
      <c r="F7115" s="1"/>
    </row>
    <row r="7116" spans="6:15" x14ac:dyDescent="0.3">
      <c r="F7116" s="1"/>
    </row>
    <row r="7117" spans="6:15" x14ac:dyDescent="0.3">
      <c r="F7117" s="1"/>
    </row>
    <row r="7118" spans="6:15" x14ac:dyDescent="0.3">
      <c r="F7118" s="1"/>
    </row>
    <row r="7120" spans="6:15" x14ac:dyDescent="0.3">
      <c r="F7120" s="1"/>
      <c r="M7120" s="1"/>
    </row>
    <row r="7121" spans="6:15" x14ac:dyDescent="0.3">
      <c r="F7121" s="1"/>
    </row>
    <row r="7122" spans="6:15" x14ac:dyDescent="0.3">
      <c r="F7122" s="1"/>
    </row>
    <row r="7123" spans="6:15" x14ac:dyDescent="0.3">
      <c r="F7123" s="1"/>
    </row>
    <row r="7124" spans="6:15" x14ac:dyDescent="0.3">
      <c r="F7124" s="1"/>
    </row>
    <row r="7125" spans="6:15" x14ac:dyDescent="0.3">
      <c r="F7125" s="1"/>
    </row>
    <row r="7126" spans="6:15" x14ac:dyDescent="0.3">
      <c r="F7126" s="1"/>
    </row>
    <row r="7127" spans="6:15" x14ac:dyDescent="0.3">
      <c r="F7127" s="1"/>
    </row>
    <row r="7128" spans="6:15" x14ac:dyDescent="0.3">
      <c r="F7128" s="1"/>
      <c r="O7128" s="1"/>
    </row>
    <row r="7129" spans="6:15" x14ac:dyDescent="0.3">
      <c r="F7129" s="1"/>
    </row>
    <row r="7130" spans="6:15" x14ac:dyDescent="0.3">
      <c r="F7130" s="1"/>
    </row>
    <row r="7131" spans="6:15" x14ac:dyDescent="0.3">
      <c r="F7131" s="1"/>
    </row>
    <row r="7132" spans="6:15" x14ac:dyDescent="0.3">
      <c r="F7132" s="1"/>
    </row>
    <row r="7133" spans="6:15" x14ac:dyDescent="0.3">
      <c r="F7133" s="1"/>
    </row>
    <row r="7134" spans="6:15" x14ac:dyDescent="0.3">
      <c r="F7134" s="1"/>
    </row>
    <row r="7135" spans="6:15" x14ac:dyDescent="0.3">
      <c r="F7135" s="1"/>
    </row>
    <row r="7137" spans="6:15" x14ac:dyDescent="0.3">
      <c r="F7137" s="1"/>
    </row>
    <row r="7138" spans="6:15" x14ac:dyDescent="0.3">
      <c r="F7138" s="1"/>
    </row>
    <row r="7139" spans="6:15" x14ac:dyDescent="0.3">
      <c r="F7139" s="1"/>
    </row>
    <row r="7140" spans="6:15" x14ac:dyDescent="0.3">
      <c r="N7140" s="1"/>
      <c r="O7140" s="1"/>
    </row>
    <row r="7141" spans="6:15" x14ac:dyDescent="0.3">
      <c r="O7141" s="1"/>
    </row>
    <row r="7142" spans="6:15" x14ac:dyDescent="0.3">
      <c r="F7142" s="1"/>
      <c r="L7142" s="1"/>
      <c r="N7142" s="1"/>
      <c r="O7142" s="1"/>
    </row>
    <row r="7143" spans="6:15" x14ac:dyDescent="0.3">
      <c r="L7143" s="1"/>
      <c r="M7143" s="1"/>
    </row>
    <row r="7144" spans="6:15" x14ac:dyDescent="0.3">
      <c r="F7144" s="1"/>
    </row>
    <row r="7145" spans="6:15" x14ac:dyDescent="0.3">
      <c r="F7145" s="1"/>
    </row>
    <row r="7146" spans="6:15" x14ac:dyDescent="0.3">
      <c r="F7146" s="1"/>
    </row>
    <row r="7147" spans="6:15" x14ac:dyDescent="0.3">
      <c r="F7147" s="1"/>
    </row>
    <row r="7149" spans="6:15" x14ac:dyDescent="0.3">
      <c r="F7149" s="1"/>
    </row>
    <row r="7150" spans="6:15" x14ac:dyDescent="0.3">
      <c r="F7150" s="1"/>
    </row>
    <row r="7151" spans="6:15" x14ac:dyDescent="0.3">
      <c r="F7151" s="1"/>
    </row>
    <row r="7152" spans="6:15" x14ac:dyDescent="0.3">
      <c r="F7152" s="1"/>
    </row>
    <row r="7153" spans="6:13" x14ac:dyDescent="0.3">
      <c r="F7153" s="1"/>
    </row>
    <row r="7154" spans="6:13" x14ac:dyDescent="0.3">
      <c r="F7154" s="1"/>
    </row>
    <row r="7156" spans="6:13" x14ac:dyDescent="0.3">
      <c r="F7156" s="1"/>
    </row>
    <row r="7157" spans="6:13" x14ac:dyDescent="0.3">
      <c r="F7157" s="1"/>
    </row>
    <row r="7158" spans="6:13" x14ac:dyDescent="0.3">
      <c r="F7158" s="1"/>
    </row>
    <row r="7159" spans="6:13" x14ac:dyDescent="0.3">
      <c r="F7159" s="1"/>
    </row>
    <row r="7160" spans="6:13" x14ac:dyDescent="0.3">
      <c r="F7160" s="1"/>
    </row>
    <row r="7161" spans="6:13" x14ac:dyDescent="0.3">
      <c r="F7161" s="1"/>
    </row>
    <row r="7162" spans="6:13" x14ac:dyDescent="0.3">
      <c r="F7162" s="1"/>
    </row>
    <row r="7163" spans="6:13" x14ac:dyDescent="0.3">
      <c r="F7163" s="1"/>
    </row>
    <row r="7164" spans="6:13" x14ac:dyDescent="0.3">
      <c r="F7164" s="1"/>
    </row>
    <row r="7166" spans="6:13" x14ac:dyDescent="0.3">
      <c r="L7166" s="1"/>
      <c r="M7166" s="1"/>
    </row>
    <row r="7168" spans="6:13" x14ac:dyDescent="0.3">
      <c r="F7168" s="1"/>
    </row>
    <row r="7169" spans="6:13" x14ac:dyDescent="0.3">
      <c r="F7169" s="1"/>
    </row>
    <row r="7170" spans="6:13" x14ac:dyDescent="0.3">
      <c r="F7170" s="1"/>
      <c r="L7170" s="1"/>
    </row>
    <row r="7171" spans="6:13" x14ac:dyDescent="0.3">
      <c r="F7171" s="1"/>
    </row>
    <row r="7173" spans="6:13" x14ac:dyDescent="0.3">
      <c r="F7173" s="1"/>
      <c r="L7173" s="1"/>
      <c r="M7173" s="1"/>
    </row>
    <row r="7174" spans="6:13" x14ac:dyDescent="0.3">
      <c r="F7174" s="1"/>
    </row>
    <row r="7175" spans="6:13" x14ac:dyDescent="0.3">
      <c r="F7175" s="1"/>
    </row>
    <row r="7176" spans="6:13" x14ac:dyDescent="0.3">
      <c r="F7176" s="1"/>
    </row>
    <row r="7177" spans="6:13" x14ac:dyDescent="0.3">
      <c r="F7177" s="1"/>
    </row>
    <row r="7178" spans="6:13" x14ac:dyDescent="0.3">
      <c r="F7178" s="1"/>
    </row>
    <row r="7179" spans="6:13" x14ac:dyDescent="0.3">
      <c r="F7179" s="1"/>
    </row>
    <row r="7180" spans="6:13" x14ac:dyDescent="0.3">
      <c r="F7180" s="1"/>
    </row>
    <row r="7181" spans="6:13" x14ac:dyDescent="0.3">
      <c r="F7181" s="1"/>
    </row>
    <row r="7182" spans="6:13" x14ac:dyDescent="0.3">
      <c r="F7182" s="1"/>
    </row>
    <row r="7184" spans="6:13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9" spans="6:6" x14ac:dyDescent="0.3">
      <c r="F7209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8" spans="6:14" x14ac:dyDescent="0.3">
      <c r="F7218" s="1"/>
    </row>
    <row r="7219" spans="6:14" x14ac:dyDescent="0.3">
      <c r="F7219" s="1"/>
    </row>
    <row r="7220" spans="6:14" x14ac:dyDescent="0.3">
      <c r="L7220" s="1"/>
      <c r="N7220" s="1"/>
    </row>
    <row r="7222" spans="6:14" x14ac:dyDescent="0.3">
      <c r="F7222" s="1"/>
    </row>
    <row r="7223" spans="6:14" x14ac:dyDescent="0.3">
      <c r="F7223" s="1"/>
    </row>
    <row r="7224" spans="6:14" x14ac:dyDescent="0.3">
      <c r="F7224" s="1"/>
    </row>
    <row r="7225" spans="6:14" x14ac:dyDescent="0.3">
      <c r="F7225" s="1"/>
    </row>
    <row r="7226" spans="6:14" x14ac:dyDescent="0.3">
      <c r="F7226" s="1"/>
    </row>
    <row r="7227" spans="6:14" x14ac:dyDescent="0.3">
      <c r="F7227" s="1"/>
    </row>
    <row r="7228" spans="6:14" x14ac:dyDescent="0.3">
      <c r="F7228" s="1"/>
    </row>
    <row r="7229" spans="6:14" x14ac:dyDescent="0.3">
      <c r="F7229" s="1"/>
    </row>
    <row r="7230" spans="6:14" x14ac:dyDescent="0.3">
      <c r="F7230" s="1"/>
    </row>
    <row r="7231" spans="6:14" x14ac:dyDescent="0.3">
      <c r="F7231" s="1"/>
    </row>
    <row r="7232" spans="6:14" x14ac:dyDescent="0.3">
      <c r="F7232" s="1"/>
    </row>
    <row r="7233" spans="6:14" x14ac:dyDescent="0.3">
      <c r="F7233" s="1"/>
    </row>
    <row r="7234" spans="6:14" x14ac:dyDescent="0.3">
      <c r="F7234" s="1"/>
      <c r="N7234" s="1"/>
    </row>
    <row r="7235" spans="6:14" x14ac:dyDescent="0.3">
      <c r="F7235" s="1"/>
    </row>
    <row r="7236" spans="6:14" x14ac:dyDescent="0.3">
      <c r="F7236" s="1"/>
    </row>
    <row r="7237" spans="6:14" x14ac:dyDescent="0.3">
      <c r="F7237" s="1"/>
    </row>
    <row r="7239" spans="6:14" x14ac:dyDescent="0.3">
      <c r="L7239" s="1"/>
    </row>
    <row r="7240" spans="6:14" x14ac:dyDescent="0.3">
      <c r="F7240" s="1"/>
    </row>
    <row r="7241" spans="6:14" x14ac:dyDescent="0.3">
      <c r="F7241" s="1"/>
    </row>
    <row r="7242" spans="6:14" x14ac:dyDescent="0.3">
      <c r="F7242" s="1"/>
    </row>
    <row r="7244" spans="6:14" x14ac:dyDescent="0.3">
      <c r="F7244" s="1"/>
    </row>
    <row r="7245" spans="6:14" x14ac:dyDescent="0.3">
      <c r="F7245" s="1"/>
    </row>
    <row r="7246" spans="6:14" x14ac:dyDescent="0.3">
      <c r="F7246" s="1"/>
      <c r="M7246" s="1"/>
    </row>
    <row r="7248" spans="6:14" x14ac:dyDescent="0.3">
      <c r="M7248" s="1"/>
    </row>
    <row r="7250" spans="6:14" x14ac:dyDescent="0.3">
      <c r="F7250" s="1"/>
    </row>
    <row r="7251" spans="6:14" x14ac:dyDescent="0.3">
      <c r="F7251" s="1"/>
    </row>
    <row r="7252" spans="6:14" x14ac:dyDescent="0.3">
      <c r="F7252" s="1"/>
      <c r="L7252" s="1"/>
    </row>
    <row r="7253" spans="6:14" x14ac:dyDescent="0.3">
      <c r="F7253" s="1"/>
      <c r="L7253" s="1"/>
      <c r="N7253" s="1"/>
    </row>
    <row r="7254" spans="6:14" x14ac:dyDescent="0.3">
      <c r="F7254" s="1"/>
    </row>
    <row r="7255" spans="6:14" x14ac:dyDescent="0.3">
      <c r="F7255" s="1"/>
    </row>
    <row r="7256" spans="6:14" x14ac:dyDescent="0.3">
      <c r="F7256" s="1"/>
    </row>
    <row r="7257" spans="6:14" x14ac:dyDescent="0.3">
      <c r="F7257" s="1"/>
    </row>
    <row r="7258" spans="6:14" x14ac:dyDescent="0.3">
      <c r="F7258" s="1"/>
    </row>
    <row r="7259" spans="6:14" x14ac:dyDescent="0.3">
      <c r="F7259" s="1"/>
    </row>
    <row r="7260" spans="6:14" x14ac:dyDescent="0.3">
      <c r="F7260" s="1"/>
    </row>
    <row r="7261" spans="6:14" x14ac:dyDescent="0.3">
      <c r="F7261" s="1"/>
    </row>
    <row r="7262" spans="6:14" x14ac:dyDescent="0.3">
      <c r="F7262" s="1"/>
    </row>
    <row r="7263" spans="6:14" x14ac:dyDescent="0.3">
      <c r="F7263" s="1"/>
      <c r="L7263" s="1"/>
    </row>
    <row r="7264" spans="6:14" x14ac:dyDescent="0.3">
      <c r="F7264" s="1"/>
    </row>
    <row r="7267" spans="6:15" x14ac:dyDescent="0.3">
      <c r="F7267" s="1"/>
    </row>
    <row r="7268" spans="6:15" x14ac:dyDescent="0.3">
      <c r="F7268" s="1"/>
    </row>
    <row r="7269" spans="6:15" x14ac:dyDescent="0.3">
      <c r="F7269" s="1"/>
      <c r="L7269" s="1"/>
    </row>
    <row r="7270" spans="6:15" x14ac:dyDescent="0.3">
      <c r="F7270" s="1"/>
    </row>
    <row r="7271" spans="6:15" x14ac:dyDescent="0.3">
      <c r="F7271" s="1"/>
      <c r="M7271" s="1"/>
      <c r="N7271" s="1"/>
    </row>
    <row r="7272" spans="6:15" x14ac:dyDescent="0.3">
      <c r="F7272" s="1"/>
      <c r="M7272" s="1"/>
      <c r="N7272" s="1"/>
      <c r="O7272" s="1"/>
    </row>
    <row r="7273" spans="6:15" x14ac:dyDescent="0.3">
      <c r="F7273" s="1"/>
    </row>
    <row r="7275" spans="6:15" x14ac:dyDescent="0.3">
      <c r="F7275" s="1"/>
    </row>
    <row r="7276" spans="6:15" x14ac:dyDescent="0.3">
      <c r="F7276" s="1"/>
    </row>
    <row r="7277" spans="6:15" x14ac:dyDescent="0.3">
      <c r="F7277" s="1"/>
      <c r="M7277" s="1"/>
    </row>
    <row r="7278" spans="6:15" x14ac:dyDescent="0.3">
      <c r="F7278" s="1"/>
    </row>
    <row r="7279" spans="6:15" x14ac:dyDescent="0.3">
      <c r="F7279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15" x14ac:dyDescent="0.3">
      <c r="F7297" s="1"/>
    </row>
    <row r="7298" spans="6:15" x14ac:dyDescent="0.3">
      <c r="F7298" s="1"/>
    </row>
    <row r="7300" spans="6:15" x14ac:dyDescent="0.3">
      <c r="F7300" s="1"/>
    </row>
    <row r="7301" spans="6:15" x14ac:dyDescent="0.3">
      <c r="L7301" s="1"/>
      <c r="M7301" s="1"/>
      <c r="N7301" s="1"/>
      <c r="O7301" s="1"/>
    </row>
    <row r="7302" spans="6:15" x14ac:dyDescent="0.3">
      <c r="F7302" s="1"/>
    </row>
    <row r="7303" spans="6:15" x14ac:dyDescent="0.3">
      <c r="F7303" s="1"/>
    </row>
    <row r="7304" spans="6:15" x14ac:dyDescent="0.3">
      <c r="F7304" s="1"/>
    </row>
    <row r="7306" spans="6:15" x14ac:dyDescent="0.3">
      <c r="F7306" s="1"/>
    </row>
    <row r="7307" spans="6:15" x14ac:dyDescent="0.3">
      <c r="F7307" s="1"/>
    </row>
    <row r="7308" spans="6:15" x14ac:dyDescent="0.3">
      <c r="F7308" s="1"/>
    </row>
    <row r="7309" spans="6:15" x14ac:dyDescent="0.3">
      <c r="F7309" s="1"/>
    </row>
    <row r="7310" spans="6:15" x14ac:dyDescent="0.3">
      <c r="F7310" s="1"/>
    </row>
    <row r="7311" spans="6:15" x14ac:dyDescent="0.3">
      <c r="F7311" s="1"/>
    </row>
    <row r="7312" spans="6:15" x14ac:dyDescent="0.3">
      <c r="F7312" s="1"/>
    </row>
    <row r="7313" spans="6:12" x14ac:dyDescent="0.3">
      <c r="F7313" s="1"/>
    </row>
    <row r="7314" spans="6:12" x14ac:dyDescent="0.3">
      <c r="F7314" s="1"/>
    </row>
    <row r="7315" spans="6:12" x14ac:dyDescent="0.3">
      <c r="F7315" s="1"/>
    </row>
    <row r="7317" spans="6:12" x14ac:dyDescent="0.3">
      <c r="F7317" s="1"/>
    </row>
    <row r="7319" spans="6:12" x14ac:dyDescent="0.3">
      <c r="F7319" s="1"/>
    </row>
    <row r="7320" spans="6:12" x14ac:dyDescent="0.3">
      <c r="F7320" s="1"/>
    </row>
    <row r="7321" spans="6:12" x14ac:dyDescent="0.3">
      <c r="F7321" s="1"/>
    </row>
    <row r="7322" spans="6:12" x14ac:dyDescent="0.3">
      <c r="F7322" s="1"/>
    </row>
    <row r="7323" spans="6:12" x14ac:dyDescent="0.3">
      <c r="F7323" s="1"/>
    </row>
    <row r="7324" spans="6:12" x14ac:dyDescent="0.3">
      <c r="F7324" s="1"/>
    </row>
    <row r="7325" spans="6:12" x14ac:dyDescent="0.3">
      <c r="F7325" s="1"/>
    </row>
    <row r="7326" spans="6:12" x14ac:dyDescent="0.3">
      <c r="F7326" s="1"/>
    </row>
    <row r="7327" spans="6:12" x14ac:dyDescent="0.3">
      <c r="F7327" s="1"/>
    </row>
    <row r="7328" spans="6:12" x14ac:dyDescent="0.3">
      <c r="F7328" s="1"/>
      <c r="L7328" s="1"/>
    </row>
    <row r="7331" spans="6:14" x14ac:dyDescent="0.3">
      <c r="F7331" s="1"/>
      <c r="N7331" s="1"/>
    </row>
    <row r="7332" spans="6:14" x14ac:dyDescent="0.3">
      <c r="F7332" s="1"/>
    </row>
    <row r="7333" spans="6:14" x14ac:dyDescent="0.3">
      <c r="F7333" s="1"/>
    </row>
    <row r="7337" spans="6:14" x14ac:dyDescent="0.3">
      <c r="F7337" s="1"/>
    </row>
    <row r="7338" spans="6:14" x14ac:dyDescent="0.3">
      <c r="F7338" s="1"/>
    </row>
    <row r="7339" spans="6:14" x14ac:dyDescent="0.3">
      <c r="F7339" s="1"/>
    </row>
    <row r="7340" spans="6:14" x14ac:dyDescent="0.3">
      <c r="F7340" s="1"/>
    </row>
    <row r="7341" spans="6:14" x14ac:dyDescent="0.3">
      <c r="F7341" s="1"/>
    </row>
    <row r="7343" spans="6:14" x14ac:dyDescent="0.3">
      <c r="F7343" s="1"/>
    </row>
    <row r="7344" spans="6:14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2" spans="6:6" x14ac:dyDescent="0.3">
      <c r="F7352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60" spans="6:6" x14ac:dyDescent="0.3">
      <c r="F7360" s="1"/>
    </row>
    <row r="7362" spans="6:14" x14ac:dyDescent="0.3">
      <c r="F7362" s="1"/>
      <c r="L7362" s="1"/>
      <c r="N7362" s="1"/>
    </row>
    <row r="7363" spans="6:14" x14ac:dyDescent="0.3">
      <c r="F7363" s="1"/>
    </row>
    <row r="7364" spans="6:14" x14ac:dyDescent="0.3">
      <c r="F7364" s="1"/>
    </row>
    <row r="7365" spans="6:14" x14ac:dyDescent="0.3">
      <c r="F7365" s="1"/>
    </row>
    <row r="7366" spans="6:14" x14ac:dyDescent="0.3">
      <c r="F7366" s="1"/>
    </row>
    <row r="7367" spans="6:14" x14ac:dyDescent="0.3">
      <c r="F7367" s="1"/>
    </row>
    <row r="7370" spans="6:14" x14ac:dyDescent="0.3">
      <c r="F7370" s="1"/>
    </row>
    <row r="7371" spans="6:14" x14ac:dyDescent="0.3">
      <c r="F7371" s="1"/>
    </row>
    <row r="7372" spans="6:14" x14ac:dyDescent="0.3">
      <c r="F7372" s="1"/>
    </row>
    <row r="7373" spans="6:14" x14ac:dyDescent="0.3">
      <c r="F7373" s="1"/>
    </row>
    <row r="7374" spans="6:14" x14ac:dyDescent="0.3">
      <c r="F7374" s="1"/>
      <c r="L7374" s="1"/>
      <c r="M7374" s="1"/>
    </row>
    <row r="7375" spans="6:14" x14ac:dyDescent="0.3">
      <c r="F7375" s="1"/>
    </row>
    <row r="7376" spans="6:14" x14ac:dyDescent="0.3">
      <c r="F7376" s="1"/>
    </row>
    <row r="7378" spans="6:15" x14ac:dyDescent="0.3">
      <c r="F7378" s="1"/>
    </row>
    <row r="7379" spans="6:15" x14ac:dyDescent="0.3">
      <c r="F7379" s="1"/>
    </row>
    <row r="7381" spans="6:15" x14ac:dyDescent="0.3">
      <c r="F7381" s="1"/>
      <c r="L7381" s="1"/>
      <c r="N7381" s="1"/>
      <c r="O7381" s="1"/>
    </row>
    <row r="7382" spans="6:15" x14ac:dyDescent="0.3">
      <c r="F7382" s="1"/>
    </row>
    <row r="7383" spans="6:15" x14ac:dyDescent="0.3">
      <c r="F7383" s="1"/>
    </row>
    <row r="7384" spans="6:15" x14ac:dyDescent="0.3">
      <c r="F7384" s="1"/>
    </row>
    <row r="7385" spans="6:15" x14ac:dyDescent="0.3">
      <c r="F7385" s="1"/>
    </row>
    <row r="7386" spans="6:15" x14ac:dyDescent="0.3">
      <c r="F7386" s="1"/>
    </row>
    <row r="7387" spans="6:15" x14ac:dyDescent="0.3">
      <c r="F7387" s="1"/>
    </row>
    <row r="7388" spans="6:15" x14ac:dyDescent="0.3">
      <c r="F7388" s="1"/>
    </row>
    <row r="7389" spans="6:15" x14ac:dyDescent="0.3">
      <c r="F7389" s="1"/>
    </row>
    <row r="7391" spans="6:15" x14ac:dyDescent="0.3">
      <c r="F7391" s="1"/>
    </row>
    <row r="7392" spans="6:15" x14ac:dyDescent="0.3">
      <c r="F7392" s="1"/>
    </row>
    <row r="7393" spans="6:14" x14ac:dyDescent="0.3">
      <c r="F7393" s="1"/>
    </row>
    <row r="7394" spans="6:14" x14ac:dyDescent="0.3">
      <c r="F7394" s="1"/>
      <c r="N7394" s="1"/>
    </row>
    <row r="7395" spans="6:14" x14ac:dyDescent="0.3">
      <c r="F7395" s="1"/>
    </row>
    <row r="7396" spans="6:14" x14ac:dyDescent="0.3">
      <c r="F7396" s="1"/>
    </row>
    <row r="7398" spans="6:14" x14ac:dyDescent="0.3">
      <c r="F7398" s="1"/>
    </row>
    <row r="7399" spans="6:14" x14ac:dyDescent="0.3">
      <c r="F7399" s="1"/>
    </row>
    <row r="7400" spans="6:14" x14ac:dyDescent="0.3">
      <c r="F7400" s="1"/>
    </row>
    <row r="7401" spans="6:14" x14ac:dyDescent="0.3">
      <c r="F7401" s="1"/>
    </row>
    <row r="7403" spans="6:14" x14ac:dyDescent="0.3">
      <c r="F7403" s="1"/>
    </row>
    <row r="7404" spans="6:14" x14ac:dyDescent="0.3">
      <c r="F7404" s="1"/>
    </row>
    <row r="7405" spans="6:14" x14ac:dyDescent="0.3">
      <c r="F7405" s="1"/>
    </row>
    <row r="7406" spans="6:14" x14ac:dyDescent="0.3">
      <c r="F7406" s="1"/>
    </row>
    <row r="7407" spans="6:14" x14ac:dyDescent="0.3">
      <c r="F7407" s="1"/>
    </row>
    <row r="7408" spans="6:14" x14ac:dyDescent="0.3">
      <c r="F7408" s="1"/>
      <c r="M7408" s="1"/>
    </row>
    <row r="7409" spans="6:13" x14ac:dyDescent="0.3">
      <c r="F7409" s="1"/>
    </row>
    <row r="7410" spans="6:13" x14ac:dyDescent="0.3">
      <c r="F7410" s="1"/>
    </row>
    <row r="7411" spans="6:13" x14ac:dyDescent="0.3">
      <c r="F7411" s="1"/>
    </row>
    <row r="7412" spans="6:13" x14ac:dyDescent="0.3">
      <c r="F7412" s="1"/>
    </row>
    <row r="7413" spans="6:13" x14ac:dyDescent="0.3">
      <c r="F7413" s="1"/>
    </row>
    <row r="7414" spans="6:13" x14ac:dyDescent="0.3">
      <c r="F7414" s="1"/>
    </row>
    <row r="7415" spans="6:13" x14ac:dyDescent="0.3">
      <c r="F7415" s="1"/>
    </row>
    <row r="7416" spans="6:13" x14ac:dyDescent="0.3">
      <c r="F7416" s="1"/>
    </row>
    <row r="7417" spans="6:13" x14ac:dyDescent="0.3">
      <c r="F7417" s="1"/>
    </row>
    <row r="7418" spans="6:13" x14ac:dyDescent="0.3">
      <c r="F7418" s="1"/>
    </row>
    <row r="7419" spans="6:13" x14ac:dyDescent="0.3">
      <c r="F7419" s="1"/>
    </row>
    <row r="7420" spans="6:13" x14ac:dyDescent="0.3">
      <c r="F7420" s="1"/>
    </row>
    <row r="7421" spans="6:13" x14ac:dyDescent="0.3">
      <c r="F7421" s="1"/>
    </row>
    <row r="7423" spans="6:13" x14ac:dyDescent="0.3">
      <c r="F7423" s="1"/>
    </row>
    <row r="7424" spans="6:13" x14ac:dyDescent="0.3">
      <c r="F7424" s="1"/>
      <c r="M7424" s="1"/>
    </row>
    <row r="7425" spans="6:14" x14ac:dyDescent="0.3">
      <c r="F7425" s="1"/>
    </row>
    <row r="7426" spans="6:14" x14ac:dyDescent="0.3">
      <c r="F7426" s="1"/>
    </row>
    <row r="7427" spans="6:14" x14ac:dyDescent="0.3">
      <c r="L7427" s="1"/>
      <c r="N7427" s="1"/>
    </row>
    <row r="7429" spans="6:14" x14ac:dyDescent="0.3">
      <c r="F7429" s="1"/>
    </row>
    <row r="7430" spans="6:14" x14ac:dyDescent="0.3">
      <c r="F7430" s="1"/>
    </row>
    <row r="7431" spans="6:14" x14ac:dyDescent="0.3">
      <c r="F7431" s="1"/>
    </row>
    <row r="7432" spans="6:14" x14ac:dyDescent="0.3">
      <c r="F7432" s="1"/>
    </row>
    <row r="7433" spans="6:14" x14ac:dyDescent="0.3">
      <c r="F7433" s="1"/>
    </row>
    <row r="7434" spans="6:14" x14ac:dyDescent="0.3">
      <c r="F7434" s="1"/>
      <c r="L7434" s="1"/>
      <c r="M7434" s="1"/>
      <c r="N7434" s="1"/>
    </row>
    <row r="7435" spans="6:14" x14ac:dyDescent="0.3">
      <c r="F7435" s="1"/>
      <c r="M7435" s="1"/>
    </row>
    <row r="7436" spans="6:14" x14ac:dyDescent="0.3">
      <c r="F7436" s="1"/>
    </row>
    <row r="7437" spans="6:14" x14ac:dyDescent="0.3">
      <c r="F7437" s="1"/>
    </row>
    <row r="7438" spans="6:14" x14ac:dyDescent="0.3">
      <c r="F7438" s="1"/>
    </row>
    <row r="7439" spans="6:14" x14ac:dyDescent="0.3">
      <c r="F7439" s="1"/>
    </row>
    <row r="7440" spans="6:14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14" x14ac:dyDescent="0.3">
      <c r="F7457" s="1"/>
    </row>
    <row r="7458" spans="6:14" x14ac:dyDescent="0.3">
      <c r="F7458" s="1"/>
    </row>
    <row r="7459" spans="6:14" x14ac:dyDescent="0.3">
      <c r="F7459" s="1"/>
      <c r="M7459" s="1"/>
    </row>
    <row r="7460" spans="6:14" x14ac:dyDescent="0.3">
      <c r="F7460" s="1"/>
    </row>
    <row r="7461" spans="6:14" x14ac:dyDescent="0.3">
      <c r="N7461" s="1"/>
    </row>
    <row r="7462" spans="6:14" x14ac:dyDescent="0.3">
      <c r="F7462" s="1"/>
    </row>
    <row r="7463" spans="6:14" x14ac:dyDescent="0.3">
      <c r="F7463" s="1"/>
    </row>
    <row r="7464" spans="6:14" x14ac:dyDescent="0.3">
      <c r="F7464" s="1"/>
    </row>
    <row r="7465" spans="6:14" x14ac:dyDescent="0.3">
      <c r="F7465" s="1"/>
    </row>
    <row r="7466" spans="6:14" x14ac:dyDescent="0.3">
      <c r="F7466" s="1"/>
      <c r="N7466" s="1"/>
    </row>
    <row r="7468" spans="6:14" x14ac:dyDescent="0.3">
      <c r="F7468" s="1"/>
    </row>
    <row r="7469" spans="6:14" x14ac:dyDescent="0.3">
      <c r="F7469" s="1"/>
    </row>
    <row r="7471" spans="6:14" x14ac:dyDescent="0.3">
      <c r="F7471" s="1"/>
    </row>
    <row r="7472" spans="6:14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14" x14ac:dyDescent="0.3">
      <c r="F7505" s="1"/>
    </row>
    <row r="7506" spans="6:14" x14ac:dyDescent="0.3">
      <c r="F7506" s="1"/>
    </row>
    <row r="7508" spans="6:14" x14ac:dyDescent="0.3">
      <c r="F7508" s="1"/>
      <c r="L7508" s="1"/>
    </row>
    <row r="7509" spans="6:14" x14ac:dyDescent="0.3">
      <c r="F7509" s="1"/>
    </row>
    <row r="7510" spans="6:14" x14ac:dyDescent="0.3">
      <c r="M7510" s="1"/>
    </row>
    <row r="7512" spans="6:14" x14ac:dyDescent="0.3">
      <c r="F7512" s="1"/>
    </row>
    <row r="7513" spans="6:14" x14ac:dyDescent="0.3">
      <c r="F7513" s="1"/>
      <c r="L7513" s="1"/>
    </row>
    <row r="7514" spans="6:14" x14ac:dyDescent="0.3">
      <c r="F7514" s="1"/>
    </row>
    <row r="7515" spans="6:14" x14ac:dyDescent="0.3">
      <c r="N7515" s="1"/>
    </row>
    <row r="7516" spans="6:14" x14ac:dyDescent="0.3">
      <c r="F7516" s="1"/>
    </row>
    <row r="7517" spans="6:14" x14ac:dyDescent="0.3">
      <c r="F7517" s="1"/>
    </row>
    <row r="7518" spans="6:14" x14ac:dyDescent="0.3">
      <c r="F7518" s="1"/>
    </row>
    <row r="7519" spans="6:14" x14ac:dyDescent="0.3">
      <c r="F7519" s="1"/>
    </row>
    <row r="7520" spans="6:14" x14ac:dyDescent="0.3">
      <c r="F7520" s="1"/>
    </row>
    <row r="7521" spans="6:14" x14ac:dyDescent="0.3">
      <c r="M7521" s="1"/>
    </row>
    <row r="7522" spans="6:14" x14ac:dyDescent="0.3">
      <c r="F7522" s="1"/>
    </row>
    <row r="7523" spans="6:14" x14ac:dyDescent="0.3">
      <c r="F7523" s="1"/>
    </row>
    <row r="7524" spans="6:14" x14ac:dyDescent="0.3">
      <c r="F7524" s="1"/>
      <c r="L7524" s="1"/>
    </row>
    <row r="7525" spans="6:14" x14ac:dyDescent="0.3">
      <c r="F7525" s="1"/>
    </row>
    <row r="7526" spans="6:14" x14ac:dyDescent="0.3">
      <c r="F7526" s="1"/>
    </row>
    <row r="7527" spans="6:14" x14ac:dyDescent="0.3">
      <c r="F7527" s="1"/>
    </row>
    <row r="7528" spans="6:14" x14ac:dyDescent="0.3">
      <c r="F7528" s="1"/>
    </row>
    <row r="7529" spans="6:14" x14ac:dyDescent="0.3">
      <c r="F7529" s="1"/>
    </row>
    <row r="7530" spans="6:14" x14ac:dyDescent="0.3">
      <c r="F7530" s="1"/>
    </row>
    <row r="7531" spans="6:14" x14ac:dyDescent="0.3">
      <c r="F7531" s="1"/>
    </row>
    <row r="7532" spans="6:14" x14ac:dyDescent="0.3">
      <c r="F7532" s="1"/>
      <c r="M7532" s="1"/>
      <c r="N7532" s="1"/>
    </row>
    <row r="7533" spans="6:14" x14ac:dyDescent="0.3">
      <c r="F7533" s="1"/>
    </row>
    <row r="7535" spans="6:14" x14ac:dyDescent="0.3">
      <c r="F7535" s="1"/>
    </row>
    <row r="7537" spans="6:14" x14ac:dyDescent="0.3">
      <c r="F7537" s="1"/>
    </row>
    <row r="7538" spans="6:14" x14ac:dyDescent="0.3">
      <c r="F7538" s="1"/>
    </row>
    <row r="7539" spans="6:14" x14ac:dyDescent="0.3">
      <c r="F7539" s="1"/>
    </row>
    <row r="7541" spans="6:14" x14ac:dyDescent="0.3">
      <c r="F7541" s="1"/>
    </row>
    <row r="7542" spans="6:14" x14ac:dyDescent="0.3">
      <c r="F7542" s="1"/>
    </row>
    <row r="7543" spans="6:14" x14ac:dyDescent="0.3">
      <c r="F7543" s="1"/>
    </row>
    <row r="7544" spans="6:14" x14ac:dyDescent="0.3">
      <c r="F7544" s="1"/>
    </row>
    <row r="7545" spans="6:14" x14ac:dyDescent="0.3">
      <c r="F7545" s="1"/>
    </row>
    <row r="7546" spans="6:14" x14ac:dyDescent="0.3">
      <c r="F7546" s="1"/>
    </row>
    <row r="7549" spans="6:14" x14ac:dyDescent="0.3">
      <c r="F7549" s="1"/>
    </row>
    <row r="7550" spans="6:14" x14ac:dyDescent="0.3">
      <c r="F7550" s="1"/>
    </row>
    <row r="7551" spans="6:14" x14ac:dyDescent="0.3">
      <c r="F7551" s="1"/>
      <c r="N7551" s="1"/>
    </row>
    <row r="7552" spans="6:14" x14ac:dyDescent="0.3">
      <c r="F7552" s="1"/>
    </row>
    <row r="7553" spans="6:12" x14ac:dyDescent="0.3">
      <c r="F7553" s="1"/>
    </row>
    <row r="7554" spans="6:12" x14ac:dyDescent="0.3">
      <c r="F7554" s="1"/>
    </row>
    <row r="7555" spans="6:12" x14ac:dyDescent="0.3">
      <c r="F7555" s="1"/>
    </row>
    <row r="7557" spans="6:12" x14ac:dyDescent="0.3">
      <c r="F7557" s="1"/>
    </row>
    <row r="7558" spans="6:12" x14ac:dyDescent="0.3">
      <c r="F7558" s="1"/>
    </row>
    <row r="7559" spans="6:12" x14ac:dyDescent="0.3">
      <c r="F7559" s="1"/>
    </row>
    <row r="7560" spans="6:12" x14ac:dyDescent="0.3">
      <c r="F7560" s="1"/>
    </row>
    <row r="7561" spans="6:12" x14ac:dyDescent="0.3">
      <c r="F7561" s="1"/>
    </row>
    <row r="7562" spans="6:12" x14ac:dyDescent="0.3">
      <c r="F7562" s="1"/>
      <c r="L7562" s="1"/>
    </row>
    <row r="7563" spans="6:12" x14ac:dyDescent="0.3">
      <c r="F7563" s="1"/>
    </row>
    <row r="7564" spans="6:12" x14ac:dyDescent="0.3">
      <c r="F7564" s="1"/>
    </row>
    <row r="7565" spans="6:12" x14ac:dyDescent="0.3">
      <c r="F7565" s="1"/>
    </row>
    <row r="7566" spans="6:12" x14ac:dyDescent="0.3">
      <c r="F7566" s="1"/>
    </row>
    <row r="7567" spans="6:12" x14ac:dyDescent="0.3">
      <c r="F7567" s="1"/>
    </row>
    <row r="7568" spans="6:12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14" x14ac:dyDescent="0.3">
      <c r="F7585" s="1"/>
    </row>
    <row r="7586" spans="6:14" x14ac:dyDescent="0.3">
      <c r="F7586" s="1"/>
    </row>
    <row r="7587" spans="6:14" x14ac:dyDescent="0.3">
      <c r="F7587" s="1"/>
    </row>
    <row r="7588" spans="6:14" x14ac:dyDescent="0.3">
      <c r="F7588" s="1"/>
    </row>
    <row r="7589" spans="6:14" x14ac:dyDescent="0.3">
      <c r="F7589" s="1"/>
    </row>
    <row r="7590" spans="6:14" x14ac:dyDescent="0.3">
      <c r="F7590" s="1"/>
    </row>
    <row r="7592" spans="6:14" x14ac:dyDescent="0.3">
      <c r="F7592" s="1"/>
    </row>
    <row r="7593" spans="6:14" x14ac:dyDescent="0.3">
      <c r="F7593" s="1"/>
      <c r="M7593" s="1"/>
    </row>
    <row r="7594" spans="6:14" x14ac:dyDescent="0.3">
      <c r="F7594" s="1"/>
    </row>
    <row r="7595" spans="6:14" x14ac:dyDescent="0.3">
      <c r="F7595" s="1"/>
    </row>
    <row r="7596" spans="6:14" x14ac:dyDescent="0.3">
      <c r="F7596" s="1"/>
      <c r="L7596" s="1"/>
      <c r="N7596" s="1"/>
    </row>
    <row r="7597" spans="6:14" x14ac:dyDescent="0.3">
      <c r="F7597" s="1"/>
    </row>
    <row r="7599" spans="6:14" x14ac:dyDescent="0.3">
      <c r="F7599" s="1"/>
    </row>
    <row r="7600" spans="6:14" x14ac:dyDescent="0.3">
      <c r="F7600" s="1"/>
    </row>
    <row r="7601" spans="6:15" x14ac:dyDescent="0.3">
      <c r="F7601" s="1"/>
    </row>
    <row r="7602" spans="6:15" x14ac:dyDescent="0.3">
      <c r="F7602" s="1"/>
    </row>
    <row r="7603" spans="6:15" x14ac:dyDescent="0.3">
      <c r="F7603" s="1"/>
      <c r="L7603" s="1"/>
      <c r="N7603" s="1"/>
      <c r="O7603" s="1"/>
    </row>
    <row r="7605" spans="6:15" x14ac:dyDescent="0.3">
      <c r="N7605" s="1"/>
    </row>
    <row r="7606" spans="6:15" x14ac:dyDescent="0.3">
      <c r="F7606" s="1"/>
    </row>
    <row r="7607" spans="6:15" x14ac:dyDescent="0.3">
      <c r="L7607" s="1"/>
      <c r="N7607" s="1"/>
      <c r="O7607" s="1"/>
    </row>
    <row r="7608" spans="6:15" x14ac:dyDescent="0.3">
      <c r="F7608" s="1"/>
    </row>
    <row r="7609" spans="6:15" x14ac:dyDescent="0.3">
      <c r="F7609" s="1"/>
    </row>
    <row r="7610" spans="6:15" x14ac:dyDescent="0.3">
      <c r="F7610" s="1"/>
      <c r="L7610" s="1"/>
    </row>
    <row r="7613" spans="6:15" x14ac:dyDescent="0.3">
      <c r="F7613" s="1"/>
    </row>
    <row r="7614" spans="6:15" x14ac:dyDescent="0.3">
      <c r="F7614" s="1"/>
      <c r="M7614" s="1"/>
    </row>
    <row r="7615" spans="6:15" x14ac:dyDescent="0.3">
      <c r="F7615" s="1"/>
    </row>
    <row r="7617" spans="6:15" x14ac:dyDescent="0.3">
      <c r="F7617" s="1"/>
      <c r="N7617" s="1"/>
      <c r="O7617" s="1"/>
    </row>
    <row r="7618" spans="6:15" x14ac:dyDescent="0.3">
      <c r="F7618" s="1"/>
    </row>
    <row r="7619" spans="6:15" x14ac:dyDescent="0.3">
      <c r="F7619" s="1"/>
    </row>
    <row r="7620" spans="6:15" x14ac:dyDescent="0.3">
      <c r="F7620" s="1"/>
    </row>
    <row r="7621" spans="6:15" x14ac:dyDescent="0.3">
      <c r="F7621" s="1"/>
    </row>
    <row r="7622" spans="6:15" x14ac:dyDescent="0.3">
      <c r="F7622" s="1"/>
    </row>
    <row r="7623" spans="6:15" x14ac:dyDescent="0.3">
      <c r="F7623" s="1"/>
    </row>
    <row r="7624" spans="6:15" x14ac:dyDescent="0.3">
      <c r="F7624" s="1"/>
    </row>
    <row r="7625" spans="6:15" x14ac:dyDescent="0.3">
      <c r="F7625" s="1"/>
    </row>
    <row r="7626" spans="6:15" x14ac:dyDescent="0.3">
      <c r="M7626" s="1"/>
    </row>
    <row r="7627" spans="6:15" x14ac:dyDescent="0.3">
      <c r="F7627" s="1"/>
    </row>
    <row r="7628" spans="6:15" x14ac:dyDescent="0.3">
      <c r="F7628" s="1"/>
    </row>
    <row r="7629" spans="6:15" x14ac:dyDescent="0.3">
      <c r="F7629" s="1"/>
    </row>
    <row r="7630" spans="6:15" x14ac:dyDescent="0.3">
      <c r="F7630" s="1"/>
    </row>
    <row r="7631" spans="6:15" x14ac:dyDescent="0.3">
      <c r="F7631" s="1"/>
      <c r="N7631" s="1"/>
      <c r="O7631" s="1"/>
    </row>
    <row r="7632" spans="6:15" x14ac:dyDescent="0.3">
      <c r="F7632" s="1"/>
    </row>
    <row r="7633" spans="6:12" x14ac:dyDescent="0.3">
      <c r="F7633" s="1"/>
    </row>
    <row r="7634" spans="6:12" x14ac:dyDescent="0.3">
      <c r="F7634" s="1"/>
    </row>
    <row r="7635" spans="6:12" x14ac:dyDescent="0.3">
      <c r="F7635" s="1"/>
    </row>
    <row r="7636" spans="6:12" x14ac:dyDescent="0.3">
      <c r="F7636" s="1"/>
    </row>
    <row r="7637" spans="6:12" x14ac:dyDescent="0.3">
      <c r="F7637" s="1"/>
    </row>
    <row r="7639" spans="6:12" x14ac:dyDescent="0.3">
      <c r="F7639" s="1"/>
      <c r="L7639" s="1"/>
    </row>
    <row r="7640" spans="6:12" x14ac:dyDescent="0.3">
      <c r="F7640" s="1"/>
    </row>
    <row r="7641" spans="6:12" x14ac:dyDescent="0.3">
      <c r="F7641" s="1"/>
    </row>
    <row r="7642" spans="6:12" x14ac:dyDescent="0.3">
      <c r="F7642" s="1"/>
    </row>
    <row r="7643" spans="6:12" x14ac:dyDescent="0.3">
      <c r="F7643" s="1"/>
    </row>
    <row r="7644" spans="6:12" x14ac:dyDescent="0.3">
      <c r="F7644" s="1"/>
    </row>
    <row r="7645" spans="6:12" x14ac:dyDescent="0.3">
      <c r="F7645" s="1"/>
    </row>
    <row r="7647" spans="6:12" x14ac:dyDescent="0.3">
      <c r="F7647" s="1"/>
    </row>
    <row r="7648" spans="6:12" x14ac:dyDescent="0.3">
      <c r="F7648" s="1"/>
    </row>
    <row r="7649" spans="6:14" x14ac:dyDescent="0.3">
      <c r="F7649" s="1"/>
    </row>
    <row r="7650" spans="6:14" x14ac:dyDescent="0.3">
      <c r="F7650" s="1"/>
    </row>
    <row r="7651" spans="6:14" x14ac:dyDescent="0.3">
      <c r="F7651" s="1"/>
    </row>
    <row r="7653" spans="6:14" x14ac:dyDescent="0.3">
      <c r="N7653" s="1"/>
    </row>
    <row r="7654" spans="6:14" x14ac:dyDescent="0.3">
      <c r="F7654" s="1"/>
    </row>
    <row r="7655" spans="6:14" x14ac:dyDescent="0.3">
      <c r="F7655" s="1"/>
    </row>
    <row r="7657" spans="6:14" x14ac:dyDescent="0.3">
      <c r="F7657" s="1"/>
    </row>
    <row r="7658" spans="6:14" x14ac:dyDescent="0.3">
      <c r="F7658" s="1"/>
    </row>
    <row r="7659" spans="6:14" x14ac:dyDescent="0.3">
      <c r="F7659" s="1"/>
    </row>
    <row r="7660" spans="6:14" x14ac:dyDescent="0.3">
      <c r="F7660" s="1"/>
    </row>
    <row r="7661" spans="6:14" x14ac:dyDescent="0.3">
      <c r="F7661" s="1"/>
    </row>
    <row r="7663" spans="6:14" x14ac:dyDescent="0.3">
      <c r="F7663" s="1"/>
    </row>
    <row r="7666" spans="6:6" x14ac:dyDescent="0.3">
      <c r="F7666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2" spans="6:15" x14ac:dyDescent="0.3">
      <c r="F7682" s="1"/>
    </row>
    <row r="7683" spans="6:15" x14ac:dyDescent="0.3">
      <c r="F7683" s="1"/>
    </row>
    <row r="7684" spans="6:15" x14ac:dyDescent="0.3">
      <c r="F7684" s="1"/>
    </row>
    <row r="7685" spans="6:15" x14ac:dyDescent="0.3">
      <c r="F7685" s="1"/>
    </row>
    <row r="7686" spans="6:15" x14ac:dyDescent="0.3">
      <c r="F7686" s="1"/>
    </row>
    <row r="7687" spans="6:15" x14ac:dyDescent="0.3">
      <c r="F7687" s="1"/>
      <c r="L7687" s="1"/>
    </row>
    <row r="7688" spans="6:15" x14ac:dyDescent="0.3">
      <c r="F7688" s="1"/>
    </row>
    <row r="7689" spans="6:15" x14ac:dyDescent="0.3">
      <c r="F7689" s="1"/>
    </row>
    <row r="7690" spans="6:15" x14ac:dyDescent="0.3">
      <c r="F7690" s="1"/>
      <c r="L7690" s="1"/>
      <c r="M7690" s="1"/>
      <c r="N7690" s="1"/>
      <c r="O7690" s="1"/>
    </row>
    <row r="7691" spans="6:15" x14ac:dyDescent="0.3">
      <c r="F7691" s="1"/>
    </row>
    <row r="7692" spans="6:15" x14ac:dyDescent="0.3">
      <c r="M7692" s="1"/>
    </row>
    <row r="7693" spans="6:15" x14ac:dyDescent="0.3">
      <c r="F7693" s="1"/>
    </row>
    <row r="7694" spans="6:15" x14ac:dyDescent="0.3">
      <c r="F7694" s="1"/>
    </row>
    <row r="7696" spans="6:15" x14ac:dyDescent="0.3">
      <c r="F7696" s="1"/>
    </row>
    <row r="7699" spans="6:15" x14ac:dyDescent="0.3">
      <c r="F7699" s="1"/>
    </row>
    <row r="7700" spans="6:15" x14ac:dyDescent="0.3">
      <c r="F7700" s="1"/>
    </row>
    <row r="7701" spans="6:15" x14ac:dyDescent="0.3">
      <c r="M7701" s="1"/>
      <c r="N7701" s="1"/>
      <c r="O7701" s="1"/>
    </row>
    <row r="7702" spans="6:15" x14ac:dyDescent="0.3">
      <c r="F7702" s="1"/>
    </row>
    <row r="7703" spans="6:15" x14ac:dyDescent="0.3">
      <c r="F7703" s="1"/>
    </row>
    <row r="7704" spans="6:15" x14ac:dyDescent="0.3">
      <c r="F7704" s="1"/>
    </row>
    <row r="7705" spans="6:15" x14ac:dyDescent="0.3">
      <c r="F7705" s="1"/>
    </row>
    <row r="7706" spans="6:15" x14ac:dyDescent="0.3">
      <c r="F7706" s="1"/>
    </row>
    <row r="7708" spans="6:15" x14ac:dyDescent="0.3">
      <c r="F7708" s="1"/>
    </row>
    <row r="7709" spans="6:15" x14ac:dyDescent="0.3">
      <c r="F7709" s="1"/>
      <c r="L7709" s="1"/>
      <c r="M7709" s="1"/>
    </row>
    <row r="7710" spans="6:15" x14ac:dyDescent="0.3">
      <c r="F7710" s="1"/>
    </row>
    <row r="7712" spans="6:15" x14ac:dyDescent="0.3">
      <c r="F7712" s="1"/>
    </row>
    <row r="7715" spans="6:14" x14ac:dyDescent="0.3">
      <c r="F7715" s="1"/>
    </row>
    <row r="7716" spans="6:14" x14ac:dyDescent="0.3">
      <c r="F7716" s="1"/>
    </row>
    <row r="7717" spans="6:14" x14ac:dyDescent="0.3">
      <c r="F7717" s="1"/>
      <c r="M7717" s="1"/>
    </row>
    <row r="7718" spans="6:14" x14ac:dyDescent="0.3">
      <c r="F7718" s="1"/>
    </row>
    <row r="7719" spans="6:14" x14ac:dyDescent="0.3">
      <c r="F7719" s="1"/>
    </row>
    <row r="7720" spans="6:14" x14ac:dyDescent="0.3">
      <c r="F7720" s="1"/>
    </row>
    <row r="7721" spans="6:14" x14ac:dyDescent="0.3">
      <c r="F7721" s="1"/>
    </row>
    <row r="7722" spans="6:14" x14ac:dyDescent="0.3">
      <c r="M7722" s="1"/>
      <c r="N7722" s="1"/>
    </row>
    <row r="7723" spans="6:14" x14ac:dyDescent="0.3">
      <c r="F7723" s="1"/>
    </row>
    <row r="7724" spans="6:14" x14ac:dyDescent="0.3">
      <c r="F7724" s="1"/>
    </row>
    <row r="7725" spans="6:14" x14ac:dyDescent="0.3">
      <c r="F7725" s="1"/>
    </row>
    <row r="7726" spans="6:14" x14ac:dyDescent="0.3">
      <c r="F7726" s="1"/>
    </row>
    <row r="7727" spans="6:14" x14ac:dyDescent="0.3">
      <c r="F7727" s="1"/>
    </row>
    <row r="7728" spans="6:14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6" spans="6:6" x14ac:dyDescent="0.3">
      <c r="F7736" s="1"/>
    </row>
    <row r="7737" spans="6:6" x14ac:dyDescent="0.3">
      <c r="F7737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13" x14ac:dyDescent="0.3">
      <c r="F7745" s="1"/>
    </row>
    <row r="7746" spans="6:13" x14ac:dyDescent="0.3">
      <c r="F7746" s="1"/>
    </row>
    <row r="7748" spans="6:13" x14ac:dyDescent="0.3">
      <c r="F7748" s="1"/>
    </row>
    <row r="7749" spans="6:13" x14ac:dyDescent="0.3">
      <c r="F7749" s="1"/>
    </row>
    <row r="7750" spans="6:13" x14ac:dyDescent="0.3">
      <c r="F7750" s="1"/>
    </row>
    <row r="7751" spans="6:13" x14ac:dyDescent="0.3">
      <c r="F7751" s="1"/>
    </row>
    <row r="7752" spans="6:13" x14ac:dyDescent="0.3">
      <c r="F7752" s="1"/>
    </row>
    <row r="7753" spans="6:13" x14ac:dyDescent="0.3">
      <c r="F7753" s="1"/>
    </row>
    <row r="7754" spans="6:13" x14ac:dyDescent="0.3">
      <c r="F7754" s="1"/>
    </row>
    <row r="7755" spans="6:13" x14ac:dyDescent="0.3">
      <c r="F7755" s="1"/>
    </row>
    <row r="7756" spans="6:13" x14ac:dyDescent="0.3">
      <c r="F7756" s="1"/>
    </row>
    <row r="7757" spans="6:13" x14ac:dyDescent="0.3">
      <c r="F7757" s="1"/>
    </row>
    <row r="7758" spans="6:13" x14ac:dyDescent="0.3">
      <c r="F7758" s="1"/>
      <c r="M7758" s="1"/>
    </row>
    <row r="7759" spans="6:13" x14ac:dyDescent="0.3">
      <c r="F7759" s="1"/>
    </row>
    <row r="7760" spans="6:13" x14ac:dyDescent="0.3">
      <c r="F7760" s="1"/>
      <c r="M7760" s="1"/>
    </row>
    <row r="7761" spans="6:14" x14ac:dyDescent="0.3">
      <c r="F7761" s="1"/>
    </row>
    <row r="7762" spans="6:14" x14ac:dyDescent="0.3">
      <c r="F7762" s="1"/>
    </row>
    <row r="7763" spans="6:14" x14ac:dyDescent="0.3">
      <c r="L7763" s="1"/>
    </row>
    <row r="7764" spans="6:14" x14ac:dyDescent="0.3">
      <c r="F7764" s="1"/>
      <c r="N7764" s="1"/>
    </row>
    <row r="7765" spans="6:14" x14ac:dyDescent="0.3">
      <c r="F7765" s="1"/>
    </row>
    <row r="7766" spans="6:14" x14ac:dyDescent="0.3">
      <c r="F7766" s="1"/>
    </row>
    <row r="7768" spans="6:14" x14ac:dyDescent="0.3">
      <c r="F7768" s="1"/>
    </row>
    <row r="7769" spans="6:14" x14ac:dyDescent="0.3">
      <c r="F7769" s="1"/>
    </row>
    <row r="7772" spans="6:14" x14ac:dyDescent="0.3">
      <c r="F7772" s="1"/>
    </row>
    <row r="7773" spans="6:14" x14ac:dyDescent="0.3">
      <c r="F7773" s="1"/>
    </row>
    <row r="7774" spans="6:14" x14ac:dyDescent="0.3">
      <c r="F7774" s="1"/>
    </row>
    <row r="7775" spans="6:14" x14ac:dyDescent="0.3">
      <c r="F7775" s="1"/>
    </row>
    <row r="7777" spans="6:15" x14ac:dyDescent="0.3">
      <c r="F7777" s="1"/>
    </row>
    <row r="7778" spans="6:15" x14ac:dyDescent="0.3">
      <c r="F7778" s="1"/>
    </row>
    <row r="7779" spans="6:15" x14ac:dyDescent="0.3">
      <c r="F7779" s="1"/>
      <c r="M7779" s="1"/>
      <c r="N7779" s="1"/>
      <c r="O7779" s="1"/>
    </row>
    <row r="7780" spans="6:15" x14ac:dyDescent="0.3">
      <c r="F7780" s="1"/>
    </row>
    <row r="7781" spans="6:15" x14ac:dyDescent="0.3">
      <c r="F7781" s="1"/>
    </row>
    <row r="7782" spans="6:15" x14ac:dyDescent="0.3">
      <c r="F7782" s="1"/>
    </row>
    <row r="7783" spans="6:15" x14ac:dyDescent="0.3">
      <c r="F7783" s="1"/>
    </row>
    <row r="7784" spans="6:15" x14ac:dyDescent="0.3">
      <c r="F7784" s="1"/>
    </row>
    <row r="7786" spans="6:15" x14ac:dyDescent="0.3">
      <c r="F7786" s="1"/>
    </row>
    <row r="7787" spans="6:15" x14ac:dyDescent="0.3">
      <c r="F7787" s="1"/>
    </row>
    <row r="7788" spans="6:15" x14ac:dyDescent="0.3">
      <c r="F7788" s="1"/>
    </row>
    <row r="7789" spans="6:15" x14ac:dyDescent="0.3">
      <c r="F7789" s="1"/>
    </row>
    <row r="7790" spans="6:15" x14ac:dyDescent="0.3">
      <c r="F7790" s="1"/>
    </row>
    <row r="7792" spans="6:15" x14ac:dyDescent="0.3">
      <c r="F7792" s="1"/>
    </row>
    <row r="7793" spans="6:15" x14ac:dyDescent="0.3">
      <c r="F7793" s="1"/>
    </row>
    <row r="7794" spans="6:15" x14ac:dyDescent="0.3">
      <c r="F7794" s="1"/>
    </row>
    <row r="7795" spans="6:15" x14ac:dyDescent="0.3">
      <c r="F7795" s="1"/>
    </row>
    <row r="7797" spans="6:15" x14ac:dyDescent="0.3">
      <c r="F7797" s="1"/>
    </row>
    <row r="7798" spans="6:15" x14ac:dyDescent="0.3">
      <c r="F7798" s="1"/>
    </row>
    <row r="7799" spans="6:15" x14ac:dyDescent="0.3">
      <c r="F7799" s="1"/>
    </row>
    <row r="7800" spans="6:15" x14ac:dyDescent="0.3">
      <c r="F7800" s="1"/>
    </row>
    <row r="7801" spans="6:15" x14ac:dyDescent="0.3">
      <c r="F7801" s="1"/>
    </row>
    <row r="7802" spans="6:15" x14ac:dyDescent="0.3">
      <c r="F7802" s="1"/>
    </row>
    <row r="7803" spans="6:15" x14ac:dyDescent="0.3">
      <c r="F7803" s="1"/>
      <c r="M7803" s="1"/>
      <c r="N7803" s="1"/>
      <c r="O7803" s="1"/>
    </row>
    <row r="7804" spans="6:15" x14ac:dyDescent="0.3">
      <c r="F7804" s="1"/>
    </row>
    <row r="7805" spans="6:15" x14ac:dyDescent="0.3">
      <c r="F7805" s="1"/>
    </row>
    <row r="7806" spans="6:15" x14ac:dyDescent="0.3">
      <c r="F7806" s="1"/>
    </row>
    <row r="7807" spans="6:15" x14ac:dyDescent="0.3">
      <c r="F7807" s="1"/>
    </row>
    <row r="7808" spans="6:15" x14ac:dyDescent="0.3">
      <c r="F7808" s="1"/>
    </row>
    <row r="7809" spans="6:15" x14ac:dyDescent="0.3">
      <c r="L7809" s="1"/>
      <c r="O7809" s="1"/>
    </row>
    <row r="7810" spans="6:15" x14ac:dyDescent="0.3">
      <c r="F7810" s="1"/>
    </row>
    <row r="7811" spans="6:15" x14ac:dyDescent="0.3">
      <c r="F7811" s="1"/>
      <c r="L7811" s="1"/>
      <c r="N7811" s="1"/>
      <c r="O7811" s="1"/>
    </row>
    <row r="7814" spans="6:15" x14ac:dyDescent="0.3">
      <c r="F7814" s="1"/>
    </row>
    <row r="7815" spans="6:15" x14ac:dyDescent="0.3">
      <c r="F7815" s="1"/>
    </row>
    <row r="7817" spans="6:15" x14ac:dyDescent="0.3">
      <c r="F7817" s="1"/>
      <c r="L7817" s="1"/>
    </row>
    <row r="7818" spans="6:15" x14ac:dyDescent="0.3">
      <c r="F7818" s="1"/>
    </row>
    <row r="7819" spans="6:15" x14ac:dyDescent="0.3">
      <c r="F7819" s="1"/>
    </row>
    <row r="7820" spans="6:15" x14ac:dyDescent="0.3">
      <c r="F7820" s="1"/>
    </row>
    <row r="7821" spans="6:15" x14ac:dyDescent="0.3">
      <c r="F7821" s="1"/>
    </row>
    <row r="7822" spans="6:15" x14ac:dyDescent="0.3">
      <c r="F7822" s="1"/>
    </row>
    <row r="7823" spans="6:15" x14ac:dyDescent="0.3">
      <c r="F7823" s="1"/>
    </row>
    <row r="7824" spans="6:15" x14ac:dyDescent="0.3">
      <c r="F7824" s="1"/>
    </row>
    <row r="7826" spans="6:14" x14ac:dyDescent="0.3">
      <c r="F7826" s="1"/>
    </row>
    <row r="7827" spans="6:14" x14ac:dyDescent="0.3">
      <c r="F7827" s="1"/>
    </row>
    <row r="7828" spans="6:14" x14ac:dyDescent="0.3">
      <c r="F7828" s="1"/>
    </row>
    <row r="7829" spans="6:14" x14ac:dyDescent="0.3">
      <c r="F7829" s="1"/>
    </row>
    <row r="7830" spans="6:14" x14ac:dyDescent="0.3">
      <c r="F7830" s="1"/>
    </row>
    <row r="7831" spans="6:14" x14ac:dyDescent="0.3">
      <c r="F7831" s="1"/>
      <c r="M7831" s="1"/>
      <c r="N7831" s="1"/>
    </row>
    <row r="7832" spans="6:14" x14ac:dyDescent="0.3">
      <c r="F7832" s="1"/>
    </row>
    <row r="7833" spans="6:14" x14ac:dyDescent="0.3">
      <c r="F7833" s="1"/>
    </row>
    <row r="7834" spans="6:14" x14ac:dyDescent="0.3">
      <c r="F7834" s="1"/>
    </row>
    <row r="7835" spans="6:14" x14ac:dyDescent="0.3">
      <c r="L7835" s="1"/>
    </row>
    <row r="7838" spans="6:14" x14ac:dyDescent="0.3">
      <c r="F7838" s="1"/>
      <c r="L7838" s="1"/>
    </row>
    <row r="7839" spans="6:14" x14ac:dyDescent="0.3">
      <c r="F7839" s="1"/>
    </row>
    <row r="7840" spans="6:14" x14ac:dyDescent="0.3">
      <c r="F7840" s="1"/>
    </row>
    <row r="7841" spans="6:6" x14ac:dyDescent="0.3">
      <c r="F7841" s="1"/>
    </row>
    <row r="7843" spans="6:6" x14ac:dyDescent="0.3">
      <c r="F7843" s="1"/>
    </row>
    <row r="7844" spans="6:6" x14ac:dyDescent="0.3">
      <c r="F7844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15" x14ac:dyDescent="0.3">
      <c r="F7857" s="1"/>
    </row>
    <row r="7858" spans="6:15" x14ac:dyDescent="0.3">
      <c r="F7858" s="1"/>
    </row>
    <row r="7859" spans="6:15" x14ac:dyDescent="0.3">
      <c r="N7859" s="1"/>
    </row>
    <row r="7860" spans="6:15" x14ac:dyDescent="0.3">
      <c r="F7860" s="1"/>
    </row>
    <row r="7861" spans="6:15" x14ac:dyDescent="0.3">
      <c r="F7861" s="1"/>
      <c r="L7861" s="1"/>
    </row>
    <row r="7862" spans="6:15" x14ac:dyDescent="0.3">
      <c r="F7862" s="1"/>
    </row>
    <row r="7863" spans="6:15" x14ac:dyDescent="0.3">
      <c r="F7863" s="1"/>
    </row>
    <row r="7864" spans="6:15" x14ac:dyDescent="0.3">
      <c r="F7864" s="1"/>
      <c r="L7864" s="1"/>
      <c r="N7864" s="1"/>
      <c r="O7864" s="1"/>
    </row>
    <row r="7865" spans="6:15" x14ac:dyDescent="0.3">
      <c r="F7865" s="1"/>
    </row>
    <row r="7866" spans="6:15" x14ac:dyDescent="0.3">
      <c r="F7866" s="1"/>
    </row>
    <row r="7867" spans="6:15" x14ac:dyDescent="0.3">
      <c r="F7867" s="1"/>
    </row>
    <row r="7868" spans="6:15" x14ac:dyDescent="0.3">
      <c r="F7868" s="1"/>
    </row>
    <row r="7869" spans="6:15" x14ac:dyDescent="0.3">
      <c r="F7869" s="1"/>
    </row>
    <row r="7870" spans="6:15" x14ac:dyDescent="0.3">
      <c r="F7870" s="1"/>
    </row>
    <row r="7871" spans="6:15" x14ac:dyDescent="0.3">
      <c r="F7871" s="1"/>
      <c r="L7871" s="1"/>
      <c r="N7871" s="1"/>
    </row>
    <row r="7872" spans="6:15" x14ac:dyDescent="0.3">
      <c r="F7872" s="1"/>
    </row>
    <row r="7873" spans="6:14" x14ac:dyDescent="0.3">
      <c r="F7873" s="1"/>
    </row>
    <row r="7874" spans="6:14" x14ac:dyDescent="0.3">
      <c r="F7874" s="1"/>
    </row>
    <row r="7877" spans="6:14" x14ac:dyDescent="0.3">
      <c r="F7877" s="1"/>
      <c r="N7877" s="1"/>
    </row>
    <row r="7878" spans="6:14" x14ac:dyDescent="0.3">
      <c r="F7878" s="1"/>
      <c r="L7878" s="1"/>
      <c r="M7878" s="1"/>
      <c r="N7878" s="1"/>
    </row>
    <row r="7879" spans="6:14" x14ac:dyDescent="0.3">
      <c r="F7879" s="1"/>
    </row>
    <row r="7881" spans="6:14" x14ac:dyDescent="0.3">
      <c r="F7881" s="1"/>
    </row>
    <row r="7882" spans="6:14" x14ac:dyDescent="0.3">
      <c r="F7882" s="1"/>
    </row>
    <row r="7883" spans="6:14" x14ac:dyDescent="0.3">
      <c r="F7883" s="1"/>
    </row>
    <row r="7884" spans="6:14" x14ac:dyDescent="0.3">
      <c r="F7884" s="1"/>
    </row>
    <row r="7885" spans="6:14" x14ac:dyDescent="0.3">
      <c r="F7885" s="1"/>
    </row>
    <row r="7886" spans="6:14" x14ac:dyDescent="0.3">
      <c r="F7886" s="1"/>
    </row>
    <row r="7887" spans="6:14" x14ac:dyDescent="0.3">
      <c r="F7887" s="1"/>
    </row>
    <row r="7888" spans="6:14" x14ac:dyDescent="0.3">
      <c r="F7888" s="1"/>
    </row>
    <row r="7889" spans="6:15" x14ac:dyDescent="0.3">
      <c r="F7889" s="1"/>
      <c r="L7889" s="1"/>
    </row>
    <row r="7890" spans="6:15" x14ac:dyDescent="0.3">
      <c r="F7890" s="1"/>
    </row>
    <row r="7891" spans="6:15" x14ac:dyDescent="0.3">
      <c r="F7891" s="1"/>
    </row>
    <row r="7892" spans="6:15" x14ac:dyDescent="0.3">
      <c r="F7892" s="1"/>
    </row>
    <row r="7893" spans="6:15" x14ac:dyDescent="0.3">
      <c r="F7893" s="1"/>
    </row>
    <row r="7894" spans="6:15" x14ac:dyDescent="0.3">
      <c r="F7894" s="1"/>
      <c r="M7894" s="1"/>
    </row>
    <row r="7895" spans="6:15" x14ac:dyDescent="0.3">
      <c r="F7895" s="1"/>
    </row>
    <row r="7896" spans="6:15" x14ac:dyDescent="0.3">
      <c r="F7896" s="1"/>
    </row>
    <row r="7897" spans="6:15" x14ac:dyDescent="0.3">
      <c r="L7897" s="1"/>
    </row>
    <row r="7898" spans="6:15" x14ac:dyDescent="0.3">
      <c r="F7898" s="1"/>
    </row>
    <row r="7899" spans="6:15" x14ac:dyDescent="0.3">
      <c r="F7899" s="1"/>
    </row>
    <row r="7900" spans="6:15" x14ac:dyDescent="0.3">
      <c r="F7900" s="1"/>
    </row>
    <row r="7901" spans="6:15" x14ac:dyDescent="0.3">
      <c r="F7901" s="1"/>
    </row>
    <row r="7902" spans="6:15" x14ac:dyDescent="0.3">
      <c r="F7902" s="1"/>
      <c r="M7902" s="1"/>
      <c r="N7902" s="1"/>
      <c r="O7902" s="1"/>
    </row>
    <row r="7903" spans="6:15" x14ac:dyDescent="0.3">
      <c r="F7903" s="1"/>
    </row>
    <row r="7904" spans="6:15" x14ac:dyDescent="0.3">
      <c r="F7904" s="1"/>
    </row>
    <row r="7905" spans="6:12" x14ac:dyDescent="0.3">
      <c r="F7905" s="1"/>
    </row>
    <row r="7906" spans="6:12" x14ac:dyDescent="0.3">
      <c r="F7906" s="1"/>
    </row>
    <row r="7907" spans="6:12" x14ac:dyDescent="0.3">
      <c r="F7907" s="1"/>
    </row>
    <row r="7908" spans="6:12" x14ac:dyDescent="0.3">
      <c r="F7908" s="1"/>
    </row>
    <row r="7909" spans="6:12" x14ac:dyDescent="0.3">
      <c r="F7909" s="1"/>
    </row>
    <row r="7910" spans="6:12" x14ac:dyDescent="0.3">
      <c r="F7910" s="1"/>
    </row>
    <row r="7913" spans="6:12" x14ac:dyDescent="0.3">
      <c r="F7913" s="1"/>
    </row>
    <row r="7915" spans="6:12" x14ac:dyDescent="0.3">
      <c r="F7915" s="1"/>
    </row>
    <row r="7916" spans="6:12" x14ac:dyDescent="0.3">
      <c r="F7916" s="1"/>
    </row>
    <row r="7917" spans="6:12" x14ac:dyDescent="0.3">
      <c r="F7917" s="1"/>
    </row>
    <row r="7918" spans="6:12" x14ac:dyDescent="0.3">
      <c r="F7918" s="1"/>
    </row>
    <row r="7919" spans="6:12" x14ac:dyDescent="0.3">
      <c r="L7919" s="1"/>
    </row>
    <row r="7920" spans="6:12" x14ac:dyDescent="0.3">
      <c r="F7920" s="1"/>
    </row>
    <row r="7921" spans="6:15" x14ac:dyDescent="0.3">
      <c r="F7921" s="1"/>
      <c r="L7921" s="1"/>
      <c r="M7921" s="1"/>
      <c r="O7921" s="1"/>
    </row>
    <row r="7922" spans="6:15" x14ac:dyDescent="0.3">
      <c r="F7922" s="1"/>
      <c r="M7922" s="1"/>
      <c r="N7922" s="1"/>
    </row>
    <row r="7923" spans="6:15" x14ac:dyDescent="0.3">
      <c r="F7923" s="1"/>
    </row>
    <row r="7924" spans="6:15" x14ac:dyDescent="0.3">
      <c r="F7924" s="1"/>
    </row>
    <row r="7925" spans="6:15" x14ac:dyDescent="0.3">
      <c r="F7925" s="1"/>
      <c r="N7925" s="1"/>
    </row>
    <row r="7926" spans="6:15" x14ac:dyDescent="0.3">
      <c r="F7926" s="1"/>
      <c r="L7926" s="1"/>
      <c r="M7926" s="1"/>
      <c r="N7926" s="1"/>
      <c r="O7926" s="1"/>
    </row>
    <row r="7927" spans="6:15" x14ac:dyDescent="0.3">
      <c r="F7927" s="1"/>
    </row>
    <row r="7928" spans="6:15" x14ac:dyDescent="0.3">
      <c r="F7928" s="1"/>
    </row>
    <row r="7929" spans="6:15" x14ac:dyDescent="0.3">
      <c r="F7929" s="1"/>
    </row>
    <row r="7930" spans="6:15" x14ac:dyDescent="0.3">
      <c r="F7930" s="1"/>
    </row>
    <row r="7931" spans="6:15" x14ac:dyDescent="0.3">
      <c r="F7931" s="1"/>
    </row>
    <row r="7932" spans="6:15" x14ac:dyDescent="0.3">
      <c r="F7932" s="1"/>
    </row>
    <row r="7933" spans="6:15" x14ac:dyDescent="0.3">
      <c r="F7933" s="1"/>
    </row>
    <row r="7934" spans="6:15" x14ac:dyDescent="0.3">
      <c r="F7934" s="1"/>
    </row>
    <row r="7935" spans="6:15" x14ac:dyDescent="0.3">
      <c r="F7935" s="1"/>
      <c r="N7935" s="1"/>
    </row>
    <row r="7936" spans="6:15" x14ac:dyDescent="0.3">
      <c r="F7936" s="1"/>
    </row>
    <row r="7937" spans="6:15" x14ac:dyDescent="0.3">
      <c r="F7937" s="1"/>
    </row>
    <row r="7938" spans="6:15" x14ac:dyDescent="0.3">
      <c r="F7938" s="1"/>
    </row>
    <row r="7939" spans="6:15" x14ac:dyDescent="0.3">
      <c r="F7939" s="1"/>
    </row>
    <row r="7940" spans="6:15" x14ac:dyDescent="0.3">
      <c r="F7940" s="1"/>
    </row>
    <row r="7941" spans="6:15" x14ac:dyDescent="0.3">
      <c r="F7941" s="1"/>
    </row>
    <row r="7942" spans="6:15" x14ac:dyDescent="0.3">
      <c r="F7942" s="1"/>
    </row>
    <row r="7943" spans="6:15" x14ac:dyDescent="0.3">
      <c r="F7943" s="1"/>
    </row>
    <row r="7944" spans="6:15" x14ac:dyDescent="0.3">
      <c r="L7944" s="1"/>
      <c r="M7944" s="1"/>
      <c r="N7944" s="1"/>
      <c r="O7944" s="1"/>
    </row>
    <row r="7945" spans="6:15" x14ac:dyDescent="0.3">
      <c r="F7945" s="1"/>
    </row>
    <row r="7947" spans="6:15" x14ac:dyDescent="0.3">
      <c r="F7947" s="1"/>
    </row>
    <row r="7948" spans="6:15" x14ac:dyDescent="0.3">
      <c r="F7948" s="1"/>
      <c r="L7948" s="1"/>
      <c r="N7948" s="1"/>
    </row>
    <row r="7949" spans="6:15" x14ac:dyDescent="0.3">
      <c r="F7949" s="1"/>
    </row>
    <row r="7950" spans="6:15" x14ac:dyDescent="0.3">
      <c r="F7950" s="1"/>
    </row>
    <row r="7951" spans="6:15" x14ac:dyDescent="0.3">
      <c r="F7951" s="1"/>
    </row>
    <row r="7952" spans="6:15" x14ac:dyDescent="0.3">
      <c r="F7952" s="1"/>
    </row>
    <row r="7953" spans="6:14" x14ac:dyDescent="0.3">
      <c r="F7953" s="1"/>
    </row>
    <row r="7954" spans="6:14" x14ac:dyDescent="0.3">
      <c r="F7954" s="1"/>
    </row>
    <row r="7955" spans="6:14" x14ac:dyDescent="0.3">
      <c r="F7955" s="1"/>
    </row>
    <row r="7958" spans="6:14" x14ac:dyDescent="0.3">
      <c r="F7958" s="1"/>
    </row>
    <row r="7959" spans="6:14" x14ac:dyDescent="0.3">
      <c r="F7959" s="1"/>
    </row>
    <row r="7961" spans="6:14" x14ac:dyDescent="0.3">
      <c r="F7961" s="1"/>
    </row>
    <row r="7962" spans="6:14" x14ac:dyDescent="0.3">
      <c r="F7962" s="1"/>
      <c r="M7962" s="1"/>
    </row>
    <row r="7963" spans="6:14" x14ac:dyDescent="0.3">
      <c r="F7963" s="1"/>
    </row>
    <row r="7964" spans="6:14" x14ac:dyDescent="0.3">
      <c r="F7964" s="1"/>
      <c r="N7964" s="1"/>
    </row>
    <row r="7965" spans="6:14" x14ac:dyDescent="0.3">
      <c r="F7965" s="1"/>
    </row>
    <row r="7966" spans="6:14" x14ac:dyDescent="0.3">
      <c r="F7966" s="1"/>
    </row>
    <row r="7967" spans="6:14" x14ac:dyDescent="0.3">
      <c r="F7967" s="1"/>
      <c r="M7967" s="1"/>
    </row>
    <row r="7968" spans="6:14" x14ac:dyDescent="0.3">
      <c r="F7968" s="1"/>
    </row>
    <row r="7969" spans="6:15" x14ac:dyDescent="0.3">
      <c r="M7969" s="1"/>
      <c r="O7969" s="1"/>
    </row>
    <row r="7970" spans="6:15" x14ac:dyDescent="0.3">
      <c r="F7970" s="1"/>
    </row>
    <row r="7971" spans="6:15" x14ac:dyDescent="0.3">
      <c r="M7971" s="1"/>
      <c r="N7971" s="1"/>
      <c r="O7971" s="1"/>
    </row>
    <row r="7972" spans="6:15" x14ac:dyDescent="0.3">
      <c r="F7972" s="1"/>
    </row>
    <row r="7973" spans="6:15" x14ac:dyDescent="0.3">
      <c r="F7973" s="1"/>
    </row>
    <row r="7975" spans="6:15" x14ac:dyDescent="0.3">
      <c r="F7975" s="1"/>
      <c r="L7975" s="1"/>
      <c r="N7975" s="1"/>
    </row>
    <row r="7976" spans="6:15" x14ac:dyDescent="0.3">
      <c r="F7976" s="1"/>
      <c r="M7976" s="1"/>
    </row>
    <row r="7977" spans="6:15" x14ac:dyDescent="0.3">
      <c r="F7977" s="1"/>
    </row>
    <row r="7978" spans="6:15" x14ac:dyDescent="0.3">
      <c r="F7978" s="1"/>
    </row>
    <row r="7979" spans="6:15" x14ac:dyDescent="0.3">
      <c r="F7979" s="1"/>
    </row>
    <row r="7980" spans="6:15" x14ac:dyDescent="0.3">
      <c r="F7980" s="1"/>
    </row>
    <row r="7981" spans="6:15" x14ac:dyDescent="0.3">
      <c r="F7981" s="1"/>
    </row>
    <row r="7982" spans="6:15" x14ac:dyDescent="0.3">
      <c r="F7982" s="1"/>
    </row>
    <row r="7983" spans="6:15" x14ac:dyDescent="0.3">
      <c r="F7983" s="1"/>
    </row>
    <row r="7985" spans="6:15" x14ac:dyDescent="0.3">
      <c r="F7985" s="1"/>
    </row>
    <row r="7986" spans="6:15" x14ac:dyDescent="0.3">
      <c r="F7986" s="1"/>
      <c r="M7986" s="1"/>
      <c r="N7986" s="1"/>
      <c r="O7986" s="1"/>
    </row>
    <row r="7987" spans="6:15" x14ac:dyDescent="0.3">
      <c r="F7987" s="1"/>
    </row>
    <row r="7988" spans="6:15" x14ac:dyDescent="0.3">
      <c r="F7988" s="1"/>
    </row>
    <row r="7989" spans="6:15" x14ac:dyDescent="0.3">
      <c r="F7989" s="1"/>
    </row>
    <row r="7990" spans="6:15" x14ac:dyDescent="0.3">
      <c r="F7990" s="1"/>
    </row>
    <row r="7991" spans="6:15" x14ac:dyDescent="0.3">
      <c r="F7991" s="1"/>
    </row>
    <row r="7992" spans="6:15" x14ac:dyDescent="0.3">
      <c r="F7992" s="1"/>
    </row>
    <row r="7993" spans="6:15" x14ac:dyDescent="0.3">
      <c r="F7993" s="1"/>
    </row>
    <row r="7994" spans="6:15" x14ac:dyDescent="0.3">
      <c r="F7994" s="1"/>
    </row>
    <row r="7995" spans="6:15" x14ac:dyDescent="0.3">
      <c r="F7995" s="1"/>
    </row>
    <row r="7996" spans="6:15" x14ac:dyDescent="0.3">
      <c r="F7996" s="1"/>
    </row>
    <row r="7997" spans="6:15" x14ac:dyDescent="0.3">
      <c r="F7997" s="1"/>
    </row>
    <row r="7999" spans="6:15" x14ac:dyDescent="0.3">
      <c r="F7999" s="1"/>
    </row>
    <row r="8000" spans="6:15" x14ac:dyDescent="0.3">
      <c r="F8000" s="1"/>
    </row>
    <row r="8001" spans="6:12" x14ac:dyDescent="0.3">
      <c r="F8001" s="1"/>
    </row>
    <row r="8002" spans="6:12" x14ac:dyDescent="0.3">
      <c r="F8002" s="1"/>
    </row>
    <row r="8003" spans="6:12" x14ac:dyDescent="0.3">
      <c r="F8003" s="1"/>
    </row>
    <row r="8004" spans="6:12" x14ac:dyDescent="0.3">
      <c r="F8004" s="1"/>
    </row>
    <row r="8005" spans="6:12" x14ac:dyDescent="0.3">
      <c r="F8005" s="1"/>
    </row>
    <row r="8006" spans="6:12" x14ac:dyDescent="0.3">
      <c r="F8006" s="1"/>
    </row>
    <row r="8007" spans="6:12" x14ac:dyDescent="0.3">
      <c r="F8007" s="1"/>
    </row>
    <row r="8008" spans="6:12" x14ac:dyDescent="0.3">
      <c r="F8008" s="1"/>
    </row>
    <row r="8009" spans="6:12" x14ac:dyDescent="0.3">
      <c r="F8009" s="1"/>
    </row>
    <row r="8010" spans="6:12" x14ac:dyDescent="0.3">
      <c r="L8010" s="1"/>
    </row>
    <row r="8011" spans="6:12" x14ac:dyDescent="0.3">
      <c r="F8011" s="1"/>
    </row>
    <row r="8012" spans="6:12" x14ac:dyDescent="0.3">
      <c r="F8012" s="1"/>
    </row>
    <row r="8013" spans="6:12" x14ac:dyDescent="0.3">
      <c r="F8013" s="1"/>
    </row>
    <row r="8014" spans="6:12" x14ac:dyDescent="0.3">
      <c r="F8014" s="1"/>
    </row>
    <row r="8015" spans="6:12" x14ac:dyDescent="0.3">
      <c r="F8015" s="1"/>
    </row>
    <row r="8016" spans="6:12" x14ac:dyDescent="0.3">
      <c r="F8016" s="1"/>
    </row>
    <row r="8017" spans="6:15" x14ac:dyDescent="0.3">
      <c r="F8017" s="1"/>
    </row>
    <row r="8018" spans="6:15" x14ac:dyDescent="0.3">
      <c r="F8018" s="1"/>
    </row>
    <row r="8019" spans="6:15" x14ac:dyDescent="0.3">
      <c r="F8019" s="1"/>
    </row>
    <row r="8020" spans="6:15" x14ac:dyDescent="0.3">
      <c r="F8020" s="1"/>
    </row>
    <row r="8021" spans="6:15" x14ac:dyDescent="0.3">
      <c r="F8021" s="1"/>
    </row>
    <row r="8023" spans="6:15" x14ac:dyDescent="0.3">
      <c r="F8023" s="1"/>
      <c r="N8023" s="1"/>
    </row>
    <row r="8024" spans="6:15" x14ac:dyDescent="0.3">
      <c r="F8024" s="1"/>
    </row>
    <row r="8025" spans="6:15" x14ac:dyDescent="0.3">
      <c r="M8025" s="1"/>
      <c r="N8025" s="1"/>
      <c r="O8025" s="1"/>
    </row>
    <row r="8026" spans="6:15" x14ac:dyDescent="0.3">
      <c r="F8026" s="1"/>
    </row>
    <row r="8027" spans="6:15" x14ac:dyDescent="0.3">
      <c r="F8027" s="1"/>
      <c r="M8027" s="1"/>
    </row>
    <row r="8028" spans="6:15" x14ac:dyDescent="0.3">
      <c r="F8028" s="1"/>
    </row>
    <row r="8030" spans="6:15" x14ac:dyDescent="0.3">
      <c r="F8030" s="1"/>
    </row>
    <row r="8031" spans="6:15" x14ac:dyDescent="0.3">
      <c r="F8031" s="1"/>
    </row>
    <row r="8032" spans="6:15" x14ac:dyDescent="0.3">
      <c r="F8032" s="1"/>
    </row>
    <row r="8033" spans="6:14" x14ac:dyDescent="0.3">
      <c r="F8033" s="1"/>
    </row>
    <row r="8034" spans="6:14" x14ac:dyDescent="0.3">
      <c r="F8034" s="1"/>
    </row>
    <row r="8035" spans="6:14" x14ac:dyDescent="0.3">
      <c r="F8035" s="1"/>
    </row>
    <row r="8036" spans="6:14" x14ac:dyDescent="0.3">
      <c r="F8036" s="1"/>
    </row>
    <row r="8037" spans="6:14" x14ac:dyDescent="0.3">
      <c r="F8037" s="1"/>
    </row>
    <row r="8039" spans="6:14" x14ac:dyDescent="0.3">
      <c r="F8039" s="1"/>
    </row>
    <row r="8040" spans="6:14" x14ac:dyDescent="0.3">
      <c r="F8040" s="1"/>
    </row>
    <row r="8041" spans="6:14" x14ac:dyDescent="0.3">
      <c r="F8041" s="1"/>
    </row>
    <row r="8042" spans="6:14" x14ac:dyDescent="0.3">
      <c r="F8042" s="1"/>
    </row>
    <row r="8044" spans="6:14" x14ac:dyDescent="0.3">
      <c r="F8044" s="1"/>
    </row>
    <row r="8045" spans="6:14" x14ac:dyDescent="0.3">
      <c r="F8045" s="1"/>
    </row>
    <row r="8046" spans="6:14" x14ac:dyDescent="0.3">
      <c r="F8046" s="1"/>
      <c r="N8046" s="1"/>
    </row>
    <row r="8048" spans="6:14" x14ac:dyDescent="0.3">
      <c r="F8048" s="1"/>
    </row>
    <row r="8049" spans="6:13" x14ac:dyDescent="0.3">
      <c r="F8049" s="1"/>
    </row>
    <row r="8050" spans="6:13" x14ac:dyDescent="0.3">
      <c r="F8050" s="1"/>
      <c r="M8050" s="1"/>
    </row>
    <row r="8051" spans="6:13" x14ac:dyDescent="0.3">
      <c r="F8051" s="1"/>
    </row>
    <row r="8052" spans="6:13" x14ac:dyDescent="0.3">
      <c r="F8052" s="1"/>
    </row>
    <row r="8053" spans="6:13" x14ac:dyDescent="0.3">
      <c r="F8053" s="1"/>
    </row>
    <row r="8054" spans="6:13" x14ac:dyDescent="0.3">
      <c r="F8054" s="1"/>
    </row>
    <row r="8055" spans="6:13" x14ac:dyDescent="0.3">
      <c r="F8055" s="1"/>
    </row>
    <row r="8056" spans="6:13" x14ac:dyDescent="0.3">
      <c r="F8056" s="1"/>
    </row>
    <row r="8057" spans="6:13" x14ac:dyDescent="0.3">
      <c r="F8057" s="1"/>
    </row>
    <row r="8058" spans="6:13" x14ac:dyDescent="0.3">
      <c r="F8058" s="1"/>
    </row>
    <row r="8059" spans="6:13" x14ac:dyDescent="0.3">
      <c r="F8059" s="1"/>
    </row>
    <row r="8060" spans="6:13" x14ac:dyDescent="0.3">
      <c r="F8060" s="1"/>
    </row>
    <row r="8061" spans="6:13" x14ac:dyDescent="0.3">
      <c r="F8061" s="1"/>
    </row>
    <row r="8062" spans="6:13" x14ac:dyDescent="0.3">
      <c r="F8062" s="1"/>
    </row>
    <row r="8063" spans="6:13" x14ac:dyDescent="0.3">
      <c r="F8063" s="1"/>
    </row>
    <row r="8064" spans="6:13" x14ac:dyDescent="0.3">
      <c r="F8064" s="1"/>
      <c r="M8064" s="1"/>
    </row>
    <row r="8065" spans="6:14" x14ac:dyDescent="0.3">
      <c r="F8065" s="1"/>
    </row>
    <row r="8066" spans="6:14" x14ac:dyDescent="0.3">
      <c r="F8066" s="1"/>
    </row>
    <row r="8067" spans="6:14" x14ac:dyDescent="0.3">
      <c r="F8067" s="1"/>
    </row>
    <row r="8068" spans="6:14" x14ac:dyDescent="0.3">
      <c r="F8068" s="1"/>
    </row>
    <row r="8069" spans="6:14" x14ac:dyDescent="0.3">
      <c r="F8069" s="1"/>
    </row>
    <row r="8070" spans="6:14" x14ac:dyDescent="0.3">
      <c r="F8070" s="1"/>
    </row>
    <row r="8071" spans="6:14" x14ac:dyDescent="0.3">
      <c r="F8071" s="1"/>
    </row>
    <row r="8072" spans="6:14" x14ac:dyDescent="0.3">
      <c r="F8072" s="1"/>
    </row>
    <row r="8073" spans="6:14" x14ac:dyDescent="0.3">
      <c r="F8073" s="1"/>
    </row>
    <row r="8074" spans="6:14" x14ac:dyDescent="0.3">
      <c r="F8074" s="1"/>
    </row>
    <row r="8075" spans="6:14" x14ac:dyDescent="0.3">
      <c r="F8075" s="1"/>
    </row>
    <row r="8076" spans="6:14" x14ac:dyDescent="0.3">
      <c r="F8076" s="1"/>
    </row>
    <row r="8077" spans="6:14" x14ac:dyDescent="0.3">
      <c r="F8077" s="1"/>
      <c r="L8077" s="1"/>
      <c r="M8077" s="1"/>
    </row>
    <row r="8078" spans="6:14" x14ac:dyDescent="0.3">
      <c r="F8078" s="1"/>
    </row>
    <row r="8079" spans="6:14" x14ac:dyDescent="0.3">
      <c r="F8079" s="1"/>
      <c r="L8079" s="1"/>
      <c r="M8079" s="1"/>
      <c r="N8079" s="1"/>
    </row>
    <row r="8080" spans="6:14" x14ac:dyDescent="0.3">
      <c r="F8080" s="1"/>
    </row>
    <row r="8081" spans="6:14" x14ac:dyDescent="0.3">
      <c r="F8081" s="1"/>
    </row>
    <row r="8082" spans="6:14" x14ac:dyDescent="0.3">
      <c r="F8082" s="1"/>
    </row>
    <row r="8083" spans="6:14" x14ac:dyDescent="0.3">
      <c r="F8083" s="1"/>
    </row>
    <row r="8084" spans="6:14" x14ac:dyDescent="0.3">
      <c r="F8084" s="1"/>
    </row>
    <row r="8085" spans="6:14" x14ac:dyDescent="0.3">
      <c r="F8085" s="1"/>
    </row>
    <row r="8086" spans="6:14" x14ac:dyDescent="0.3">
      <c r="F8086" s="1"/>
    </row>
    <row r="8087" spans="6:14" x14ac:dyDescent="0.3">
      <c r="F8087" s="1"/>
    </row>
    <row r="8088" spans="6:14" x14ac:dyDescent="0.3">
      <c r="F8088" s="1"/>
    </row>
    <row r="8089" spans="6:14" x14ac:dyDescent="0.3">
      <c r="F8089" s="1"/>
    </row>
    <row r="8090" spans="6:14" x14ac:dyDescent="0.3">
      <c r="F8090" s="1"/>
    </row>
    <row r="8093" spans="6:14" x14ac:dyDescent="0.3">
      <c r="F8093" s="1"/>
    </row>
    <row r="8094" spans="6:14" x14ac:dyDescent="0.3">
      <c r="F8094" s="1"/>
    </row>
    <row r="8095" spans="6:14" x14ac:dyDescent="0.3">
      <c r="F8095" s="1"/>
      <c r="N8095" s="1"/>
    </row>
    <row r="8097" spans="6:14" x14ac:dyDescent="0.3">
      <c r="F8097" s="1"/>
      <c r="N8097" s="1"/>
    </row>
    <row r="8098" spans="6:14" x14ac:dyDescent="0.3">
      <c r="F8098" s="1"/>
    </row>
    <row r="8099" spans="6:14" x14ac:dyDescent="0.3">
      <c r="F8099" s="1"/>
    </row>
    <row r="8100" spans="6:14" x14ac:dyDescent="0.3">
      <c r="F8100" s="1"/>
      <c r="M8100" s="1"/>
      <c r="N8100" s="1"/>
    </row>
    <row r="8101" spans="6:14" x14ac:dyDescent="0.3">
      <c r="F8101" s="1"/>
    </row>
    <row r="8102" spans="6:14" x14ac:dyDescent="0.3">
      <c r="F8102" s="1"/>
    </row>
    <row r="8104" spans="6:14" x14ac:dyDescent="0.3">
      <c r="F8104" s="1"/>
    </row>
    <row r="8105" spans="6:14" x14ac:dyDescent="0.3">
      <c r="F8105" s="1"/>
    </row>
    <row r="8106" spans="6:14" x14ac:dyDescent="0.3">
      <c r="F8106" s="1"/>
    </row>
    <row r="8108" spans="6:14" x14ac:dyDescent="0.3">
      <c r="F8108" s="1"/>
    </row>
    <row r="8109" spans="6:14" x14ac:dyDescent="0.3">
      <c r="F8109" s="1"/>
    </row>
    <row r="8110" spans="6:14" x14ac:dyDescent="0.3">
      <c r="F8110" s="1"/>
    </row>
    <row r="8111" spans="6:14" x14ac:dyDescent="0.3">
      <c r="F8111" s="1"/>
    </row>
    <row r="8112" spans="6:14" x14ac:dyDescent="0.3">
      <c r="F8112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12" x14ac:dyDescent="0.3">
      <c r="F8129" s="1"/>
    </row>
    <row r="8130" spans="6:12" x14ac:dyDescent="0.3">
      <c r="F8130" s="1"/>
    </row>
    <row r="8131" spans="6:12" x14ac:dyDescent="0.3">
      <c r="F8131" s="1"/>
    </row>
    <row r="8132" spans="6:12" x14ac:dyDescent="0.3">
      <c r="F8132" s="1"/>
    </row>
    <row r="8133" spans="6:12" x14ac:dyDescent="0.3">
      <c r="F8133" s="1"/>
    </row>
    <row r="8135" spans="6:12" x14ac:dyDescent="0.3">
      <c r="F8135" s="1"/>
    </row>
    <row r="8136" spans="6:12" x14ac:dyDescent="0.3">
      <c r="F8136" s="1"/>
      <c r="L8136" s="1"/>
    </row>
    <row r="8137" spans="6:12" x14ac:dyDescent="0.3">
      <c r="F8137" s="1"/>
    </row>
    <row r="8139" spans="6:12" x14ac:dyDescent="0.3">
      <c r="F8139" s="1"/>
    </row>
    <row r="8140" spans="6:12" x14ac:dyDescent="0.3">
      <c r="F8140" s="1"/>
    </row>
    <row r="8141" spans="6:12" x14ac:dyDescent="0.3">
      <c r="F8141" s="1"/>
    </row>
    <row r="8142" spans="6:12" x14ac:dyDescent="0.3">
      <c r="F8142" s="1"/>
    </row>
    <row r="8143" spans="6:12" x14ac:dyDescent="0.3">
      <c r="F8143" s="1"/>
    </row>
    <row r="8144" spans="6:12" x14ac:dyDescent="0.3">
      <c r="F8144" s="1"/>
    </row>
    <row r="8145" spans="6:15" x14ac:dyDescent="0.3">
      <c r="F8145" s="1"/>
    </row>
    <row r="8146" spans="6:15" x14ac:dyDescent="0.3">
      <c r="M8146" s="1"/>
      <c r="N8146" s="1"/>
      <c r="O8146" s="1"/>
    </row>
    <row r="8147" spans="6:15" x14ac:dyDescent="0.3">
      <c r="F8147" s="1"/>
    </row>
    <row r="8148" spans="6:15" x14ac:dyDescent="0.3">
      <c r="F8148" s="1"/>
    </row>
    <row r="8149" spans="6:15" x14ac:dyDescent="0.3">
      <c r="F8149" s="1"/>
    </row>
    <row r="8150" spans="6:15" x14ac:dyDescent="0.3">
      <c r="F8150" s="1"/>
    </row>
    <row r="8151" spans="6:15" x14ac:dyDescent="0.3">
      <c r="F8151" s="1"/>
    </row>
    <row r="8152" spans="6:15" x14ac:dyDescent="0.3">
      <c r="F8152" s="1"/>
    </row>
    <row r="8153" spans="6:15" x14ac:dyDescent="0.3">
      <c r="F8153" s="1"/>
    </row>
    <row r="8154" spans="6:15" x14ac:dyDescent="0.3">
      <c r="F8154" s="1"/>
    </row>
    <row r="8155" spans="6:15" x14ac:dyDescent="0.3">
      <c r="F8155" s="1"/>
    </row>
    <row r="8156" spans="6:15" x14ac:dyDescent="0.3">
      <c r="F8156" s="1"/>
    </row>
    <row r="8157" spans="6:15" x14ac:dyDescent="0.3">
      <c r="F8157" s="1"/>
    </row>
    <row r="8158" spans="6:15" x14ac:dyDescent="0.3">
      <c r="F8158" s="1"/>
    </row>
    <row r="8159" spans="6:15" x14ac:dyDescent="0.3">
      <c r="F8159" s="1"/>
      <c r="M8159" s="1"/>
      <c r="N8159" s="1"/>
    </row>
    <row r="8160" spans="6:15" x14ac:dyDescent="0.3">
      <c r="F8160" s="1"/>
    </row>
    <row r="8161" spans="6:14" x14ac:dyDescent="0.3">
      <c r="F8161" s="1"/>
    </row>
    <row r="8162" spans="6:14" x14ac:dyDescent="0.3">
      <c r="F8162" s="1"/>
    </row>
    <row r="8163" spans="6:14" x14ac:dyDescent="0.3">
      <c r="F8163" s="1"/>
    </row>
    <row r="8164" spans="6:14" x14ac:dyDescent="0.3">
      <c r="F8164" s="1"/>
    </row>
    <row r="8166" spans="6:14" x14ac:dyDescent="0.3">
      <c r="F8166" s="1"/>
    </row>
    <row r="8167" spans="6:14" x14ac:dyDescent="0.3">
      <c r="F8167" s="1"/>
    </row>
    <row r="8168" spans="6:14" x14ac:dyDescent="0.3">
      <c r="F8168" s="1"/>
    </row>
    <row r="8169" spans="6:14" x14ac:dyDescent="0.3">
      <c r="F8169" s="1"/>
    </row>
    <row r="8171" spans="6:14" x14ac:dyDescent="0.3">
      <c r="F8171" s="1"/>
      <c r="N8171" s="1"/>
    </row>
    <row r="8172" spans="6:14" x14ac:dyDescent="0.3">
      <c r="F8172" s="1"/>
    </row>
    <row r="8173" spans="6:14" x14ac:dyDescent="0.3">
      <c r="F8173" s="1"/>
    </row>
    <row r="8174" spans="6:14" x14ac:dyDescent="0.3">
      <c r="F8174" s="1"/>
    </row>
    <row r="8175" spans="6:14" x14ac:dyDescent="0.3">
      <c r="F8175" s="1"/>
    </row>
    <row r="8176" spans="6:14" x14ac:dyDescent="0.3">
      <c r="F8176" s="1"/>
    </row>
    <row r="8177" spans="6:14" x14ac:dyDescent="0.3">
      <c r="F8177" s="1"/>
    </row>
    <row r="8179" spans="6:14" x14ac:dyDescent="0.3">
      <c r="F8179" s="1"/>
    </row>
    <row r="8180" spans="6:14" x14ac:dyDescent="0.3">
      <c r="F8180" s="1"/>
    </row>
    <row r="8181" spans="6:14" x14ac:dyDescent="0.3">
      <c r="F8181" s="1"/>
    </row>
    <row r="8182" spans="6:14" x14ac:dyDescent="0.3">
      <c r="F8182" s="1"/>
    </row>
    <row r="8183" spans="6:14" x14ac:dyDescent="0.3">
      <c r="F8183" s="1"/>
    </row>
    <row r="8184" spans="6:14" x14ac:dyDescent="0.3">
      <c r="F8184" s="1"/>
    </row>
    <row r="8185" spans="6:14" x14ac:dyDescent="0.3">
      <c r="F8185" s="1"/>
      <c r="L8185" s="1"/>
      <c r="M8185" s="1"/>
    </row>
    <row r="8186" spans="6:14" x14ac:dyDescent="0.3">
      <c r="F8186" s="1"/>
    </row>
    <row r="8187" spans="6:14" x14ac:dyDescent="0.3">
      <c r="F8187" s="1"/>
    </row>
    <row r="8188" spans="6:14" x14ac:dyDescent="0.3">
      <c r="F8188" s="1"/>
    </row>
    <row r="8189" spans="6:14" x14ac:dyDescent="0.3">
      <c r="F8189" s="1"/>
    </row>
    <row r="8192" spans="6:14" x14ac:dyDescent="0.3">
      <c r="F8192" s="1"/>
      <c r="N8192" s="1"/>
    </row>
    <row r="8193" spans="6:15" x14ac:dyDescent="0.3">
      <c r="F8193" s="1"/>
    </row>
    <row r="8194" spans="6:15" x14ac:dyDescent="0.3">
      <c r="L8194" s="1"/>
      <c r="M8194" s="1"/>
      <c r="N8194" s="1"/>
    </row>
    <row r="8195" spans="6:15" x14ac:dyDescent="0.3">
      <c r="F8195" s="1"/>
    </row>
    <row r="8196" spans="6:15" x14ac:dyDescent="0.3">
      <c r="F8196" s="1"/>
    </row>
    <row r="8197" spans="6:15" x14ac:dyDescent="0.3">
      <c r="F8197" s="1"/>
    </row>
    <row r="8198" spans="6:15" x14ac:dyDescent="0.3">
      <c r="F8198" s="1"/>
    </row>
    <row r="8199" spans="6:15" x14ac:dyDescent="0.3">
      <c r="F8199" s="1"/>
    </row>
    <row r="8200" spans="6:15" x14ac:dyDescent="0.3">
      <c r="F8200" s="1"/>
    </row>
    <row r="8201" spans="6:15" x14ac:dyDescent="0.3">
      <c r="F8201" s="1"/>
    </row>
    <row r="8202" spans="6:15" x14ac:dyDescent="0.3">
      <c r="F8202" s="1"/>
    </row>
    <row r="8203" spans="6:15" x14ac:dyDescent="0.3">
      <c r="F8203" s="1"/>
    </row>
    <row r="8204" spans="6:15" x14ac:dyDescent="0.3">
      <c r="M8204" s="1"/>
      <c r="N8204" s="1"/>
      <c r="O8204" s="1"/>
    </row>
    <row r="8205" spans="6:15" x14ac:dyDescent="0.3">
      <c r="F8205" s="1"/>
    </row>
    <row r="8207" spans="6:15" x14ac:dyDescent="0.3">
      <c r="N8207" s="1"/>
    </row>
    <row r="8208" spans="6:15" x14ac:dyDescent="0.3">
      <c r="F8208" s="1"/>
    </row>
    <row r="8209" spans="6:15" x14ac:dyDescent="0.3">
      <c r="F8209" s="1"/>
    </row>
    <row r="8210" spans="6:15" x14ac:dyDescent="0.3">
      <c r="F8210" s="1"/>
    </row>
    <row r="8211" spans="6:15" x14ac:dyDescent="0.3">
      <c r="F8211" s="1"/>
    </row>
    <row r="8212" spans="6:15" x14ac:dyDescent="0.3">
      <c r="N8212" s="1"/>
    </row>
    <row r="8214" spans="6:15" x14ac:dyDescent="0.3">
      <c r="N8214" s="1"/>
      <c r="O8214" s="1"/>
    </row>
    <row r="8215" spans="6:15" x14ac:dyDescent="0.3">
      <c r="F8215" s="1"/>
    </row>
    <row r="8216" spans="6:15" x14ac:dyDescent="0.3">
      <c r="F8216" s="1"/>
    </row>
    <row r="8217" spans="6:15" x14ac:dyDescent="0.3">
      <c r="F8217" s="1"/>
      <c r="L8217" s="1"/>
      <c r="M8217" s="1"/>
      <c r="O8217" s="1"/>
    </row>
    <row r="8219" spans="6:15" x14ac:dyDescent="0.3">
      <c r="F8219" s="1"/>
      <c r="L8219" s="1"/>
      <c r="M8219" s="1"/>
      <c r="N8219" s="1"/>
    </row>
    <row r="8220" spans="6:15" x14ac:dyDescent="0.3">
      <c r="F8220" s="1"/>
      <c r="L8220" s="1"/>
      <c r="N8220" s="1"/>
    </row>
    <row r="8221" spans="6:15" x14ac:dyDescent="0.3">
      <c r="F8221" s="1"/>
    </row>
    <row r="8222" spans="6:15" x14ac:dyDescent="0.3">
      <c r="F8222" s="1"/>
    </row>
    <row r="8223" spans="6:15" x14ac:dyDescent="0.3">
      <c r="F8223" s="1"/>
      <c r="N8223" s="1"/>
    </row>
    <row r="8224" spans="6:15" x14ac:dyDescent="0.3">
      <c r="F8224" s="1"/>
    </row>
    <row r="8225" spans="6:13" x14ac:dyDescent="0.3">
      <c r="F8225" s="1"/>
    </row>
    <row r="8227" spans="6:13" x14ac:dyDescent="0.3">
      <c r="F8227" s="1"/>
    </row>
    <row r="8228" spans="6:13" x14ac:dyDescent="0.3">
      <c r="F8228" s="1"/>
    </row>
    <row r="8229" spans="6:13" x14ac:dyDescent="0.3">
      <c r="F8229" s="1"/>
    </row>
    <row r="8230" spans="6:13" x14ac:dyDescent="0.3">
      <c r="F8230" s="1"/>
    </row>
    <row r="8231" spans="6:13" x14ac:dyDescent="0.3">
      <c r="F8231" s="1"/>
    </row>
    <row r="8232" spans="6:13" x14ac:dyDescent="0.3">
      <c r="F8232" s="1"/>
      <c r="M8232" s="1"/>
    </row>
    <row r="8233" spans="6:13" x14ac:dyDescent="0.3">
      <c r="F8233" s="1"/>
    </row>
    <row r="8234" spans="6:13" x14ac:dyDescent="0.3">
      <c r="F8234" s="1"/>
    </row>
    <row r="8235" spans="6:13" x14ac:dyDescent="0.3">
      <c r="F8235" s="1"/>
    </row>
    <row r="8236" spans="6:13" x14ac:dyDescent="0.3">
      <c r="F8236" s="1"/>
      <c r="M8236" s="1"/>
    </row>
    <row r="8237" spans="6:13" x14ac:dyDescent="0.3">
      <c r="F8237" s="1"/>
    </row>
    <row r="8239" spans="6:13" x14ac:dyDescent="0.3">
      <c r="F8239" s="1"/>
    </row>
    <row r="8240" spans="6:13" x14ac:dyDescent="0.3">
      <c r="F8240" s="1"/>
    </row>
    <row r="8241" spans="6:15" x14ac:dyDescent="0.3">
      <c r="F8241" s="1"/>
    </row>
    <row r="8242" spans="6:15" x14ac:dyDescent="0.3">
      <c r="F8242" s="1"/>
    </row>
    <row r="8243" spans="6:15" x14ac:dyDescent="0.3">
      <c r="F8243" s="1"/>
    </row>
    <row r="8245" spans="6:15" x14ac:dyDescent="0.3">
      <c r="F8245" s="1"/>
    </row>
    <row r="8247" spans="6:15" x14ac:dyDescent="0.3">
      <c r="F8247" s="1"/>
      <c r="L8247" s="1"/>
      <c r="M8247" s="1"/>
      <c r="N8247" s="1"/>
      <c r="O8247" s="1"/>
    </row>
    <row r="8248" spans="6:15" x14ac:dyDescent="0.3">
      <c r="F8248" s="1"/>
    </row>
    <row r="8249" spans="6:15" x14ac:dyDescent="0.3">
      <c r="F8249" s="1"/>
    </row>
    <row r="8250" spans="6:15" x14ac:dyDescent="0.3">
      <c r="F8250" s="1"/>
    </row>
    <row r="8251" spans="6:15" x14ac:dyDescent="0.3">
      <c r="M8251" s="1"/>
    </row>
    <row r="8252" spans="6:15" x14ac:dyDescent="0.3">
      <c r="F8252" s="1"/>
    </row>
    <row r="8253" spans="6:15" x14ac:dyDescent="0.3">
      <c r="F8253" s="1"/>
    </row>
    <row r="8254" spans="6:15" x14ac:dyDescent="0.3">
      <c r="F8254" s="1"/>
    </row>
    <row r="8255" spans="6:15" x14ac:dyDescent="0.3">
      <c r="F8255" s="1"/>
    </row>
    <row r="8256" spans="6:15" x14ac:dyDescent="0.3">
      <c r="F8256" s="1"/>
    </row>
    <row r="8257" spans="6:15" x14ac:dyDescent="0.3">
      <c r="F8257" s="1"/>
    </row>
    <row r="8258" spans="6:15" x14ac:dyDescent="0.3">
      <c r="F8258" s="1"/>
    </row>
    <row r="8259" spans="6:15" x14ac:dyDescent="0.3">
      <c r="F8259" s="1"/>
    </row>
    <row r="8260" spans="6:15" x14ac:dyDescent="0.3">
      <c r="F8260" s="1"/>
    </row>
    <row r="8261" spans="6:15" x14ac:dyDescent="0.3">
      <c r="F8261" s="1"/>
    </row>
    <row r="8262" spans="6:15" x14ac:dyDescent="0.3">
      <c r="F8262" s="1"/>
    </row>
    <row r="8263" spans="6:15" x14ac:dyDescent="0.3">
      <c r="F8263" s="1"/>
    </row>
    <row r="8264" spans="6:15" x14ac:dyDescent="0.3">
      <c r="F8264" s="1"/>
    </row>
    <row r="8265" spans="6:15" x14ac:dyDescent="0.3">
      <c r="F8265" s="1"/>
    </row>
    <row r="8266" spans="6:15" x14ac:dyDescent="0.3">
      <c r="F8266" s="1"/>
    </row>
    <row r="8268" spans="6:15" x14ac:dyDescent="0.3">
      <c r="F8268" s="1"/>
    </row>
    <row r="8269" spans="6:15" x14ac:dyDescent="0.3">
      <c r="F8269" s="1"/>
      <c r="L8269" s="1"/>
      <c r="O8269" s="1"/>
    </row>
    <row r="8270" spans="6:15" x14ac:dyDescent="0.3">
      <c r="F8270" s="1"/>
    </row>
    <row r="8271" spans="6:15" x14ac:dyDescent="0.3">
      <c r="F8271" s="1"/>
    </row>
    <row r="8272" spans="6:15" x14ac:dyDescent="0.3">
      <c r="F8272" s="1"/>
    </row>
    <row r="8273" spans="6:15" x14ac:dyDescent="0.3">
      <c r="F8273" s="1"/>
    </row>
    <row r="8274" spans="6:15" x14ac:dyDescent="0.3">
      <c r="F8274" s="1"/>
    </row>
    <row r="8275" spans="6:15" x14ac:dyDescent="0.3">
      <c r="F8275" s="1"/>
    </row>
    <row r="8276" spans="6:15" x14ac:dyDescent="0.3">
      <c r="F8276" s="1"/>
    </row>
    <row r="8277" spans="6:15" x14ac:dyDescent="0.3">
      <c r="F8277" s="1"/>
    </row>
    <row r="8278" spans="6:15" x14ac:dyDescent="0.3">
      <c r="F8278" s="1"/>
    </row>
    <row r="8279" spans="6:15" x14ac:dyDescent="0.3">
      <c r="O8279" s="1"/>
    </row>
    <row r="8280" spans="6:15" x14ac:dyDescent="0.3">
      <c r="F8280" s="1"/>
    </row>
    <row r="8281" spans="6:15" x14ac:dyDescent="0.3">
      <c r="F8281" s="1"/>
    </row>
    <row r="8282" spans="6:15" x14ac:dyDescent="0.3">
      <c r="F8282" s="1"/>
    </row>
    <row r="8283" spans="6:15" x14ac:dyDescent="0.3">
      <c r="L8283" s="1"/>
      <c r="M8283" s="1"/>
      <c r="O8283" s="1"/>
    </row>
    <row r="8284" spans="6:15" x14ac:dyDescent="0.3">
      <c r="F8284" s="1"/>
    </row>
    <row r="8286" spans="6:15" x14ac:dyDescent="0.3">
      <c r="F8286" s="1"/>
    </row>
    <row r="8287" spans="6:15" x14ac:dyDescent="0.3">
      <c r="F8287" s="1"/>
    </row>
    <row r="8288" spans="6:15" x14ac:dyDescent="0.3">
      <c r="F8288" s="1"/>
    </row>
    <row r="8289" spans="6:15" x14ac:dyDescent="0.3">
      <c r="F8289" s="1"/>
    </row>
    <row r="8290" spans="6:15" x14ac:dyDescent="0.3">
      <c r="F8290" s="1"/>
    </row>
    <row r="8291" spans="6:15" x14ac:dyDescent="0.3">
      <c r="F8291" s="1"/>
    </row>
    <row r="8292" spans="6:15" x14ac:dyDescent="0.3">
      <c r="F8292" s="1"/>
    </row>
    <row r="8293" spans="6:15" x14ac:dyDescent="0.3">
      <c r="F8293" s="1"/>
    </row>
    <row r="8294" spans="6:15" x14ac:dyDescent="0.3">
      <c r="F8294" s="1"/>
    </row>
    <row r="8296" spans="6:15" x14ac:dyDescent="0.3">
      <c r="M8296" s="1"/>
    </row>
    <row r="8297" spans="6:15" x14ac:dyDescent="0.3">
      <c r="F8297" s="1"/>
    </row>
    <row r="8299" spans="6:15" x14ac:dyDescent="0.3">
      <c r="F8299" s="1"/>
    </row>
    <row r="8300" spans="6:15" x14ac:dyDescent="0.3">
      <c r="F8300" s="1"/>
    </row>
    <row r="8301" spans="6:15" x14ac:dyDescent="0.3">
      <c r="F8301" s="1"/>
      <c r="L8301" s="1"/>
      <c r="M8301" s="1"/>
      <c r="N8301" s="1"/>
      <c r="O8301" s="1"/>
    </row>
    <row r="8302" spans="6:15" x14ac:dyDescent="0.3">
      <c r="F8302" s="1"/>
    </row>
    <row r="8303" spans="6:15" x14ac:dyDescent="0.3">
      <c r="F8303" s="1"/>
      <c r="N8303" s="1"/>
    </row>
    <row r="8304" spans="6:15" x14ac:dyDescent="0.3">
      <c r="F8304" s="1"/>
    </row>
    <row r="8305" spans="6:15" x14ac:dyDescent="0.3">
      <c r="L8305" s="1"/>
      <c r="M8305" s="1"/>
    </row>
    <row r="8306" spans="6:15" x14ac:dyDescent="0.3">
      <c r="F8306" s="1"/>
    </row>
    <row r="8307" spans="6:15" x14ac:dyDescent="0.3">
      <c r="F8307" s="1"/>
    </row>
    <row r="8308" spans="6:15" x14ac:dyDescent="0.3">
      <c r="F8308" s="1"/>
    </row>
    <row r="8309" spans="6:15" x14ac:dyDescent="0.3">
      <c r="F8309" s="1"/>
    </row>
    <row r="8310" spans="6:15" x14ac:dyDescent="0.3">
      <c r="F8310" s="1"/>
      <c r="M8310" s="1"/>
    </row>
    <row r="8311" spans="6:15" x14ac:dyDescent="0.3">
      <c r="F8311" s="1"/>
    </row>
    <row r="8312" spans="6:15" x14ac:dyDescent="0.3">
      <c r="F8312" s="1"/>
    </row>
    <row r="8313" spans="6:15" x14ac:dyDescent="0.3">
      <c r="F8313" s="1"/>
    </row>
    <row r="8314" spans="6:15" x14ac:dyDescent="0.3">
      <c r="F8314" s="1"/>
    </row>
    <row r="8315" spans="6:15" x14ac:dyDescent="0.3">
      <c r="F8315" s="1"/>
    </row>
    <row r="8316" spans="6:15" x14ac:dyDescent="0.3">
      <c r="F8316" s="1"/>
    </row>
    <row r="8317" spans="6:15" x14ac:dyDescent="0.3">
      <c r="F8317" s="1"/>
    </row>
    <row r="8318" spans="6:15" x14ac:dyDescent="0.3">
      <c r="F8318" s="1"/>
      <c r="L8318" s="1"/>
      <c r="N8318" s="1"/>
      <c r="O8318" s="1"/>
    </row>
    <row r="8320" spans="6:15" x14ac:dyDescent="0.3">
      <c r="F8320" s="1"/>
    </row>
    <row r="8321" spans="6:14" x14ac:dyDescent="0.3">
      <c r="F8321" s="1"/>
    </row>
    <row r="8322" spans="6:14" x14ac:dyDescent="0.3">
      <c r="F8322" s="1"/>
    </row>
    <row r="8323" spans="6:14" x14ac:dyDescent="0.3">
      <c r="F8323" s="1"/>
    </row>
    <row r="8325" spans="6:14" x14ac:dyDescent="0.3">
      <c r="F8325" s="1"/>
    </row>
    <row r="8326" spans="6:14" x14ac:dyDescent="0.3">
      <c r="F8326" s="1"/>
    </row>
    <row r="8327" spans="6:14" x14ac:dyDescent="0.3">
      <c r="F8327" s="1"/>
    </row>
    <row r="8328" spans="6:14" x14ac:dyDescent="0.3">
      <c r="F8328" s="1"/>
    </row>
    <row r="8330" spans="6:14" x14ac:dyDescent="0.3">
      <c r="N8330" s="1"/>
    </row>
    <row r="8331" spans="6:14" x14ac:dyDescent="0.3">
      <c r="F8331" s="1"/>
    </row>
    <row r="8332" spans="6:14" x14ac:dyDescent="0.3">
      <c r="F8332" s="1"/>
      <c r="M8332" s="1"/>
    </row>
    <row r="8333" spans="6:14" x14ac:dyDescent="0.3">
      <c r="F8333" s="1"/>
    </row>
    <row r="8334" spans="6:14" x14ac:dyDescent="0.3">
      <c r="F8334" s="1"/>
    </row>
    <row r="8335" spans="6:14" x14ac:dyDescent="0.3">
      <c r="F8335" s="1"/>
    </row>
    <row r="8336" spans="6:14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15" x14ac:dyDescent="0.3">
      <c r="L8353" s="1"/>
      <c r="N8353" s="1"/>
    </row>
    <row r="8355" spans="6:15" x14ac:dyDescent="0.3">
      <c r="F8355" s="1"/>
    </row>
    <row r="8357" spans="6:15" x14ac:dyDescent="0.3">
      <c r="F8357" s="1"/>
    </row>
    <row r="8358" spans="6:15" x14ac:dyDescent="0.3">
      <c r="L8358" s="1"/>
      <c r="M8358" s="1"/>
      <c r="N8358" s="1"/>
      <c r="O8358" s="1"/>
    </row>
    <row r="8359" spans="6:15" x14ac:dyDescent="0.3">
      <c r="F8359" s="1"/>
    </row>
    <row r="8360" spans="6:15" x14ac:dyDescent="0.3">
      <c r="L8360" s="1"/>
      <c r="N8360" s="1"/>
      <c r="O8360" s="1"/>
    </row>
    <row r="8361" spans="6:15" x14ac:dyDescent="0.3">
      <c r="F8361" s="1"/>
    </row>
    <row r="8362" spans="6:15" x14ac:dyDescent="0.3">
      <c r="F8362" s="1"/>
    </row>
    <row r="8364" spans="6:15" x14ac:dyDescent="0.3">
      <c r="F8364" s="1"/>
    </row>
    <row r="8365" spans="6:15" x14ac:dyDescent="0.3">
      <c r="F8365" s="1"/>
    </row>
    <row r="8366" spans="6:15" x14ac:dyDescent="0.3">
      <c r="L8366" s="1"/>
      <c r="N8366" s="1"/>
      <c r="O8366" s="1"/>
    </row>
    <row r="8367" spans="6:15" x14ac:dyDescent="0.3">
      <c r="F8367" s="1"/>
    </row>
    <row r="8368" spans="6:15" x14ac:dyDescent="0.3">
      <c r="F8368" s="1"/>
    </row>
    <row r="8369" spans="6:15" x14ac:dyDescent="0.3">
      <c r="F8369" s="1"/>
    </row>
    <row r="8370" spans="6:15" x14ac:dyDescent="0.3">
      <c r="F8370" s="1"/>
      <c r="N8370" s="1"/>
    </row>
    <row r="8371" spans="6:15" x14ac:dyDescent="0.3">
      <c r="F8371" s="1"/>
    </row>
    <row r="8372" spans="6:15" x14ac:dyDescent="0.3">
      <c r="F8372" s="1"/>
      <c r="L8372" s="1"/>
      <c r="M8372" s="1"/>
      <c r="N8372" s="1"/>
    </row>
    <row r="8373" spans="6:15" x14ac:dyDescent="0.3">
      <c r="F8373" s="1"/>
    </row>
    <row r="8374" spans="6:15" x14ac:dyDescent="0.3">
      <c r="F8374" s="1"/>
    </row>
    <row r="8375" spans="6:15" x14ac:dyDescent="0.3">
      <c r="F8375" s="1"/>
    </row>
    <row r="8376" spans="6:15" x14ac:dyDescent="0.3">
      <c r="F8376" s="1"/>
      <c r="M8376" s="1"/>
    </row>
    <row r="8377" spans="6:15" x14ac:dyDescent="0.3">
      <c r="F8377" s="1"/>
    </row>
    <row r="8378" spans="6:15" x14ac:dyDescent="0.3">
      <c r="F8378" s="1"/>
    </row>
    <row r="8379" spans="6:15" x14ac:dyDescent="0.3">
      <c r="F8379" s="1"/>
    </row>
    <row r="8380" spans="6:15" x14ac:dyDescent="0.3">
      <c r="F8380" s="1"/>
      <c r="L8380" s="1"/>
      <c r="N8380" s="1"/>
      <c r="O8380" s="1"/>
    </row>
    <row r="8382" spans="6:15" x14ac:dyDescent="0.3">
      <c r="F8382" s="1"/>
    </row>
    <row r="8383" spans="6:15" x14ac:dyDescent="0.3">
      <c r="F8383" s="1"/>
    </row>
    <row r="8384" spans="6:15" x14ac:dyDescent="0.3">
      <c r="F8384" s="1"/>
    </row>
    <row r="8385" spans="6:13" x14ac:dyDescent="0.3">
      <c r="F8385" s="1"/>
    </row>
    <row r="8386" spans="6:13" x14ac:dyDescent="0.3">
      <c r="F8386" s="1"/>
    </row>
    <row r="8387" spans="6:13" x14ac:dyDescent="0.3">
      <c r="F8387" s="1"/>
    </row>
    <row r="8388" spans="6:13" x14ac:dyDescent="0.3">
      <c r="F8388" s="1"/>
    </row>
    <row r="8389" spans="6:13" x14ac:dyDescent="0.3">
      <c r="F8389" s="1"/>
      <c r="L8389" s="1"/>
    </row>
    <row r="8390" spans="6:13" x14ac:dyDescent="0.3">
      <c r="F8390" s="1"/>
    </row>
    <row r="8391" spans="6:13" x14ac:dyDescent="0.3">
      <c r="F8391" s="1"/>
    </row>
    <row r="8392" spans="6:13" x14ac:dyDescent="0.3">
      <c r="F8392" s="1"/>
    </row>
    <row r="8393" spans="6:13" x14ac:dyDescent="0.3">
      <c r="F8393" s="1"/>
    </row>
    <row r="8394" spans="6:13" x14ac:dyDescent="0.3">
      <c r="F8394" s="1"/>
    </row>
    <row r="8395" spans="6:13" x14ac:dyDescent="0.3">
      <c r="F8395" s="1"/>
    </row>
    <row r="8396" spans="6:13" x14ac:dyDescent="0.3">
      <c r="F8396" s="1"/>
      <c r="M8396" s="1"/>
    </row>
    <row r="8397" spans="6:13" x14ac:dyDescent="0.3">
      <c r="F8397" s="1"/>
    </row>
    <row r="8398" spans="6:13" x14ac:dyDescent="0.3">
      <c r="F8398" s="1"/>
    </row>
    <row r="8399" spans="6:13" x14ac:dyDescent="0.3">
      <c r="F8399" s="1"/>
    </row>
    <row r="8400" spans="6:13" x14ac:dyDescent="0.3">
      <c r="F8400" s="1"/>
    </row>
    <row r="8401" spans="6:13" x14ac:dyDescent="0.3">
      <c r="F8401" s="1"/>
    </row>
    <row r="8403" spans="6:13" x14ac:dyDescent="0.3">
      <c r="F8403" s="1"/>
      <c r="M8403" s="1"/>
    </row>
    <row r="8404" spans="6:13" x14ac:dyDescent="0.3">
      <c r="F8404" s="1"/>
    </row>
    <row r="8405" spans="6:13" x14ac:dyDescent="0.3">
      <c r="F8405" s="1"/>
    </row>
    <row r="8406" spans="6:13" x14ac:dyDescent="0.3">
      <c r="F8406" s="1"/>
    </row>
    <row r="8407" spans="6:13" x14ac:dyDescent="0.3">
      <c r="F8407" s="1"/>
    </row>
    <row r="8408" spans="6:13" x14ac:dyDescent="0.3">
      <c r="F8408" s="1"/>
      <c r="M8408" s="1"/>
    </row>
    <row r="8409" spans="6:13" x14ac:dyDescent="0.3">
      <c r="F8409" s="1"/>
    </row>
    <row r="8410" spans="6:13" x14ac:dyDescent="0.3">
      <c r="F8410" s="1"/>
    </row>
    <row r="8411" spans="6:13" x14ac:dyDescent="0.3">
      <c r="F8411" s="1"/>
    </row>
    <row r="8412" spans="6:13" x14ac:dyDescent="0.3">
      <c r="F8412" s="1"/>
    </row>
    <row r="8413" spans="6:13" x14ac:dyDescent="0.3">
      <c r="F8413" s="1"/>
    </row>
    <row r="8414" spans="6:13" x14ac:dyDescent="0.3">
      <c r="F8414" s="1"/>
    </row>
    <row r="8415" spans="6:13" x14ac:dyDescent="0.3">
      <c r="F8415" s="1"/>
    </row>
    <row r="8416" spans="6:13" x14ac:dyDescent="0.3">
      <c r="F8416" s="1"/>
    </row>
    <row r="8417" spans="6:14" x14ac:dyDescent="0.3">
      <c r="F8417" s="1"/>
    </row>
    <row r="8418" spans="6:14" x14ac:dyDescent="0.3">
      <c r="N8418" s="1"/>
    </row>
    <row r="8419" spans="6:14" x14ac:dyDescent="0.3">
      <c r="F8419" s="1"/>
    </row>
    <row r="8420" spans="6:14" x14ac:dyDescent="0.3">
      <c r="F8420" s="1"/>
    </row>
    <row r="8422" spans="6:14" x14ac:dyDescent="0.3">
      <c r="F8422" s="1"/>
    </row>
    <row r="8423" spans="6:14" x14ac:dyDescent="0.3">
      <c r="F8423" s="1"/>
    </row>
    <row r="8424" spans="6:14" x14ac:dyDescent="0.3">
      <c r="F8424" s="1"/>
    </row>
    <row r="8425" spans="6:14" x14ac:dyDescent="0.3">
      <c r="F8425" s="1"/>
    </row>
    <row r="8426" spans="6:14" x14ac:dyDescent="0.3">
      <c r="F8426" s="1"/>
    </row>
    <row r="8427" spans="6:14" x14ac:dyDescent="0.3">
      <c r="M8427" s="1"/>
      <c r="N8427" s="1"/>
    </row>
    <row r="8428" spans="6:14" x14ac:dyDescent="0.3">
      <c r="F8428" s="1"/>
    </row>
    <row r="8429" spans="6:14" x14ac:dyDescent="0.3">
      <c r="F8429" s="1"/>
    </row>
    <row r="8430" spans="6:14" x14ac:dyDescent="0.3">
      <c r="F8430" s="1"/>
    </row>
    <row r="8431" spans="6:14" x14ac:dyDescent="0.3">
      <c r="F8431" s="1"/>
    </row>
    <row r="8432" spans="6:14" x14ac:dyDescent="0.3">
      <c r="F8432" s="1"/>
    </row>
    <row r="8433" spans="6:15" x14ac:dyDescent="0.3">
      <c r="F8433" s="1"/>
    </row>
    <row r="8434" spans="6:15" x14ac:dyDescent="0.3">
      <c r="F8434" s="1"/>
    </row>
    <row r="8435" spans="6:15" x14ac:dyDescent="0.3">
      <c r="F8435" s="1"/>
    </row>
    <row r="8436" spans="6:15" x14ac:dyDescent="0.3">
      <c r="F8436" s="1"/>
    </row>
    <row r="8437" spans="6:15" x14ac:dyDescent="0.3">
      <c r="F8437" s="1"/>
    </row>
    <row r="8439" spans="6:15" x14ac:dyDescent="0.3">
      <c r="F8439" s="1"/>
    </row>
    <row r="8440" spans="6:15" x14ac:dyDescent="0.3">
      <c r="F8440" s="1"/>
    </row>
    <row r="8441" spans="6:15" x14ac:dyDescent="0.3">
      <c r="F8441" s="1"/>
    </row>
    <row r="8442" spans="6:15" x14ac:dyDescent="0.3">
      <c r="N8442" s="1"/>
      <c r="O8442" s="1"/>
    </row>
    <row r="8443" spans="6:15" x14ac:dyDescent="0.3">
      <c r="F8443" s="1"/>
    </row>
    <row r="8445" spans="6:15" x14ac:dyDescent="0.3">
      <c r="F8445" s="1"/>
    </row>
    <row r="8446" spans="6:15" x14ac:dyDescent="0.3">
      <c r="F8446" s="1"/>
    </row>
    <row r="8447" spans="6:15" x14ac:dyDescent="0.3">
      <c r="F8447" s="1"/>
    </row>
    <row r="8448" spans="6:15" x14ac:dyDescent="0.3">
      <c r="F8448" s="1"/>
    </row>
    <row r="8449" spans="6:14" x14ac:dyDescent="0.3">
      <c r="F8449" s="1"/>
    </row>
    <row r="8450" spans="6:14" x14ac:dyDescent="0.3">
      <c r="F8450" s="1"/>
    </row>
    <row r="8451" spans="6:14" x14ac:dyDescent="0.3">
      <c r="F8451" s="1"/>
    </row>
    <row r="8452" spans="6:14" x14ac:dyDescent="0.3">
      <c r="F8452" s="1"/>
    </row>
    <row r="8453" spans="6:14" x14ac:dyDescent="0.3">
      <c r="F8453" s="1"/>
    </row>
    <row r="8454" spans="6:14" x14ac:dyDescent="0.3">
      <c r="F8454" s="1"/>
    </row>
    <row r="8455" spans="6:14" x14ac:dyDescent="0.3">
      <c r="F8455" s="1"/>
    </row>
    <row r="8456" spans="6:14" x14ac:dyDescent="0.3">
      <c r="L8456" s="1"/>
      <c r="N8456" s="1"/>
    </row>
    <row r="8457" spans="6:14" x14ac:dyDescent="0.3">
      <c r="F8457" s="1"/>
    </row>
    <row r="8458" spans="6:14" x14ac:dyDescent="0.3">
      <c r="F8458" s="1"/>
    </row>
    <row r="8459" spans="6:14" x14ac:dyDescent="0.3">
      <c r="F8459" s="1"/>
    </row>
    <row r="8460" spans="6:14" x14ac:dyDescent="0.3">
      <c r="F8460" s="1"/>
    </row>
    <row r="8462" spans="6:14" x14ac:dyDescent="0.3">
      <c r="F8462" s="1"/>
    </row>
    <row r="8463" spans="6:14" x14ac:dyDescent="0.3">
      <c r="F8463" s="1"/>
    </row>
    <row r="8464" spans="6:14" x14ac:dyDescent="0.3">
      <c r="F8464" s="1"/>
    </row>
    <row r="8465" spans="6:15" x14ac:dyDescent="0.3">
      <c r="F8465" s="1"/>
    </row>
    <row r="8466" spans="6:15" x14ac:dyDescent="0.3">
      <c r="F8466" s="1"/>
    </row>
    <row r="8467" spans="6:15" x14ac:dyDescent="0.3">
      <c r="F8467" s="1"/>
      <c r="M8467" s="1"/>
      <c r="N8467" s="1"/>
    </row>
    <row r="8468" spans="6:15" x14ac:dyDescent="0.3">
      <c r="M8468" s="1"/>
    </row>
    <row r="8470" spans="6:15" x14ac:dyDescent="0.3">
      <c r="F8470" s="1"/>
    </row>
    <row r="8471" spans="6:15" x14ac:dyDescent="0.3">
      <c r="F8471" s="1"/>
    </row>
    <row r="8472" spans="6:15" x14ac:dyDescent="0.3">
      <c r="F8472" s="1"/>
    </row>
    <row r="8473" spans="6:15" x14ac:dyDescent="0.3">
      <c r="F8473" s="1"/>
    </row>
    <row r="8474" spans="6:15" x14ac:dyDescent="0.3">
      <c r="F8474" s="1"/>
    </row>
    <row r="8475" spans="6:15" x14ac:dyDescent="0.3">
      <c r="F8475" s="1"/>
    </row>
    <row r="8476" spans="6:15" x14ac:dyDescent="0.3">
      <c r="F8476" s="1"/>
    </row>
    <row r="8477" spans="6:15" x14ac:dyDescent="0.3">
      <c r="F8477" s="1"/>
    </row>
    <row r="8478" spans="6:15" x14ac:dyDescent="0.3">
      <c r="F8478" s="1"/>
      <c r="M8478" s="1"/>
      <c r="O8478" s="1"/>
    </row>
    <row r="8479" spans="6:15" x14ac:dyDescent="0.3">
      <c r="F8479" s="1"/>
    </row>
    <row r="8480" spans="6:15" x14ac:dyDescent="0.3">
      <c r="F8480" s="1"/>
    </row>
    <row r="8481" spans="6:15" x14ac:dyDescent="0.3">
      <c r="F8481" s="1"/>
    </row>
    <row r="8482" spans="6:15" x14ac:dyDescent="0.3">
      <c r="F8482" s="1"/>
    </row>
    <row r="8483" spans="6:15" x14ac:dyDescent="0.3">
      <c r="F8483" s="1"/>
    </row>
    <row r="8484" spans="6:15" x14ac:dyDescent="0.3">
      <c r="F8484" s="1"/>
      <c r="L8484" s="1"/>
      <c r="O8484" s="1"/>
    </row>
    <row r="8485" spans="6:15" x14ac:dyDescent="0.3">
      <c r="F8485" s="1"/>
    </row>
    <row r="8486" spans="6:15" x14ac:dyDescent="0.3">
      <c r="F8486" s="1"/>
    </row>
    <row r="8487" spans="6:15" x14ac:dyDescent="0.3">
      <c r="L8487" s="1"/>
      <c r="M8487" s="1"/>
      <c r="N8487" s="1"/>
      <c r="O8487" s="1"/>
    </row>
    <row r="8488" spans="6:15" x14ac:dyDescent="0.3">
      <c r="F8488" s="1"/>
    </row>
    <row r="8490" spans="6:15" x14ac:dyDescent="0.3">
      <c r="F8490" s="1"/>
    </row>
    <row r="8491" spans="6:15" x14ac:dyDescent="0.3">
      <c r="F8491" s="1"/>
    </row>
    <row r="8492" spans="6:15" x14ac:dyDescent="0.3">
      <c r="F8492" s="1"/>
      <c r="N8492" s="1"/>
    </row>
    <row r="8493" spans="6:15" x14ac:dyDescent="0.3">
      <c r="F8493" s="1"/>
    </row>
    <row r="8494" spans="6:15" x14ac:dyDescent="0.3">
      <c r="F8494" s="1"/>
    </row>
    <row r="8495" spans="6:15" x14ac:dyDescent="0.3">
      <c r="F8495" s="1"/>
    </row>
    <row r="8496" spans="6:15" x14ac:dyDescent="0.3">
      <c r="F8496" s="1"/>
    </row>
    <row r="8497" spans="6:15" x14ac:dyDescent="0.3">
      <c r="F8497" s="1"/>
    </row>
    <row r="8498" spans="6:15" x14ac:dyDescent="0.3">
      <c r="F8498" s="1"/>
    </row>
    <row r="8499" spans="6:15" x14ac:dyDescent="0.3">
      <c r="F8499" s="1"/>
    </row>
    <row r="8500" spans="6:15" x14ac:dyDescent="0.3">
      <c r="F8500" s="1"/>
    </row>
    <row r="8502" spans="6:15" x14ac:dyDescent="0.3">
      <c r="F8502" s="1"/>
    </row>
    <row r="8504" spans="6:15" x14ac:dyDescent="0.3">
      <c r="F8504" s="1"/>
      <c r="M8504" s="1"/>
      <c r="O8504" s="1"/>
    </row>
    <row r="8505" spans="6:15" x14ac:dyDescent="0.3">
      <c r="F8505" s="1"/>
    </row>
    <row r="8506" spans="6:15" x14ac:dyDescent="0.3">
      <c r="F8506" s="1"/>
      <c r="N8506" s="1"/>
      <c r="O8506" s="1"/>
    </row>
    <row r="8507" spans="6:15" x14ac:dyDescent="0.3">
      <c r="F8507" s="1"/>
    </row>
    <row r="8509" spans="6:15" x14ac:dyDescent="0.3">
      <c r="F8509" s="1"/>
    </row>
    <row r="8510" spans="6:15" x14ac:dyDescent="0.3">
      <c r="F8510" s="1"/>
      <c r="M8510" s="1"/>
      <c r="N8510" s="1"/>
      <c r="O8510" s="1"/>
    </row>
    <row r="8512" spans="6:15" x14ac:dyDescent="0.3">
      <c r="F8512" s="1"/>
    </row>
    <row r="8513" spans="6:14" x14ac:dyDescent="0.3">
      <c r="F8513" s="1"/>
    </row>
    <row r="8514" spans="6:14" x14ac:dyDescent="0.3">
      <c r="F8514" s="1"/>
    </row>
    <row r="8515" spans="6:14" x14ac:dyDescent="0.3">
      <c r="F8515" s="1"/>
      <c r="M8515" s="1"/>
      <c r="N8515" s="1"/>
    </row>
    <row r="8516" spans="6:14" x14ac:dyDescent="0.3">
      <c r="F8516" s="1"/>
    </row>
    <row r="8517" spans="6:14" x14ac:dyDescent="0.3">
      <c r="F8517" s="1"/>
    </row>
    <row r="8518" spans="6:14" x14ac:dyDescent="0.3">
      <c r="F8518" s="1"/>
      <c r="M8518" s="1"/>
    </row>
    <row r="8519" spans="6:14" x14ac:dyDescent="0.3">
      <c r="M8519" s="1"/>
    </row>
    <row r="8520" spans="6:14" x14ac:dyDescent="0.3">
      <c r="F8520" s="1"/>
    </row>
    <row r="8521" spans="6:14" x14ac:dyDescent="0.3">
      <c r="F8521" s="1"/>
    </row>
    <row r="8522" spans="6:14" x14ac:dyDescent="0.3">
      <c r="F8522" s="1"/>
    </row>
    <row r="8523" spans="6:14" x14ac:dyDescent="0.3">
      <c r="F8523" s="1"/>
    </row>
    <row r="8524" spans="6:14" x14ac:dyDescent="0.3">
      <c r="F8524" s="1"/>
    </row>
    <row r="8525" spans="6:14" x14ac:dyDescent="0.3">
      <c r="F8525" s="1"/>
    </row>
    <row r="8526" spans="6:14" x14ac:dyDescent="0.3">
      <c r="F8526" s="1"/>
    </row>
    <row r="8527" spans="6:14" x14ac:dyDescent="0.3">
      <c r="F8527" s="1"/>
    </row>
    <row r="8528" spans="6:14" x14ac:dyDescent="0.3">
      <c r="L8528" s="1"/>
    </row>
    <row r="8530" spans="6:15" x14ac:dyDescent="0.3">
      <c r="F8530" s="1"/>
    </row>
    <row r="8531" spans="6:15" x14ac:dyDescent="0.3">
      <c r="F8531" s="1"/>
    </row>
    <row r="8532" spans="6:15" x14ac:dyDescent="0.3">
      <c r="F8532" s="1"/>
    </row>
    <row r="8533" spans="6:15" x14ac:dyDescent="0.3">
      <c r="L8533" s="1"/>
    </row>
    <row r="8534" spans="6:15" x14ac:dyDescent="0.3">
      <c r="F8534" s="1"/>
    </row>
    <row r="8535" spans="6:15" x14ac:dyDescent="0.3">
      <c r="F8535" s="1"/>
      <c r="L8535" s="1"/>
      <c r="M8535" s="1"/>
      <c r="O8535" s="1"/>
    </row>
    <row r="8536" spans="6:15" x14ac:dyDescent="0.3">
      <c r="F8536" s="1"/>
    </row>
    <row r="8537" spans="6:15" x14ac:dyDescent="0.3">
      <c r="F8537" s="1"/>
    </row>
    <row r="8538" spans="6:15" x14ac:dyDescent="0.3">
      <c r="F8538" s="1"/>
    </row>
    <row r="8539" spans="6:15" x14ac:dyDescent="0.3">
      <c r="F8539" s="1"/>
    </row>
    <row r="8540" spans="6:15" x14ac:dyDescent="0.3">
      <c r="F8540" s="1"/>
    </row>
    <row r="8541" spans="6:15" x14ac:dyDescent="0.3">
      <c r="F8541" s="1"/>
    </row>
    <row r="8542" spans="6:15" x14ac:dyDescent="0.3">
      <c r="F8542" s="1"/>
    </row>
    <row r="8543" spans="6:15" x14ac:dyDescent="0.3">
      <c r="F8543" s="1"/>
    </row>
    <row r="8544" spans="6:15" x14ac:dyDescent="0.3">
      <c r="F8544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13" x14ac:dyDescent="0.3">
      <c r="F8561" s="1"/>
    </row>
    <row r="8562" spans="6:13" x14ac:dyDescent="0.3">
      <c r="F8562" s="1"/>
    </row>
    <row r="8563" spans="6:13" x14ac:dyDescent="0.3">
      <c r="F8563" s="1"/>
    </row>
    <row r="8564" spans="6:13" x14ac:dyDescent="0.3">
      <c r="F8564" s="1"/>
    </row>
    <row r="8565" spans="6:13" x14ac:dyDescent="0.3">
      <c r="F8565" s="1"/>
    </row>
    <row r="8566" spans="6:13" x14ac:dyDescent="0.3">
      <c r="F8566" s="1"/>
      <c r="M8566" s="1"/>
    </row>
    <row r="8567" spans="6:13" x14ac:dyDescent="0.3">
      <c r="F8567" s="1"/>
    </row>
    <row r="8568" spans="6:13" x14ac:dyDescent="0.3">
      <c r="F8568" s="1"/>
    </row>
    <row r="8569" spans="6:13" x14ac:dyDescent="0.3">
      <c r="F8569" s="1"/>
    </row>
    <row r="8570" spans="6:13" x14ac:dyDescent="0.3">
      <c r="F8570" s="1"/>
    </row>
    <row r="8571" spans="6:13" x14ac:dyDescent="0.3">
      <c r="F8571" s="1"/>
    </row>
    <row r="8572" spans="6:13" x14ac:dyDescent="0.3">
      <c r="F8572" s="1"/>
    </row>
    <row r="8574" spans="6:13" x14ac:dyDescent="0.3">
      <c r="F8574" s="1"/>
    </row>
    <row r="8575" spans="6:13" x14ac:dyDescent="0.3">
      <c r="F8575" s="1"/>
    </row>
    <row r="8576" spans="6:13" x14ac:dyDescent="0.3">
      <c r="F8576" s="1"/>
    </row>
    <row r="8577" spans="6:6" x14ac:dyDescent="0.3">
      <c r="F8577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13" x14ac:dyDescent="0.3">
      <c r="F8593" s="1"/>
    </row>
    <row r="8594" spans="6:13" x14ac:dyDescent="0.3">
      <c r="F8594" s="1"/>
    </row>
    <row r="8595" spans="6:13" x14ac:dyDescent="0.3">
      <c r="F8595" s="1"/>
    </row>
    <row r="8596" spans="6:13" x14ac:dyDescent="0.3">
      <c r="F8596" s="1"/>
    </row>
    <row r="8598" spans="6:13" x14ac:dyDescent="0.3">
      <c r="F8598" s="1"/>
    </row>
    <row r="8599" spans="6:13" x14ac:dyDescent="0.3">
      <c r="F8599" s="1"/>
    </row>
    <row r="8600" spans="6:13" x14ac:dyDescent="0.3">
      <c r="F8600" s="1"/>
      <c r="M8600" s="1"/>
    </row>
    <row r="8602" spans="6:13" x14ac:dyDescent="0.3">
      <c r="F8602" s="1"/>
    </row>
    <row r="8603" spans="6:13" x14ac:dyDescent="0.3">
      <c r="F8603" s="1"/>
    </row>
    <row r="8604" spans="6:13" x14ac:dyDescent="0.3">
      <c r="F8604" s="1"/>
    </row>
    <row r="8605" spans="6:13" x14ac:dyDescent="0.3">
      <c r="F8605" s="1"/>
    </row>
    <row r="8606" spans="6:13" x14ac:dyDescent="0.3">
      <c r="F8606" s="1"/>
    </row>
    <row r="8607" spans="6:13" x14ac:dyDescent="0.3">
      <c r="F8607" s="1"/>
    </row>
    <row r="8608" spans="6:13" x14ac:dyDescent="0.3">
      <c r="F8608" s="1"/>
    </row>
    <row r="8609" spans="6:14" x14ac:dyDescent="0.3">
      <c r="M8609" s="1"/>
    </row>
    <row r="8610" spans="6:14" x14ac:dyDescent="0.3">
      <c r="F8610" s="1"/>
    </row>
    <row r="8611" spans="6:14" x14ac:dyDescent="0.3">
      <c r="F8611" s="1"/>
    </row>
    <row r="8612" spans="6:14" x14ac:dyDescent="0.3">
      <c r="F8612" s="1"/>
    </row>
    <row r="8613" spans="6:14" x14ac:dyDescent="0.3">
      <c r="F8613" s="1"/>
    </row>
    <row r="8614" spans="6:14" x14ac:dyDescent="0.3">
      <c r="F8614" s="1"/>
    </row>
    <row r="8615" spans="6:14" x14ac:dyDescent="0.3">
      <c r="L8615" s="1"/>
    </row>
    <row r="8616" spans="6:14" x14ac:dyDescent="0.3">
      <c r="F8616" s="1"/>
    </row>
    <row r="8617" spans="6:14" x14ac:dyDescent="0.3">
      <c r="F8617" s="1"/>
    </row>
    <row r="8618" spans="6:14" x14ac:dyDescent="0.3">
      <c r="F8618" s="1"/>
    </row>
    <row r="8619" spans="6:14" x14ac:dyDescent="0.3">
      <c r="F8619" s="1"/>
    </row>
    <row r="8620" spans="6:14" x14ac:dyDescent="0.3">
      <c r="L8620" s="1"/>
      <c r="M8620" s="1"/>
      <c r="N8620" s="1"/>
    </row>
    <row r="8621" spans="6:14" x14ac:dyDescent="0.3">
      <c r="F8621" s="1"/>
    </row>
    <row r="8622" spans="6:14" x14ac:dyDescent="0.3">
      <c r="F8622" s="1"/>
    </row>
    <row r="8623" spans="6:14" x14ac:dyDescent="0.3">
      <c r="F8623" s="1"/>
    </row>
    <row r="8624" spans="6:14" x14ac:dyDescent="0.3">
      <c r="F8624" s="1"/>
    </row>
    <row r="8626" spans="6:14" x14ac:dyDescent="0.3">
      <c r="N8626" s="1"/>
    </row>
    <row r="8627" spans="6:14" x14ac:dyDescent="0.3">
      <c r="F8627" s="1"/>
    </row>
    <row r="8628" spans="6:14" x14ac:dyDescent="0.3">
      <c r="F8628" s="1"/>
      <c r="L8628" s="1"/>
      <c r="M8628" s="1"/>
      <c r="N8628" s="1"/>
    </row>
    <row r="8629" spans="6:14" x14ac:dyDescent="0.3">
      <c r="F8629" s="1"/>
    </row>
    <row r="8630" spans="6:14" x14ac:dyDescent="0.3">
      <c r="F8630" s="1"/>
    </row>
    <row r="8631" spans="6:14" x14ac:dyDescent="0.3">
      <c r="F8631" s="1"/>
    </row>
    <row r="8633" spans="6:14" x14ac:dyDescent="0.3">
      <c r="F8633" s="1"/>
    </row>
    <row r="8634" spans="6:14" x14ac:dyDescent="0.3">
      <c r="F8634" s="1"/>
    </row>
    <row r="8636" spans="6:14" x14ac:dyDescent="0.3">
      <c r="F8636" s="1"/>
    </row>
    <row r="8637" spans="6:14" x14ac:dyDescent="0.3">
      <c r="F8637" s="1"/>
    </row>
    <row r="8638" spans="6:14" x14ac:dyDescent="0.3">
      <c r="F8638" s="1"/>
    </row>
    <row r="8640" spans="6:14" x14ac:dyDescent="0.3">
      <c r="F8640" s="1"/>
    </row>
    <row r="8641" spans="6:15" x14ac:dyDescent="0.3">
      <c r="L8641" s="1"/>
      <c r="N8641" s="1"/>
    </row>
    <row r="8642" spans="6:15" x14ac:dyDescent="0.3">
      <c r="F8642" s="1"/>
    </row>
    <row r="8643" spans="6:15" x14ac:dyDescent="0.3">
      <c r="F8643" s="1"/>
    </row>
    <row r="8644" spans="6:15" x14ac:dyDescent="0.3">
      <c r="F8644" s="1"/>
    </row>
    <row r="8645" spans="6:15" x14ac:dyDescent="0.3">
      <c r="F8645" s="1"/>
    </row>
    <row r="8646" spans="6:15" x14ac:dyDescent="0.3">
      <c r="L8646" s="1"/>
      <c r="N8646" s="1"/>
      <c r="O8646" s="1"/>
    </row>
    <row r="8647" spans="6:15" x14ac:dyDescent="0.3">
      <c r="F8647" s="1"/>
    </row>
    <row r="8648" spans="6:15" x14ac:dyDescent="0.3">
      <c r="F8648" s="1"/>
    </row>
    <row r="8649" spans="6:15" x14ac:dyDescent="0.3">
      <c r="F8649" s="1"/>
    </row>
    <row r="8650" spans="6:15" x14ac:dyDescent="0.3">
      <c r="F8650" s="1"/>
      <c r="L8650" s="1"/>
    </row>
    <row r="8651" spans="6:15" x14ac:dyDescent="0.3">
      <c r="F8651" s="1"/>
    </row>
    <row r="8652" spans="6:15" x14ac:dyDescent="0.3">
      <c r="F8652" s="1"/>
      <c r="M8652" s="1"/>
    </row>
    <row r="8653" spans="6:15" x14ac:dyDescent="0.3">
      <c r="F8653" s="1"/>
    </row>
    <row r="8654" spans="6:15" x14ac:dyDescent="0.3">
      <c r="F8654" s="1"/>
      <c r="L8654" s="1"/>
    </row>
    <row r="8655" spans="6:15" x14ac:dyDescent="0.3">
      <c r="F8655" s="1"/>
    </row>
    <row r="8656" spans="6:15" x14ac:dyDescent="0.3">
      <c r="F8656" s="1"/>
    </row>
    <row r="8657" spans="6:13" x14ac:dyDescent="0.3">
      <c r="F8657" s="1"/>
    </row>
    <row r="8658" spans="6:13" x14ac:dyDescent="0.3">
      <c r="F8658" s="1"/>
    </row>
    <row r="8659" spans="6:13" x14ac:dyDescent="0.3">
      <c r="F8659" s="1"/>
    </row>
    <row r="8660" spans="6:13" x14ac:dyDescent="0.3">
      <c r="F8660" s="1"/>
    </row>
    <row r="8661" spans="6:13" x14ac:dyDescent="0.3">
      <c r="F8661" s="1"/>
    </row>
    <row r="8662" spans="6:13" x14ac:dyDescent="0.3">
      <c r="F8662" s="1"/>
    </row>
    <row r="8663" spans="6:13" x14ac:dyDescent="0.3">
      <c r="F8663" s="1"/>
    </row>
    <row r="8664" spans="6:13" x14ac:dyDescent="0.3">
      <c r="L8664" s="1"/>
      <c r="M8664" s="1"/>
    </row>
    <row r="8665" spans="6:13" x14ac:dyDescent="0.3">
      <c r="F8665" s="1"/>
    </row>
    <row r="8666" spans="6:13" x14ac:dyDescent="0.3">
      <c r="F8666" s="1"/>
    </row>
    <row r="8667" spans="6:13" x14ac:dyDescent="0.3">
      <c r="F8667" s="1"/>
    </row>
    <row r="8668" spans="6:13" x14ac:dyDescent="0.3">
      <c r="F8668" s="1"/>
    </row>
    <row r="8669" spans="6:13" x14ac:dyDescent="0.3">
      <c r="F8669" s="1"/>
    </row>
    <row r="8670" spans="6:13" x14ac:dyDescent="0.3">
      <c r="F8670" s="1"/>
    </row>
    <row r="8671" spans="6:13" x14ac:dyDescent="0.3">
      <c r="F8671" s="1"/>
    </row>
    <row r="8672" spans="6:13" x14ac:dyDescent="0.3">
      <c r="F8672" s="1"/>
    </row>
    <row r="8674" spans="6:13" x14ac:dyDescent="0.3">
      <c r="F8674" s="1"/>
    </row>
    <row r="8675" spans="6:13" x14ac:dyDescent="0.3">
      <c r="F8675" s="1"/>
    </row>
    <row r="8676" spans="6:13" x14ac:dyDescent="0.3">
      <c r="F8676" s="1"/>
    </row>
    <row r="8677" spans="6:13" x14ac:dyDescent="0.3">
      <c r="F8677" s="1"/>
    </row>
    <row r="8678" spans="6:13" x14ac:dyDescent="0.3">
      <c r="F8678" s="1"/>
    </row>
    <row r="8679" spans="6:13" x14ac:dyDescent="0.3">
      <c r="F8679" s="1"/>
    </row>
    <row r="8680" spans="6:13" x14ac:dyDescent="0.3">
      <c r="F8680" s="1"/>
      <c r="M8680" s="1"/>
    </row>
    <row r="8681" spans="6:13" x14ac:dyDescent="0.3">
      <c r="F8681" s="1"/>
    </row>
    <row r="8682" spans="6:13" x14ac:dyDescent="0.3">
      <c r="F8682" s="1"/>
    </row>
    <row r="8684" spans="6:13" x14ac:dyDescent="0.3">
      <c r="F8684" s="1"/>
    </row>
    <row r="8685" spans="6:13" x14ac:dyDescent="0.3">
      <c r="F8685" s="1"/>
    </row>
    <row r="8687" spans="6:13" x14ac:dyDescent="0.3">
      <c r="F8687" s="1"/>
    </row>
    <row r="8688" spans="6:13" x14ac:dyDescent="0.3">
      <c r="F8688" s="1"/>
      <c r="M8688" s="1"/>
    </row>
    <row r="8689" spans="6:15" x14ac:dyDescent="0.3">
      <c r="F8689" s="1"/>
    </row>
    <row r="8690" spans="6:15" x14ac:dyDescent="0.3">
      <c r="F8690" s="1"/>
    </row>
    <row r="8691" spans="6:15" x14ac:dyDescent="0.3">
      <c r="F8691" s="1"/>
    </row>
    <row r="8692" spans="6:15" x14ac:dyDescent="0.3">
      <c r="F8692" s="1"/>
    </row>
    <row r="8693" spans="6:15" x14ac:dyDescent="0.3">
      <c r="N8693" s="1"/>
    </row>
    <row r="8694" spans="6:15" x14ac:dyDescent="0.3">
      <c r="F8694" s="1"/>
    </row>
    <row r="8696" spans="6:15" x14ac:dyDescent="0.3">
      <c r="F8696" s="1"/>
    </row>
    <row r="8697" spans="6:15" x14ac:dyDescent="0.3">
      <c r="F8697" s="1"/>
    </row>
    <row r="8700" spans="6:15" x14ac:dyDescent="0.3">
      <c r="F8700" s="1"/>
      <c r="O8700" s="1"/>
    </row>
    <row r="8701" spans="6:15" x14ac:dyDescent="0.3">
      <c r="F8701" s="1"/>
    </row>
    <row r="8702" spans="6:15" x14ac:dyDescent="0.3">
      <c r="F8702" s="1"/>
    </row>
    <row r="8703" spans="6:15" x14ac:dyDescent="0.3">
      <c r="F8703" s="1"/>
    </row>
    <row r="8704" spans="6:15" x14ac:dyDescent="0.3">
      <c r="F8704" s="1"/>
    </row>
    <row r="8705" spans="6:15" x14ac:dyDescent="0.3">
      <c r="F8705" s="1"/>
    </row>
    <row r="8706" spans="6:15" x14ac:dyDescent="0.3">
      <c r="F8706" s="1"/>
    </row>
    <row r="8707" spans="6:15" x14ac:dyDescent="0.3">
      <c r="F8707" s="1"/>
      <c r="O8707" s="1"/>
    </row>
    <row r="8708" spans="6:15" x14ac:dyDescent="0.3">
      <c r="F8708" s="1"/>
      <c r="M8708" s="1"/>
    </row>
    <row r="8709" spans="6:15" x14ac:dyDescent="0.3">
      <c r="F8709" s="1"/>
    </row>
    <row r="8710" spans="6:15" x14ac:dyDescent="0.3">
      <c r="F8710" s="1"/>
    </row>
    <row r="8712" spans="6:15" x14ac:dyDescent="0.3">
      <c r="F8712" s="1"/>
    </row>
    <row r="8713" spans="6:15" x14ac:dyDescent="0.3">
      <c r="F8713" s="1"/>
    </row>
    <row r="8714" spans="6:15" x14ac:dyDescent="0.3">
      <c r="F8714" s="1"/>
    </row>
    <row r="8715" spans="6:15" x14ac:dyDescent="0.3">
      <c r="F8715" s="1"/>
    </row>
    <row r="8716" spans="6:15" x14ac:dyDescent="0.3">
      <c r="F8716" s="1"/>
    </row>
    <row r="8717" spans="6:15" x14ac:dyDescent="0.3">
      <c r="F8717" s="1"/>
    </row>
    <row r="8718" spans="6:15" x14ac:dyDescent="0.3">
      <c r="F8718" s="1"/>
    </row>
    <row r="8719" spans="6:15" x14ac:dyDescent="0.3">
      <c r="F8719" s="1"/>
    </row>
    <row r="8720" spans="6:15" x14ac:dyDescent="0.3">
      <c r="F8720" s="1"/>
    </row>
    <row r="8721" spans="6:15" x14ac:dyDescent="0.3">
      <c r="F8721" s="1"/>
    </row>
    <row r="8722" spans="6:15" x14ac:dyDescent="0.3">
      <c r="F8722" s="1"/>
    </row>
    <row r="8723" spans="6:15" x14ac:dyDescent="0.3">
      <c r="F8723" s="1"/>
    </row>
    <row r="8724" spans="6:15" x14ac:dyDescent="0.3">
      <c r="M8724" s="1"/>
      <c r="N8724" s="1"/>
      <c r="O8724" s="1"/>
    </row>
    <row r="8725" spans="6:15" x14ac:dyDescent="0.3">
      <c r="F8725" s="1"/>
    </row>
    <row r="8726" spans="6:15" x14ac:dyDescent="0.3">
      <c r="F8726" s="1"/>
    </row>
    <row r="8727" spans="6:15" x14ac:dyDescent="0.3">
      <c r="F8727" s="1"/>
    </row>
    <row r="8729" spans="6:15" x14ac:dyDescent="0.3">
      <c r="F8729" s="1"/>
      <c r="L8729" s="1"/>
      <c r="M8729" s="1"/>
      <c r="O8729" s="1"/>
    </row>
    <row r="8730" spans="6:15" x14ac:dyDescent="0.3">
      <c r="F8730" s="1"/>
    </row>
    <row r="8731" spans="6:15" x14ac:dyDescent="0.3">
      <c r="M8731" s="1"/>
      <c r="N8731" s="1"/>
    </row>
    <row r="8732" spans="6:15" x14ac:dyDescent="0.3">
      <c r="F8732" s="1"/>
    </row>
    <row r="8733" spans="6:15" x14ac:dyDescent="0.3">
      <c r="F8733" s="1"/>
    </row>
    <row r="8735" spans="6:15" x14ac:dyDescent="0.3">
      <c r="F8735" s="1"/>
    </row>
    <row r="8737" spans="6:14" x14ac:dyDescent="0.3">
      <c r="F8737" s="1"/>
    </row>
    <row r="8738" spans="6:14" x14ac:dyDescent="0.3">
      <c r="F8738" s="1"/>
      <c r="N8738" s="1"/>
    </row>
    <row r="8739" spans="6:14" x14ac:dyDescent="0.3">
      <c r="F8739" s="1"/>
    </row>
    <row r="8740" spans="6:14" x14ac:dyDescent="0.3">
      <c r="F8740" s="1"/>
    </row>
    <row r="8741" spans="6:14" x14ac:dyDescent="0.3">
      <c r="F8741" s="1"/>
    </row>
    <row r="8742" spans="6:14" x14ac:dyDescent="0.3">
      <c r="N8742" s="1"/>
    </row>
    <row r="8743" spans="6:14" x14ac:dyDescent="0.3">
      <c r="F8743" s="1"/>
    </row>
    <row r="8744" spans="6:14" x14ac:dyDescent="0.3">
      <c r="F8744" s="1"/>
    </row>
    <row r="8745" spans="6:14" x14ac:dyDescent="0.3">
      <c r="F8745" s="1"/>
    </row>
    <row r="8746" spans="6:14" x14ac:dyDescent="0.3">
      <c r="F8746" s="1"/>
    </row>
    <row r="8747" spans="6:14" x14ac:dyDescent="0.3">
      <c r="F8747" s="1"/>
    </row>
    <row r="8748" spans="6:14" x14ac:dyDescent="0.3">
      <c r="F8748" s="1"/>
    </row>
    <row r="8750" spans="6:14" x14ac:dyDescent="0.3">
      <c r="F8750" s="1"/>
    </row>
    <row r="8751" spans="6:14" x14ac:dyDescent="0.3">
      <c r="F8751" s="1"/>
    </row>
    <row r="8752" spans="6:14" x14ac:dyDescent="0.3">
      <c r="F8752" s="1"/>
    </row>
    <row r="8753" spans="6:14" x14ac:dyDescent="0.3">
      <c r="F8753" s="1"/>
    </row>
    <row r="8754" spans="6:14" x14ac:dyDescent="0.3">
      <c r="F8754" s="1"/>
    </row>
    <row r="8755" spans="6:14" x14ac:dyDescent="0.3">
      <c r="F8755" s="1"/>
    </row>
    <row r="8756" spans="6:14" x14ac:dyDescent="0.3">
      <c r="F8756" s="1"/>
    </row>
    <row r="8757" spans="6:14" x14ac:dyDescent="0.3">
      <c r="N8757" s="1"/>
    </row>
    <row r="8758" spans="6:14" x14ac:dyDescent="0.3">
      <c r="F8758" s="1"/>
    </row>
    <row r="8759" spans="6:14" x14ac:dyDescent="0.3">
      <c r="F8759" s="1"/>
    </row>
    <row r="8760" spans="6:14" x14ac:dyDescent="0.3">
      <c r="F8760" s="1"/>
    </row>
    <row r="8761" spans="6:14" x14ac:dyDescent="0.3">
      <c r="F8761" s="1"/>
    </row>
    <row r="8762" spans="6:14" x14ac:dyDescent="0.3">
      <c r="F8762" s="1"/>
    </row>
    <row r="8763" spans="6:14" x14ac:dyDescent="0.3">
      <c r="F8763" s="1"/>
      <c r="M8763" s="1"/>
    </row>
    <row r="8764" spans="6:14" x14ac:dyDescent="0.3">
      <c r="F8764" s="1"/>
    </row>
    <row r="8765" spans="6:14" x14ac:dyDescent="0.3">
      <c r="F8765" s="1"/>
      <c r="L8765" s="1"/>
    </row>
    <row r="8766" spans="6:14" x14ac:dyDescent="0.3">
      <c r="F8766" s="1"/>
    </row>
    <row r="8767" spans="6:14" x14ac:dyDescent="0.3">
      <c r="F8767" s="1"/>
    </row>
    <row r="8768" spans="6:14" x14ac:dyDescent="0.3">
      <c r="F8768" s="1"/>
    </row>
    <row r="8769" spans="6:14" x14ac:dyDescent="0.3">
      <c r="F8769" s="1"/>
    </row>
    <row r="8770" spans="6:14" x14ac:dyDescent="0.3">
      <c r="F8770" s="1"/>
    </row>
    <row r="8771" spans="6:14" x14ac:dyDescent="0.3">
      <c r="F8771" s="1"/>
    </row>
    <row r="8772" spans="6:14" x14ac:dyDescent="0.3">
      <c r="F8772" s="1"/>
    </row>
    <row r="8774" spans="6:14" x14ac:dyDescent="0.3">
      <c r="L8774" s="1"/>
      <c r="M8774" s="1"/>
      <c r="N8774" s="1"/>
    </row>
    <row r="8775" spans="6:14" x14ac:dyDescent="0.3">
      <c r="F8775" s="1"/>
    </row>
    <row r="8776" spans="6:14" x14ac:dyDescent="0.3">
      <c r="F8776" s="1"/>
    </row>
    <row r="8777" spans="6:14" x14ac:dyDescent="0.3">
      <c r="F8777" s="1"/>
    </row>
    <row r="8778" spans="6:14" x14ac:dyDescent="0.3">
      <c r="F8778" s="1"/>
      <c r="L8778" s="1"/>
    </row>
    <row r="8779" spans="6:14" x14ac:dyDescent="0.3">
      <c r="F8779" s="1"/>
    </row>
    <row r="8780" spans="6:14" x14ac:dyDescent="0.3">
      <c r="F8780" s="1"/>
    </row>
    <row r="8781" spans="6:14" x14ac:dyDescent="0.3">
      <c r="F8781" s="1"/>
    </row>
    <row r="8782" spans="6:14" x14ac:dyDescent="0.3">
      <c r="F8782" s="1"/>
    </row>
    <row r="8783" spans="6:14" x14ac:dyDescent="0.3">
      <c r="F8783" s="1"/>
    </row>
    <row r="8784" spans="6:14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15" x14ac:dyDescent="0.3">
      <c r="F8801" s="1"/>
    </row>
    <row r="8802" spans="6:15" x14ac:dyDescent="0.3">
      <c r="F8802" s="1"/>
    </row>
    <row r="8803" spans="6:15" x14ac:dyDescent="0.3">
      <c r="F8803" s="1"/>
    </row>
    <row r="8804" spans="6:15" x14ac:dyDescent="0.3">
      <c r="F8804" s="1"/>
    </row>
    <row r="8805" spans="6:15" x14ac:dyDescent="0.3">
      <c r="F8805" s="1"/>
    </row>
    <row r="8806" spans="6:15" x14ac:dyDescent="0.3">
      <c r="L8806" s="1"/>
      <c r="M8806" s="1"/>
      <c r="O8806" s="1"/>
    </row>
    <row r="8807" spans="6:15" x14ac:dyDescent="0.3">
      <c r="F8807" s="1"/>
    </row>
    <row r="8808" spans="6:15" x14ac:dyDescent="0.3">
      <c r="F8808" s="1"/>
    </row>
    <row r="8809" spans="6:15" x14ac:dyDescent="0.3">
      <c r="F8809" s="1"/>
    </row>
    <row r="8810" spans="6:15" x14ac:dyDescent="0.3">
      <c r="F8810" s="1"/>
    </row>
    <row r="8811" spans="6:15" x14ac:dyDescent="0.3">
      <c r="F8811" s="1"/>
    </row>
    <row r="8813" spans="6:15" x14ac:dyDescent="0.3">
      <c r="F8813" s="1"/>
    </row>
    <row r="8814" spans="6:15" x14ac:dyDescent="0.3">
      <c r="L8814" s="1"/>
      <c r="N8814" s="1"/>
    </row>
    <row r="8816" spans="6:15" x14ac:dyDescent="0.3">
      <c r="F8816" s="1"/>
    </row>
    <row r="8817" spans="6:14" x14ac:dyDescent="0.3">
      <c r="F8817" s="1"/>
    </row>
    <row r="8818" spans="6:14" x14ac:dyDescent="0.3">
      <c r="F8818" s="1"/>
    </row>
    <row r="8819" spans="6:14" x14ac:dyDescent="0.3">
      <c r="F8819" s="1"/>
    </row>
    <row r="8820" spans="6:14" x14ac:dyDescent="0.3">
      <c r="F8820" s="1"/>
    </row>
    <row r="8821" spans="6:14" x14ac:dyDescent="0.3">
      <c r="F8821" s="1"/>
      <c r="N8821" s="1"/>
    </row>
    <row r="8822" spans="6:14" x14ac:dyDescent="0.3">
      <c r="F8822" s="1"/>
    </row>
    <row r="8823" spans="6:14" x14ac:dyDescent="0.3">
      <c r="F8823" s="1"/>
      <c r="L8823" s="1"/>
      <c r="M8823" s="1"/>
      <c r="N8823" s="1"/>
    </row>
    <row r="8824" spans="6:14" x14ac:dyDescent="0.3">
      <c r="F8824" s="1"/>
    </row>
    <row r="8825" spans="6:14" x14ac:dyDescent="0.3">
      <c r="F8825" s="1"/>
    </row>
    <row r="8826" spans="6:14" x14ac:dyDescent="0.3">
      <c r="F8826" s="1"/>
    </row>
    <row r="8828" spans="6:14" x14ac:dyDescent="0.3">
      <c r="F8828" s="1"/>
    </row>
    <row r="8829" spans="6:14" x14ac:dyDescent="0.3">
      <c r="F8829" s="1"/>
      <c r="L8829" s="1"/>
      <c r="M8829" s="1"/>
    </row>
    <row r="8830" spans="6:14" x14ac:dyDescent="0.3">
      <c r="F8830" s="1"/>
    </row>
    <row r="8831" spans="6:14" x14ac:dyDescent="0.3">
      <c r="F8831" s="1"/>
    </row>
    <row r="8832" spans="6:14" x14ac:dyDescent="0.3">
      <c r="F8832" s="1"/>
    </row>
    <row r="8833" spans="6:14" x14ac:dyDescent="0.3">
      <c r="F8833" s="1"/>
    </row>
    <row r="8834" spans="6:14" x14ac:dyDescent="0.3">
      <c r="F8834" s="1"/>
    </row>
    <row r="8835" spans="6:14" x14ac:dyDescent="0.3">
      <c r="F8835" s="1"/>
    </row>
    <row r="8836" spans="6:14" x14ac:dyDescent="0.3">
      <c r="F8836" s="1"/>
    </row>
    <row r="8837" spans="6:14" x14ac:dyDescent="0.3">
      <c r="F8837" s="1"/>
    </row>
    <row r="8838" spans="6:14" x14ac:dyDescent="0.3">
      <c r="N8838" s="1"/>
    </row>
    <row r="8839" spans="6:14" x14ac:dyDescent="0.3">
      <c r="F8839" s="1"/>
    </row>
    <row r="8840" spans="6:14" x14ac:dyDescent="0.3">
      <c r="F8840" s="1"/>
    </row>
    <row r="8841" spans="6:14" x14ac:dyDescent="0.3">
      <c r="F8841" s="1"/>
    </row>
    <row r="8842" spans="6:14" x14ac:dyDescent="0.3">
      <c r="F8842" s="1"/>
    </row>
    <row r="8843" spans="6:14" x14ac:dyDescent="0.3">
      <c r="F8843" s="1"/>
    </row>
    <row r="8844" spans="6:14" x14ac:dyDescent="0.3">
      <c r="F8844" s="1"/>
    </row>
    <row r="8845" spans="6:14" x14ac:dyDescent="0.3">
      <c r="F8845" s="1"/>
      <c r="L8845" s="1"/>
    </row>
    <row r="8846" spans="6:14" x14ac:dyDescent="0.3">
      <c r="F8846" s="1"/>
    </row>
    <row r="8847" spans="6:14" x14ac:dyDescent="0.3">
      <c r="F8847" s="1"/>
    </row>
    <row r="8848" spans="6:14" x14ac:dyDescent="0.3">
      <c r="F8848" s="1"/>
    </row>
    <row r="8849" spans="6:15" x14ac:dyDescent="0.3">
      <c r="F8849" s="1"/>
    </row>
    <row r="8850" spans="6:15" x14ac:dyDescent="0.3">
      <c r="F8850" s="1"/>
    </row>
    <row r="8851" spans="6:15" x14ac:dyDescent="0.3">
      <c r="F8851" s="1"/>
    </row>
    <row r="8852" spans="6:15" x14ac:dyDescent="0.3">
      <c r="F8852" s="1"/>
    </row>
    <row r="8853" spans="6:15" x14ac:dyDescent="0.3">
      <c r="L8853" s="1"/>
    </row>
    <row r="8856" spans="6:15" x14ac:dyDescent="0.3">
      <c r="F8856" s="1"/>
    </row>
    <row r="8857" spans="6:15" x14ac:dyDescent="0.3">
      <c r="F8857" s="1"/>
    </row>
    <row r="8858" spans="6:15" x14ac:dyDescent="0.3">
      <c r="F8858" s="1"/>
    </row>
    <row r="8859" spans="6:15" x14ac:dyDescent="0.3">
      <c r="F8859" s="1"/>
    </row>
    <row r="8860" spans="6:15" x14ac:dyDescent="0.3">
      <c r="F8860" s="1"/>
    </row>
    <row r="8861" spans="6:15" x14ac:dyDescent="0.3">
      <c r="F8861" s="1"/>
      <c r="O8861" s="1"/>
    </row>
    <row r="8862" spans="6:15" x14ac:dyDescent="0.3">
      <c r="F8862" s="1"/>
    </row>
    <row r="8863" spans="6:15" x14ac:dyDescent="0.3">
      <c r="F8863" s="1"/>
    </row>
    <row r="8865" spans="6:12" x14ac:dyDescent="0.3">
      <c r="F8865" s="1"/>
    </row>
    <row r="8866" spans="6:12" x14ac:dyDescent="0.3">
      <c r="F8866" s="1"/>
      <c r="L8866" s="1"/>
    </row>
    <row r="8867" spans="6:12" x14ac:dyDescent="0.3">
      <c r="F8867" s="1"/>
    </row>
    <row r="8868" spans="6:12" x14ac:dyDescent="0.3">
      <c r="F8868" s="1"/>
    </row>
    <row r="8869" spans="6:12" x14ac:dyDescent="0.3">
      <c r="F8869" s="1"/>
    </row>
    <row r="8870" spans="6:12" x14ac:dyDescent="0.3">
      <c r="F8870" s="1"/>
    </row>
    <row r="8871" spans="6:12" x14ac:dyDescent="0.3">
      <c r="F8871" s="1"/>
    </row>
    <row r="8872" spans="6:12" x14ac:dyDescent="0.3">
      <c r="F8872" s="1"/>
    </row>
    <row r="8873" spans="6:12" x14ac:dyDescent="0.3">
      <c r="F8873" s="1"/>
    </row>
    <row r="8874" spans="6:12" x14ac:dyDescent="0.3">
      <c r="F8874" s="1"/>
    </row>
    <row r="8875" spans="6:12" x14ac:dyDescent="0.3">
      <c r="F8875" s="1"/>
    </row>
    <row r="8876" spans="6:12" x14ac:dyDescent="0.3">
      <c r="F8876" s="1"/>
    </row>
    <row r="8878" spans="6:12" x14ac:dyDescent="0.3">
      <c r="F8878" s="1"/>
    </row>
    <row r="8879" spans="6:12" x14ac:dyDescent="0.3">
      <c r="F8879" s="1"/>
    </row>
    <row r="8880" spans="6:12" x14ac:dyDescent="0.3">
      <c r="F8880" s="1"/>
    </row>
    <row r="8881" spans="6:15" x14ac:dyDescent="0.3">
      <c r="L8881" s="1"/>
    </row>
    <row r="8882" spans="6:15" x14ac:dyDescent="0.3">
      <c r="F8882" s="1"/>
      <c r="L8882" s="1"/>
      <c r="N8882" s="1"/>
      <c r="O8882" s="1"/>
    </row>
    <row r="8883" spans="6:15" x14ac:dyDescent="0.3">
      <c r="F8883" s="1"/>
    </row>
    <row r="8884" spans="6:15" x14ac:dyDescent="0.3">
      <c r="F8884" s="1"/>
      <c r="N8884" s="1"/>
    </row>
    <row r="8885" spans="6:15" x14ac:dyDescent="0.3">
      <c r="L8885" s="1"/>
      <c r="M8885" s="1"/>
      <c r="N8885" s="1"/>
    </row>
    <row r="8886" spans="6:15" x14ac:dyDescent="0.3">
      <c r="F8886" s="1"/>
    </row>
    <row r="8890" spans="6:15" x14ac:dyDescent="0.3">
      <c r="F8890" s="1"/>
    </row>
    <row r="8891" spans="6:15" x14ac:dyDescent="0.3">
      <c r="F8891" s="1"/>
    </row>
    <row r="8892" spans="6:15" x14ac:dyDescent="0.3">
      <c r="F8892" s="1"/>
    </row>
    <row r="8893" spans="6:15" x14ac:dyDescent="0.3">
      <c r="F8893" s="1"/>
    </row>
    <row r="8894" spans="6:15" x14ac:dyDescent="0.3">
      <c r="F8894" s="1"/>
    </row>
    <row r="8895" spans="6:15" x14ac:dyDescent="0.3">
      <c r="F8895" s="1"/>
    </row>
    <row r="8896" spans="6:15" x14ac:dyDescent="0.3">
      <c r="F8896" s="1"/>
    </row>
    <row r="8897" spans="6:14" x14ac:dyDescent="0.3">
      <c r="F8897" s="1"/>
    </row>
    <row r="8898" spans="6:14" x14ac:dyDescent="0.3">
      <c r="F8898" s="1"/>
    </row>
    <row r="8899" spans="6:14" x14ac:dyDescent="0.3">
      <c r="F8899" s="1"/>
    </row>
    <row r="8900" spans="6:14" x14ac:dyDescent="0.3">
      <c r="F8900" s="1"/>
      <c r="M8900" s="1"/>
    </row>
    <row r="8901" spans="6:14" x14ac:dyDescent="0.3">
      <c r="F8901" s="1"/>
    </row>
    <row r="8902" spans="6:14" x14ac:dyDescent="0.3">
      <c r="F8902" s="1"/>
    </row>
    <row r="8903" spans="6:14" x14ac:dyDescent="0.3">
      <c r="F8903" s="1"/>
    </row>
    <row r="8904" spans="6:14" x14ac:dyDescent="0.3">
      <c r="F8904" s="1"/>
      <c r="N8904" s="1"/>
    </row>
    <row r="8905" spans="6:14" x14ac:dyDescent="0.3">
      <c r="F8905" s="1"/>
    </row>
    <row r="8907" spans="6:14" x14ac:dyDescent="0.3">
      <c r="F8907" s="1"/>
    </row>
    <row r="8908" spans="6:14" x14ac:dyDescent="0.3">
      <c r="F8908" s="1"/>
    </row>
    <row r="8909" spans="6:14" x14ac:dyDescent="0.3">
      <c r="F8909" s="1"/>
    </row>
    <row r="8910" spans="6:14" x14ac:dyDescent="0.3">
      <c r="F8910" s="1"/>
    </row>
    <row r="8911" spans="6:14" x14ac:dyDescent="0.3">
      <c r="F8911" s="1"/>
    </row>
    <row r="8912" spans="6:14" x14ac:dyDescent="0.3">
      <c r="F8912" s="1"/>
    </row>
    <row r="8913" spans="6:13" x14ac:dyDescent="0.3">
      <c r="F8913" s="1"/>
    </row>
    <row r="8914" spans="6:13" x14ac:dyDescent="0.3">
      <c r="F8914" s="1"/>
    </row>
    <row r="8915" spans="6:13" x14ac:dyDescent="0.3">
      <c r="F8915" s="1"/>
    </row>
    <row r="8916" spans="6:13" x14ac:dyDescent="0.3">
      <c r="F8916" s="1"/>
    </row>
    <row r="8917" spans="6:13" x14ac:dyDescent="0.3">
      <c r="F8917" s="1"/>
    </row>
    <row r="8918" spans="6:13" x14ac:dyDescent="0.3">
      <c r="F8918" s="1"/>
    </row>
    <row r="8919" spans="6:13" x14ac:dyDescent="0.3">
      <c r="F8919" s="1"/>
    </row>
    <row r="8920" spans="6:13" x14ac:dyDescent="0.3">
      <c r="F8920" s="1"/>
    </row>
    <row r="8922" spans="6:13" x14ac:dyDescent="0.3">
      <c r="F8922" s="1"/>
      <c r="M8922" s="1"/>
    </row>
    <row r="8923" spans="6:13" x14ac:dyDescent="0.3">
      <c r="F8923" s="1"/>
    </row>
    <row r="8924" spans="6:13" x14ac:dyDescent="0.3">
      <c r="F8924" s="1"/>
    </row>
    <row r="8925" spans="6:13" x14ac:dyDescent="0.3">
      <c r="F8925" s="1"/>
    </row>
    <row r="8927" spans="6:13" x14ac:dyDescent="0.3">
      <c r="F8927" s="1"/>
    </row>
    <row r="8928" spans="6:13" x14ac:dyDescent="0.3">
      <c r="F8928" s="1"/>
    </row>
    <row r="8929" spans="6:15" x14ac:dyDescent="0.3">
      <c r="F8929" s="1"/>
    </row>
    <row r="8930" spans="6:15" x14ac:dyDescent="0.3">
      <c r="F8930" s="1"/>
      <c r="L8930" s="1"/>
      <c r="M8930" s="1"/>
      <c r="O8930" s="1"/>
    </row>
    <row r="8931" spans="6:15" x14ac:dyDescent="0.3">
      <c r="F8931" s="1"/>
    </row>
    <row r="8932" spans="6:15" x14ac:dyDescent="0.3">
      <c r="F8932" s="1"/>
    </row>
    <row r="8933" spans="6:15" x14ac:dyDescent="0.3">
      <c r="F8933" s="1"/>
      <c r="M8933" s="1"/>
    </row>
    <row r="8934" spans="6:15" x14ac:dyDescent="0.3">
      <c r="F8934" s="1"/>
    </row>
    <row r="8935" spans="6:15" x14ac:dyDescent="0.3">
      <c r="F8935" s="1"/>
    </row>
    <row r="8936" spans="6:15" x14ac:dyDescent="0.3">
      <c r="F8936" s="1"/>
      <c r="M8936" s="1"/>
    </row>
    <row r="8937" spans="6:15" x14ac:dyDescent="0.3">
      <c r="F8937" s="1"/>
    </row>
    <row r="8938" spans="6:15" x14ac:dyDescent="0.3">
      <c r="F8938" s="1"/>
    </row>
    <row r="8940" spans="6:15" x14ac:dyDescent="0.3">
      <c r="F8940" s="1"/>
      <c r="M8940" s="1"/>
      <c r="N8940" s="1"/>
      <c r="O8940" s="1"/>
    </row>
    <row r="8941" spans="6:15" x14ac:dyDescent="0.3">
      <c r="F8941" s="1"/>
    </row>
    <row r="8942" spans="6:15" x14ac:dyDescent="0.3">
      <c r="F8942" s="1"/>
    </row>
    <row r="8943" spans="6:15" x14ac:dyDescent="0.3">
      <c r="F8943" s="1"/>
    </row>
    <row r="8944" spans="6:15" x14ac:dyDescent="0.3">
      <c r="F8944" s="1"/>
    </row>
    <row r="8945" spans="6:13" x14ac:dyDescent="0.3">
      <c r="F8945" s="1"/>
    </row>
    <row r="8946" spans="6:13" x14ac:dyDescent="0.3">
      <c r="F8946" s="1"/>
      <c r="M8946" s="1"/>
    </row>
    <row r="8947" spans="6:13" x14ac:dyDescent="0.3">
      <c r="F8947" s="1"/>
    </row>
    <row r="8948" spans="6:13" x14ac:dyDescent="0.3">
      <c r="F8948" s="1"/>
      <c r="M8948" s="1"/>
    </row>
    <row r="8949" spans="6:13" x14ac:dyDescent="0.3">
      <c r="F8949" s="1"/>
    </row>
    <row r="8951" spans="6:13" x14ac:dyDescent="0.3">
      <c r="F8951" s="1"/>
    </row>
    <row r="8952" spans="6:13" x14ac:dyDescent="0.3">
      <c r="F8952" s="1"/>
    </row>
    <row r="8953" spans="6:13" x14ac:dyDescent="0.3">
      <c r="F8953" s="1"/>
    </row>
    <row r="8954" spans="6:13" x14ac:dyDescent="0.3">
      <c r="F8954" s="1"/>
    </row>
    <row r="8955" spans="6:13" x14ac:dyDescent="0.3">
      <c r="F8955" s="1"/>
    </row>
    <row r="8956" spans="6:13" x14ac:dyDescent="0.3">
      <c r="F8956" s="1"/>
    </row>
    <row r="8957" spans="6:13" x14ac:dyDescent="0.3">
      <c r="F8957" s="1"/>
    </row>
    <row r="8958" spans="6:13" x14ac:dyDescent="0.3">
      <c r="F8958" s="1"/>
    </row>
    <row r="8959" spans="6:13" x14ac:dyDescent="0.3">
      <c r="F8959" s="1"/>
    </row>
    <row r="8960" spans="6:13" x14ac:dyDescent="0.3">
      <c r="F8960" s="1"/>
    </row>
    <row r="8961" spans="6:14" x14ac:dyDescent="0.3">
      <c r="M8961" s="1"/>
      <c r="N8961" s="1"/>
    </row>
    <row r="8962" spans="6:14" x14ac:dyDescent="0.3">
      <c r="F8962" s="1"/>
    </row>
    <row r="8963" spans="6:14" x14ac:dyDescent="0.3">
      <c r="F8963" s="1"/>
    </row>
    <row r="8964" spans="6:14" x14ac:dyDescent="0.3">
      <c r="F8964" s="1"/>
    </row>
    <row r="8965" spans="6:14" x14ac:dyDescent="0.3">
      <c r="F8965" s="1"/>
    </row>
    <row r="8966" spans="6:14" x14ac:dyDescent="0.3">
      <c r="F8966" s="1"/>
    </row>
    <row r="8967" spans="6:14" x14ac:dyDescent="0.3">
      <c r="F8967" s="1"/>
    </row>
    <row r="8968" spans="6:14" x14ac:dyDescent="0.3">
      <c r="F8968" s="1"/>
    </row>
    <row r="8969" spans="6:14" x14ac:dyDescent="0.3">
      <c r="F8969" s="1"/>
    </row>
    <row r="8970" spans="6:14" x14ac:dyDescent="0.3">
      <c r="F8970" s="1"/>
    </row>
    <row r="8971" spans="6:14" x14ac:dyDescent="0.3">
      <c r="F8971" s="1"/>
    </row>
    <row r="8972" spans="6:14" x14ac:dyDescent="0.3">
      <c r="F8972" s="1"/>
    </row>
    <row r="8973" spans="6:14" x14ac:dyDescent="0.3">
      <c r="F8973" s="1"/>
    </row>
    <row r="8974" spans="6:14" x14ac:dyDescent="0.3">
      <c r="F8974" s="1"/>
    </row>
    <row r="8975" spans="6:14" x14ac:dyDescent="0.3">
      <c r="F8975" s="1"/>
    </row>
    <row r="8976" spans="6:14" x14ac:dyDescent="0.3">
      <c r="F8976" s="1"/>
    </row>
    <row r="8977" spans="6:14" x14ac:dyDescent="0.3">
      <c r="F8977" s="1"/>
    </row>
    <row r="8978" spans="6:14" x14ac:dyDescent="0.3">
      <c r="F8978" s="1"/>
    </row>
    <row r="8979" spans="6:14" x14ac:dyDescent="0.3">
      <c r="F8979" s="1"/>
    </row>
    <row r="8980" spans="6:14" x14ac:dyDescent="0.3">
      <c r="F8980" s="1"/>
      <c r="L8980" s="1"/>
      <c r="N8980" s="1"/>
    </row>
    <row r="8981" spans="6:14" x14ac:dyDescent="0.3">
      <c r="F8981" s="1"/>
    </row>
    <row r="8982" spans="6:14" x14ac:dyDescent="0.3">
      <c r="F8982" s="1"/>
    </row>
    <row r="8983" spans="6:14" x14ac:dyDescent="0.3">
      <c r="F8983" s="1"/>
    </row>
    <row r="8984" spans="6:14" x14ac:dyDescent="0.3">
      <c r="F8984" s="1"/>
    </row>
    <row r="8985" spans="6:14" x14ac:dyDescent="0.3">
      <c r="F8985" s="1"/>
    </row>
    <row r="8986" spans="6:14" x14ac:dyDescent="0.3">
      <c r="N8986" s="1"/>
    </row>
    <row r="8987" spans="6:14" x14ac:dyDescent="0.3">
      <c r="F8987" s="1"/>
    </row>
    <row r="8988" spans="6:14" x14ac:dyDescent="0.3">
      <c r="F8988" s="1"/>
    </row>
    <row r="8989" spans="6:14" x14ac:dyDescent="0.3">
      <c r="F8989" s="1"/>
    </row>
    <row r="8990" spans="6:14" x14ac:dyDescent="0.3">
      <c r="F8990" s="1"/>
    </row>
    <row r="8991" spans="6:14" x14ac:dyDescent="0.3">
      <c r="F8991" s="1"/>
    </row>
    <row r="8992" spans="6:14" x14ac:dyDescent="0.3">
      <c r="F8992" s="1"/>
    </row>
    <row r="8993" spans="6:15" x14ac:dyDescent="0.3">
      <c r="F8993" s="1"/>
    </row>
    <row r="8994" spans="6:15" x14ac:dyDescent="0.3">
      <c r="F8994" s="1"/>
    </row>
    <row r="8996" spans="6:15" x14ac:dyDescent="0.3">
      <c r="F8996" s="1"/>
    </row>
    <row r="8997" spans="6:15" x14ac:dyDescent="0.3">
      <c r="F8997" s="1"/>
    </row>
    <row r="8998" spans="6:15" x14ac:dyDescent="0.3">
      <c r="F8998" s="1"/>
    </row>
    <row r="9000" spans="6:15" x14ac:dyDescent="0.3">
      <c r="F9000" s="1"/>
    </row>
    <row r="9001" spans="6:15" x14ac:dyDescent="0.3">
      <c r="F9001" s="1"/>
      <c r="L9001" s="1"/>
    </row>
    <row r="9002" spans="6:15" x14ac:dyDescent="0.3">
      <c r="F9002" s="1"/>
    </row>
    <row r="9003" spans="6:15" x14ac:dyDescent="0.3">
      <c r="F9003" s="1"/>
    </row>
    <row r="9005" spans="6:15" x14ac:dyDescent="0.3">
      <c r="F9005" s="1"/>
      <c r="L9005" s="1"/>
      <c r="M9005" s="1"/>
      <c r="O9005" s="1"/>
    </row>
    <row r="9006" spans="6:15" x14ac:dyDescent="0.3">
      <c r="F9006" s="1"/>
    </row>
    <row r="9007" spans="6:15" x14ac:dyDescent="0.3">
      <c r="F9007" s="1"/>
    </row>
    <row r="9008" spans="6:15" x14ac:dyDescent="0.3">
      <c r="F9008" s="1"/>
    </row>
    <row r="9009" spans="6:6" x14ac:dyDescent="0.3">
      <c r="F9009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15" x14ac:dyDescent="0.3">
      <c r="F9025" s="1"/>
    </row>
    <row r="9026" spans="6:15" x14ac:dyDescent="0.3">
      <c r="F9026" s="1"/>
    </row>
    <row r="9028" spans="6:15" x14ac:dyDescent="0.3">
      <c r="F9028" s="1"/>
    </row>
    <row r="9029" spans="6:15" x14ac:dyDescent="0.3">
      <c r="F9029" s="1"/>
      <c r="M9029" s="1"/>
    </row>
    <row r="9030" spans="6:15" x14ac:dyDescent="0.3">
      <c r="F9030" s="1"/>
    </row>
    <row r="9031" spans="6:15" x14ac:dyDescent="0.3">
      <c r="F9031" s="1"/>
    </row>
    <row r="9032" spans="6:15" x14ac:dyDescent="0.3">
      <c r="F9032" s="1"/>
    </row>
    <row r="9034" spans="6:15" x14ac:dyDescent="0.3">
      <c r="L9034" s="1"/>
    </row>
    <row r="9035" spans="6:15" x14ac:dyDescent="0.3">
      <c r="F9035" s="1"/>
    </row>
    <row r="9036" spans="6:15" x14ac:dyDescent="0.3">
      <c r="F9036" s="1"/>
    </row>
    <row r="9037" spans="6:15" x14ac:dyDescent="0.3">
      <c r="L9037" s="1"/>
      <c r="M9037" s="1"/>
      <c r="N9037" s="1"/>
      <c r="O9037" s="1"/>
    </row>
    <row r="9038" spans="6:15" x14ac:dyDescent="0.3">
      <c r="F9038" s="1"/>
    </row>
    <row r="9039" spans="6:15" x14ac:dyDescent="0.3">
      <c r="F9039" s="1"/>
    </row>
    <row r="9040" spans="6:15" x14ac:dyDescent="0.3">
      <c r="F9040" s="1"/>
    </row>
    <row r="9041" spans="6:14" x14ac:dyDescent="0.3">
      <c r="F9041" s="1"/>
    </row>
    <row r="9042" spans="6:14" x14ac:dyDescent="0.3">
      <c r="F9042" s="1"/>
    </row>
    <row r="9044" spans="6:14" x14ac:dyDescent="0.3">
      <c r="F9044" s="1"/>
    </row>
    <row r="9045" spans="6:14" x14ac:dyDescent="0.3">
      <c r="F9045" s="1"/>
      <c r="N9045" s="1"/>
    </row>
    <row r="9046" spans="6:14" x14ac:dyDescent="0.3">
      <c r="F9046" s="1"/>
    </row>
    <row r="9047" spans="6:14" x14ac:dyDescent="0.3">
      <c r="F9047" s="1"/>
    </row>
    <row r="9048" spans="6:14" x14ac:dyDescent="0.3">
      <c r="F9048" s="1"/>
    </row>
    <row r="9049" spans="6:14" x14ac:dyDescent="0.3">
      <c r="F9049" s="1"/>
    </row>
    <row r="9050" spans="6:14" x14ac:dyDescent="0.3">
      <c r="F9050" s="1"/>
    </row>
    <row r="9052" spans="6:14" x14ac:dyDescent="0.3">
      <c r="F9052" s="1"/>
    </row>
    <row r="9053" spans="6:14" x14ac:dyDescent="0.3">
      <c r="F9053" s="1"/>
    </row>
    <row r="9054" spans="6:14" x14ac:dyDescent="0.3">
      <c r="F9054" s="1"/>
    </row>
    <row r="9055" spans="6:14" x14ac:dyDescent="0.3">
      <c r="F9055" s="1"/>
    </row>
    <row r="9056" spans="6:14" x14ac:dyDescent="0.3">
      <c r="F9056" s="1"/>
    </row>
    <row r="9057" spans="6:15" x14ac:dyDescent="0.3">
      <c r="F9057" s="1"/>
    </row>
    <row r="9058" spans="6:15" x14ac:dyDescent="0.3">
      <c r="L9058" s="1"/>
      <c r="N9058" s="1"/>
      <c r="O9058" s="1"/>
    </row>
    <row r="9059" spans="6:15" x14ac:dyDescent="0.3">
      <c r="L9059" s="1"/>
      <c r="N9059" s="1"/>
      <c r="O9059" s="1"/>
    </row>
    <row r="9061" spans="6:15" x14ac:dyDescent="0.3">
      <c r="M9061" s="1"/>
      <c r="O9061" s="1"/>
    </row>
    <row r="9062" spans="6:15" x14ac:dyDescent="0.3">
      <c r="F9062" s="1"/>
    </row>
    <row r="9063" spans="6:15" x14ac:dyDescent="0.3">
      <c r="F9063" s="1"/>
    </row>
    <row r="9064" spans="6:15" x14ac:dyDescent="0.3">
      <c r="F9064" s="1"/>
    </row>
    <row r="9065" spans="6:15" x14ac:dyDescent="0.3">
      <c r="F9065" s="1"/>
      <c r="L9065" s="1"/>
      <c r="M9065" s="1"/>
      <c r="N9065" s="1"/>
    </row>
    <row r="9066" spans="6:15" x14ac:dyDescent="0.3">
      <c r="F9066" s="1"/>
    </row>
    <row r="9067" spans="6:15" x14ac:dyDescent="0.3">
      <c r="F9067" s="1"/>
      <c r="L9067" s="1"/>
      <c r="N9067" s="1"/>
    </row>
    <row r="9068" spans="6:15" x14ac:dyDescent="0.3">
      <c r="F9068" s="1"/>
      <c r="L9068" s="1"/>
      <c r="M9068" s="1"/>
    </row>
    <row r="9069" spans="6:15" x14ac:dyDescent="0.3">
      <c r="F9069" s="1"/>
    </row>
    <row r="9070" spans="6:15" x14ac:dyDescent="0.3">
      <c r="F9070" s="1"/>
    </row>
    <row r="9071" spans="6:15" x14ac:dyDescent="0.3">
      <c r="F9071" s="1"/>
      <c r="L9071" s="1"/>
      <c r="N9071" s="1"/>
    </row>
    <row r="9072" spans="6:15" x14ac:dyDescent="0.3">
      <c r="F9072" s="1"/>
    </row>
    <row r="9073" spans="6:15" x14ac:dyDescent="0.3">
      <c r="F9073" s="1"/>
    </row>
    <row r="9075" spans="6:15" x14ac:dyDescent="0.3">
      <c r="F9075" s="1"/>
    </row>
    <row r="9076" spans="6:15" x14ac:dyDescent="0.3">
      <c r="F9076" s="1"/>
    </row>
    <row r="9077" spans="6:15" x14ac:dyDescent="0.3">
      <c r="F9077" s="1"/>
      <c r="M9077" s="1"/>
    </row>
    <row r="9078" spans="6:15" x14ac:dyDescent="0.3">
      <c r="F9078" s="1"/>
    </row>
    <row r="9079" spans="6:15" x14ac:dyDescent="0.3">
      <c r="F9079" s="1"/>
    </row>
    <row r="9080" spans="6:15" x14ac:dyDescent="0.3">
      <c r="F9080" s="1"/>
    </row>
    <row r="9082" spans="6:15" x14ac:dyDescent="0.3">
      <c r="F9082" s="1"/>
      <c r="L9082" s="1"/>
    </row>
    <row r="9083" spans="6:15" x14ac:dyDescent="0.3">
      <c r="F9083" s="1"/>
    </row>
    <row r="9084" spans="6:15" x14ac:dyDescent="0.3">
      <c r="F9084" s="1"/>
      <c r="N9084" s="1"/>
    </row>
    <row r="9085" spans="6:15" x14ac:dyDescent="0.3">
      <c r="F9085" s="1"/>
    </row>
    <row r="9086" spans="6:15" x14ac:dyDescent="0.3">
      <c r="N9086" s="1"/>
      <c r="O9086" s="1"/>
    </row>
    <row r="9087" spans="6:15" x14ac:dyDescent="0.3">
      <c r="F9087" s="1"/>
    </row>
    <row r="9088" spans="6:15" x14ac:dyDescent="0.3">
      <c r="F9088" s="1"/>
    </row>
    <row r="9089" spans="6:15" x14ac:dyDescent="0.3">
      <c r="F9089" s="1"/>
    </row>
    <row r="9090" spans="6:15" x14ac:dyDescent="0.3">
      <c r="F9090" s="1"/>
    </row>
    <row r="9091" spans="6:15" x14ac:dyDescent="0.3">
      <c r="F9091" s="1"/>
    </row>
    <row r="9092" spans="6:15" x14ac:dyDescent="0.3">
      <c r="F9092" s="1"/>
    </row>
    <row r="9093" spans="6:15" x14ac:dyDescent="0.3">
      <c r="F9093" s="1"/>
    </row>
    <row r="9094" spans="6:15" x14ac:dyDescent="0.3">
      <c r="F9094" s="1"/>
      <c r="M9094" s="1"/>
      <c r="O9094" s="1"/>
    </row>
    <row r="9095" spans="6:15" x14ac:dyDescent="0.3">
      <c r="F9095" s="1"/>
    </row>
    <row r="9096" spans="6:15" x14ac:dyDescent="0.3">
      <c r="F9096" s="1"/>
    </row>
    <row r="9097" spans="6:15" x14ac:dyDescent="0.3">
      <c r="F9097" s="1"/>
      <c r="L9097" s="1"/>
      <c r="M9097" s="1"/>
    </row>
    <row r="9098" spans="6:15" x14ac:dyDescent="0.3">
      <c r="F9098" s="1"/>
    </row>
    <row r="9099" spans="6:15" x14ac:dyDescent="0.3">
      <c r="F9099" s="1"/>
    </row>
    <row r="9101" spans="6:15" x14ac:dyDescent="0.3">
      <c r="F9101" s="1"/>
    </row>
    <row r="9102" spans="6:15" x14ac:dyDescent="0.3">
      <c r="F9102" s="1"/>
    </row>
    <row r="9103" spans="6:15" x14ac:dyDescent="0.3">
      <c r="F9103" s="1"/>
    </row>
    <row r="9104" spans="6:15" x14ac:dyDescent="0.3">
      <c r="F9104" s="1"/>
    </row>
    <row r="9105" spans="6:14" x14ac:dyDescent="0.3">
      <c r="F9105" s="1"/>
    </row>
    <row r="9106" spans="6:14" x14ac:dyDescent="0.3">
      <c r="F9106" s="1"/>
    </row>
    <row r="9107" spans="6:14" x14ac:dyDescent="0.3">
      <c r="F9107" s="1"/>
      <c r="N9107" s="1"/>
    </row>
    <row r="9108" spans="6:14" x14ac:dyDescent="0.3">
      <c r="F9108" s="1"/>
    </row>
    <row r="9109" spans="6:14" x14ac:dyDescent="0.3">
      <c r="F9109" s="1"/>
    </row>
    <row r="9110" spans="6:14" x14ac:dyDescent="0.3">
      <c r="F9110" s="1"/>
    </row>
    <row r="9111" spans="6:14" x14ac:dyDescent="0.3">
      <c r="F9111" s="1"/>
    </row>
    <row r="9112" spans="6:14" x14ac:dyDescent="0.3">
      <c r="F9112" s="1"/>
    </row>
    <row r="9113" spans="6:14" x14ac:dyDescent="0.3">
      <c r="F9113" s="1"/>
    </row>
    <row r="9114" spans="6:14" x14ac:dyDescent="0.3">
      <c r="F9114" s="1"/>
    </row>
    <row r="9115" spans="6:14" x14ac:dyDescent="0.3">
      <c r="F9115" s="1"/>
    </row>
    <row r="9116" spans="6:14" x14ac:dyDescent="0.3">
      <c r="F9116" s="1"/>
    </row>
    <row r="9117" spans="6:14" x14ac:dyDescent="0.3">
      <c r="F9117" s="1"/>
    </row>
    <row r="9119" spans="6:14" x14ac:dyDescent="0.3">
      <c r="F9119" s="1"/>
      <c r="N9119" s="1"/>
    </row>
    <row r="9120" spans="6:14" x14ac:dyDescent="0.3">
      <c r="F9120" s="1"/>
    </row>
    <row r="9121" spans="6:15" x14ac:dyDescent="0.3">
      <c r="F9121" s="1"/>
    </row>
    <row r="9122" spans="6:15" x14ac:dyDescent="0.3">
      <c r="F9122" s="1"/>
    </row>
    <row r="9123" spans="6:15" x14ac:dyDescent="0.3">
      <c r="F9123" s="1"/>
    </row>
    <row r="9124" spans="6:15" x14ac:dyDescent="0.3">
      <c r="L9124" s="1"/>
      <c r="M9124" s="1"/>
      <c r="O9124" s="1"/>
    </row>
    <row r="9125" spans="6:15" x14ac:dyDescent="0.3">
      <c r="F9125" s="1"/>
    </row>
    <row r="9127" spans="6:15" x14ac:dyDescent="0.3">
      <c r="F9127" s="1"/>
    </row>
    <row r="9128" spans="6:15" x14ac:dyDescent="0.3">
      <c r="F9128" s="1"/>
    </row>
    <row r="9129" spans="6:15" x14ac:dyDescent="0.3">
      <c r="F9129" s="1"/>
      <c r="M9129" s="1"/>
    </row>
    <row r="9130" spans="6:15" x14ac:dyDescent="0.3">
      <c r="F9130" s="1"/>
    </row>
    <row r="9131" spans="6:15" x14ac:dyDescent="0.3">
      <c r="L9131" s="1"/>
      <c r="O9131" s="1"/>
    </row>
    <row r="9132" spans="6:15" x14ac:dyDescent="0.3">
      <c r="F9132" s="1"/>
    </row>
    <row r="9133" spans="6:15" x14ac:dyDescent="0.3">
      <c r="L9133" s="1"/>
    </row>
    <row r="9134" spans="6:15" x14ac:dyDescent="0.3">
      <c r="L9134" s="1"/>
      <c r="N9134" s="1"/>
    </row>
    <row r="9135" spans="6:15" x14ac:dyDescent="0.3">
      <c r="F9135" s="1"/>
    </row>
    <row r="9136" spans="6:15" x14ac:dyDescent="0.3">
      <c r="F9136" s="1"/>
    </row>
    <row r="9137" spans="6:15" x14ac:dyDescent="0.3">
      <c r="F9137" s="1"/>
    </row>
    <row r="9138" spans="6:15" x14ac:dyDescent="0.3">
      <c r="F9138" s="1"/>
    </row>
    <row r="9139" spans="6:15" x14ac:dyDescent="0.3">
      <c r="F9139" s="1"/>
    </row>
    <row r="9140" spans="6:15" x14ac:dyDescent="0.3">
      <c r="F9140" s="1"/>
    </row>
    <row r="9141" spans="6:15" x14ac:dyDescent="0.3">
      <c r="F9141" s="1"/>
    </row>
    <row r="9142" spans="6:15" x14ac:dyDescent="0.3">
      <c r="F9142" s="1"/>
    </row>
    <row r="9143" spans="6:15" x14ac:dyDescent="0.3">
      <c r="F9143" s="1"/>
    </row>
    <row r="9144" spans="6:15" x14ac:dyDescent="0.3">
      <c r="F9144" s="1"/>
    </row>
    <row r="9145" spans="6:15" x14ac:dyDescent="0.3">
      <c r="F9145" s="1"/>
    </row>
    <row r="9146" spans="6:15" x14ac:dyDescent="0.3">
      <c r="F9146" s="1"/>
    </row>
    <row r="9147" spans="6:15" x14ac:dyDescent="0.3">
      <c r="F9147" s="1"/>
    </row>
    <row r="9148" spans="6:15" x14ac:dyDescent="0.3">
      <c r="L9148" s="1"/>
      <c r="M9148" s="1"/>
      <c r="O9148" s="1"/>
    </row>
    <row r="9150" spans="6:15" x14ac:dyDescent="0.3">
      <c r="F9150" s="1"/>
      <c r="N9150" s="1"/>
    </row>
    <row r="9151" spans="6:15" x14ac:dyDescent="0.3">
      <c r="F9151" s="1"/>
    </row>
    <row r="9152" spans="6:15" x14ac:dyDescent="0.3">
      <c r="F9152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13" x14ac:dyDescent="0.3">
      <c r="F9169" s="1"/>
    </row>
    <row r="9170" spans="6:13" x14ac:dyDescent="0.3">
      <c r="M9170" s="1"/>
    </row>
    <row r="9171" spans="6:13" x14ac:dyDescent="0.3">
      <c r="F9171" s="1"/>
    </row>
    <row r="9172" spans="6:13" x14ac:dyDescent="0.3">
      <c r="F9172" s="1"/>
    </row>
    <row r="9173" spans="6:13" x14ac:dyDescent="0.3">
      <c r="F9173" s="1"/>
    </row>
    <row r="9174" spans="6:13" x14ac:dyDescent="0.3">
      <c r="L9174" s="1"/>
    </row>
    <row r="9175" spans="6:13" x14ac:dyDescent="0.3">
      <c r="F9175" s="1"/>
    </row>
    <row r="9176" spans="6:13" x14ac:dyDescent="0.3">
      <c r="F9176" s="1"/>
    </row>
    <row r="9177" spans="6:13" x14ac:dyDescent="0.3">
      <c r="F9177" s="1"/>
    </row>
    <row r="9178" spans="6:13" x14ac:dyDescent="0.3">
      <c r="F9178" s="1"/>
      <c r="L9178" s="1"/>
    </row>
    <row r="9180" spans="6:13" x14ac:dyDescent="0.3">
      <c r="F9180" s="1"/>
    </row>
    <row r="9182" spans="6:13" x14ac:dyDescent="0.3">
      <c r="F9182" s="1"/>
    </row>
    <row r="9183" spans="6:13" x14ac:dyDescent="0.3">
      <c r="F9183" s="1"/>
    </row>
    <row r="9184" spans="6:13" x14ac:dyDescent="0.3">
      <c r="F9184" s="1"/>
    </row>
    <row r="9185" spans="6:15" x14ac:dyDescent="0.3">
      <c r="F9185" s="1"/>
    </row>
    <row r="9186" spans="6:15" x14ac:dyDescent="0.3">
      <c r="F9186" s="1"/>
    </row>
    <row r="9187" spans="6:15" x14ac:dyDescent="0.3">
      <c r="F9187" s="1"/>
    </row>
    <row r="9188" spans="6:15" x14ac:dyDescent="0.3">
      <c r="F9188" s="1"/>
      <c r="N9188" s="1"/>
    </row>
    <row r="9189" spans="6:15" x14ac:dyDescent="0.3">
      <c r="F9189" s="1"/>
    </row>
    <row r="9190" spans="6:15" x14ac:dyDescent="0.3">
      <c r="F9190" s="1"/>
    </row>
    <row r="9191" spans="6:15" x14ac:dyDescent="0.3">
      <c r="F9191" s="1"/>
    </row>
    <row r="9192" spans="6:15" x14ac:dyDescent="0.3">
      <c r="F9192" s="1"/>
    </row>
    <row r="9193" spans="6:15" x14ac:dyDescent="0.3">
      <c r="F9193" s="1"/>
    </row>
    <row r="9194" spans="6:15" x14ac:dyDescent="0.3">
      <c r="F9194" s="1"/>
    </row>
    <row r="9195" spans="6:15" x14ac:dyDescent="0.3">
      <c r="F9195" s="1"/>
      <c r="L9195" s="1"/>
      <c r="M9195" s="1"/>
      <c r="N9195" s="1"/>
      <c r="O9195" s="1"/>
    </row>
    <row r="9197" spans="6:15" x14ac:dyDescent="0.3">
      <c r="F9197" s="1"/>
      <c r="L9197" s="1"/>
    </row>
    <row r="9198" spans="6:15" x14ac:dyDescent="0.3">
      <c r="F9198" s="1"/>
    </row>
    <row r="9200" spans="6:15" x14ac:dyDescent="0.3">
      <c r="F9200" s="1"/>
    </row>
    <row r="9201" spans="6:15" x14ac:dyDescent="0.3">
      <c r="F9201" s="1"/>
    </row>
    <row r="9202" spans="6:15" x14ac:dyDescent="0.3">
      <c r="F9202" s="1"/>
      <c r="L9202" s="1"/>
      <c r="O9202" s="1"/>
    </row>
    <row r="9204" spans="6:15" x14ac:dyDescent="0.3">
      <c r="F9204" s="1"/>
    </row>
    <row r="9205" spans="6:15" x14ac:dyDescent="0.3">
      <c r="F9205" s="1"/>
    </row>
    <row r="9206" spans="6:15" x14ac:dyDescent="0.3">
      <c r="F9206" s="1"/>
    </row>
    <row r="9207" spans="6:15" x14ac:dyDescent="0.3">
      <c r="F9207" s="1"/>
    </row>
    <row r="9209" spans="6:15" x14ac:dyDescent="0.3">
      <c r="F9209" s="1"/>
    </row>
    <row r="9210" spans="6:15" x14ac:dyDescent="0.3">
      <c r="F9210" s="1"/>
    </row>
    <row r="9211" spans="6:15" x14ac:dyDescent="0.3">
      <c r="F9211" s="1"/>
    </row>
    <row r="9212" spans="6:15" x14ac:dyDescent="0.3">
      <c r="F9212" s="1"/>
      <c r="L9212" s="1"/>
      <c r="N9212" s="1"/>
    </row>
    <row r="9213" spans="6:15" x14ac:dyDescent="0.3">
      <c r="F9213" s="1"/>
    </row>
    <row r="9214" spans="6:15" x14ac:dyDescent="0.3">
      <c r="F9214" s="1"/>
    </row>
    <row r="9215" spans="6:15" x14ac:dyDescent="0.3">
      <c r="F9215" s="1"/>
    </row>
    <row r="9216" spans="6:15" x14ac:dyDescent="0.3">
      <c r="F9216" s="1"/>
    </row>
    <row r="9217" spans="6:13" x14ac:dyDescent="0.3">
      <c r="F9217" s="1"/>
    </row>
    <row r="9219" spans="6:13" x14ac:dyDescent="0.3">
      <c r="F9219" s="1"/>
    </row>
    <row r="9220" spans="6:13" x14ac:dyDescent="0.3">
      <c r="F9220" s="1"/>
      <c r="M9220" s="1"/>
    </row>
    <row r="9221" spans="6:13" x14ac:dyDescent="0.3">
      <c r="F9221" s="1"/>
    </row>
    <row r="9222" spans="6:13" x14ac:dyDescent="0.3">
      <c r="F9222" s="1"/>
    </row>
    <row r="9223" spans="6:13" x14ac:dyDescent="0.3">
      <c r="F9223" s="1"/>
    </row>
    <row r="9224" spans="6:13" x14ac:dyDescent="0.3">
      <c r="F9224" s="1"/>
    </row>
    <row r="9225" spans="6:13" x14ac:dyDescent="0.3">
      <c r="F9225" s="1"/>
    </row>
    <row r="9226" spans="6:13" x14ac:dyDescent="0.3">
      <c r="F9226" s="1"/>
    </row>
    <row r="9227" spans="6:13" x14ac:dyDescent="0.3">
      <c r="F9227" s="1"/>
    </row>
    <row r="9228" spans="6:13" x14ac:dyDescent="0.3">
      <c r="F9228" s="1"/>
    </row>
    <row r="9229" spans="6:13" x14ac:dyDescent="0.3">
      <c r="F9229" s="1"/>
    </row>
    <row r="9230" spans="6:13" x14ac:dyDescent="0.3">
      <c r="F9230" s="1"/>
    </row>
    <row r="9231" spans="6:13" x14ac:dyDescent="0.3">
      <c r="F9231" s="1"/>
    </row>
    <row r="9232" spans="6:13" x14ac:dyDescent="0.3">
      <c r="F9232" s="1"/>
    </row>
    <row r="9233" spans="6:14" x14ac:dyDescent="0.3">
      <c r="F9233" s="1"/>
    </row>
    <row r="9234" spans="6:14" x14ac:dyDescent="0.3">
      <c r="M9234" s="1"/>
    </row>
    <row r="9235" spans="6:14" x14ac:dyDescent="0.3">
      <c r="F9235" s="1"/>
    </row>
    <row r="9236" spans="6:14" x14ac:dyDescent="0.3">
      <c r="F9236" s="1"/>
    </row>
    <row r="9238" spans="6:14" x14ac:dyDescent="0.3">
      <c r="F9238" s="1"/>
    </row>
    <row r="9239" spans="6:14" x14ac:dyDescent="0.3">
      <c r="F9239" s="1"/>
    </row>
    <row r="9240" spans="6:14" x14ac:dyDescent="0.3">
      <c r="F9240" s="1"/>
    </row>
    <row r="9241" spans="6:14" x14ac:dyDescent="0.3">
      <c r="F9241" s="1"/>
    </row>
    <row r="9242" spans="6:14" x14ac:dyDescent="0.3">
      <c r="F9242" s="1"/>
    </row>
    <row r="9243" spans="6:14" x14ac:dyDescent="0.3">
      <c r="F9243" s="1"/>
    </row>
    <row r="9244" spans="6:14" x14ac:dyDescent="0.3">
      <c r="F9244" s="1"/>
    </row>
    <row r="9245" spans="6:14" x14ac:dyDescent="0.3">
      <c r="F9245" s="1"/>
    </row>
    <row r="9246" spans="6:14" x14ac:dyDescent="0.3">
      <c r="F9246" s="1"/>
    </row>
    <row r="9248" spans="6:14" x14ac:dyDescent="0.3">
      <c r="F9248" s="1"/>
      <c r="N9248" s="1"/>
    </row>
    <row r="9250" spans="6:14" x14ac:dyDescent="0.3">
      <c r="F9250" s="1"/>
    </row>
    <row r="9251" spans="6:14" x14ac:dyDescent="0.3">
      <c r="F9251" s="1"/>
    </row>
    <row r="9252" spans="6:14" x14ac:dyDescent="0.3">
      <c r="F9252" s="1"/>
    </row>
    <row r="9253" spans="6:14" x14ac:dyDescent="0.3">
      <c r="F9253" s="1"/>
    </row>
    <row r="9254" spans="6:14" x14ac:dyDescent="0.3">
      <c r="F9254" s="1"/>
    </row>
    <row r="9255" spans="6:14" x14ac:dyDescent="0.3">
      <c r="F9255" s="1"/>
    </row>
    <row r="9256" spans="6:14" x14ac:dyDescent="0.3">
      <c r="F9256" s="1"/>
    </row>
    <row r="9257" spans="6:14" x14ac:dyDescent="0.3">
      <c r="F9257" s="1"/>
      <c r="L9257" s="1"/>
    </row>
    <row r="9258" spans="6:14" x14ac:dyDescent="0.3">
      <c r="F9258" s="1"/>
    </row>
    <row r="9260" spans="6:14" x14ac:dyDescent="0.3">
      <c r="F9260" s="1"/>
    </row>
    <row r="9261" spans="6:14" x14ac:dyDescent="0.3">
      <c r="F9261" s="1"/>
    </row>
    <row r="9262" spans="6:14" x14ac:dyDescent="0.3">
      <c r="F9262" s="1"/>
    </row>
    <row r="9263" spans="6:14" x14ac:dyDescent="0.3">
      <c r="F9263" s="1"/>
      <c r="N9263" s="1"/>
    </row>
    <row r="9264" spans="6:14" x14ac:dyDescent="0.3">
      <c r="F9264" s="1"/>
    </row>
    <row r="9265" spans="6:15" x14ac:dyDescent="0.3">
      <c r="F9265" s="1"/>
    </row>
    <row r="9266" spans="6:15" x14ac:dyDescent="0.3">
      <c r="F9266" s="1"/>
    </row>
    <row r="9267" spans="6:15" x14ac:dyDescent="0.3">
      <c r="F9267" s="1"/>
    </row>
    <row r="9268" spans="6:15" x14ac:dyDescent="0.3">
      <c r="F9268" s="1"/>
    </row>
    <row r="9269" spans="6:15" x14ac:dyDescent="0.3">
      <c r="F9269" s="1"/>
    </row>
    <row r="9270" spans="6:15" x14ac:dyDescent="0.3">
      <c r="F9270" s="1"/>
    </row>
    <row r="9271" spans="6:15" x14ac:dyDescent="0.3">
      <c r="F9271" s="1"/>
    </row>
    <row r="9272" spans="6:15" x14ac:dyDescent="0.3">
      <c r="F9272" s="1"/>
    </row>
    <row r="9273" spans="6:15" x14ac:dyDescent="0.3">
      <c r="M9273" s="1"/>
      <c r="N9273" s="1"/>
      <c r="O9273" s="1"/>
    </row>
    <row r="9274" spans="6:15" x14ac:dyDescent="0.3">
      <c r="F9274" s="1"/>
    </row>
    <row r="9275" spans="6:15" x14ac:dyDescent="0.3">
      <c r="F9275" s="1"/>
    </row>
    <row r="9277" spans="6:15" x14ac:dyDescent="0.3">
      <c r="F9277" s="1"/>
    </row>
    <row r="9278" spans="6:15" x14ac:dyDescent="0.3">
      <c r="F9278" s="1"/>
    </row>
    <row r="9279" spans="6:15" x14ac:dyDescent="0.3">
      <c r="F9279" s="1"/>
    </row>
    <row r="9280" spans="6:15" x14ac:dyDescent="0.3">
      <c r="L9280" s="1"/>
      <c r="M9280" s="1"/>
      <c r="N9280" s="1"/>
    </row>
    <row r="9281" spans="6:15" x14ac:dyDescent="0.3">
      <c r="F9281" s="1"/>
    </row>
    <row r="9282" spans="6:15" x14ac:dyDescent="0.3">
      <c r="F9282" s="1"/>
    </row>
    <row r="9283" spans="6:15" x14ac:dyDescent="0.3">
      <c r="F9283" s="1"/>
    </row>
    <row r="9284" spans="6:15" x14ac:dyDescent="0.3">
      <c r="L9284" s="1"/>
      <c r="M9284" s="1"/>
      <c r="N9284" s="1"/>
      <c r="O9284" s="1"/>
    </row>
    <row r="9285" spans="6:15" x14ac:dyDescent="0.3">
      <c r="F9285" s="1"/>
    </row>
    <row r="9286" spans="6:15" x14ac:dyDescent="0.3">
      <c r="F9286" s="1"/>
    </row>
    <row r="9287" spans="6:15" x14ac:dyDescent="0.3">
      <c r="F9287" s="1"/>
    </row>
    <row r="9288" spans="6:15" x14ac:dyDescent="0.3">
      <c r="F9288" s="1"/>
    </row>
    <row r="9289" spans="6:15" x14ac:dyDescent="0.3">
      <c r="F9289" s="1"/>
    </row>
    <row r="9290" spans="6:15" x14ac:dyDescent="0.3">
      <c r="F9290" s="1"/>
    </row>
    <row r="9291" spans="6:15" x14ac:dyDescent="0.3">
      <c r="F9291" s="1"/>
    </row>
    <row r="9292" spans="6:15" x14ac:dyDescent="0.3">
      <c r="F9292" s="1"/>
    </row>
    <row r="9293" spans="6:15" x14ac:dyDescent="0.3">
      <c r="F9293" s="1"/>
    </row>
    <row r="9294" spans="6:15" x14ac:dyDescent="0.3">
      <c r="F9294" s="1"/>
    </row>
    <row r="9295" spans="6:15" x14ac:dyDescent="0.3">
      <c r="F9295" s="1"/>
    </row>
    <row r="9296" spans="6:15" x14ac:dyDescent="0.3">
      <c r="F9296" s="1"/>
    </row>
    <row r="9297" spans="6:15" x14ac:dyDescent="0.3">
      <c r="F9297" s="1"/>
    </row>
    <row r="9298" spans="6:15" x14ac:dyDescent="0.3">
      <c r="F9298" s="1"/>
    </row>
    <row r="9299" spans="6:15" x14ac:dyDescent="0.3">
      <c r="F9299" s="1"/>
    </row>
    <row r="9300" spans="6:15" x14ac:dyDescent="0.3">
      <c r="F9300" s="1"/>
    </row>
    <row r="9301" spans="6:15" x14ac:dyDescent="0.3">
      <c r="F9301" s="1"/>
    </row>
    <row r="9302" spans="6:15" x14ac:dyDescent="0.3">
      <c r="F9302" s="1"/>
    </row>
    <row r="9303" spans="6:15" x14ac:dyDescent="0.3">
      <c r="F9303" s="1"/>
    </row>
    <row r="9304" spans="6:15" x14ac:dyDescent="0.3">
      <c r="F9304" s="1"/>
    </row>
    <row r="9305" spans="6:15" x14ac:dyDescent="0.3">
      <c r="F9305" s="1"/>
    </row>
    <row r="9306" spans="6:15" x14ac:dyDescent="0.3">
      <c r="F9306" s="1"/>
    </row>
    <row r="9307" spans="6:15" x14ac:dyDescent="0.3">
      <c r="F9307" s="1"/>
    </row>
    <row r="9308" spans="6:15" x14ac:dyDescent="0.3">
      <c r="M9308" s="1"/>
      <c r="O9308" s="1"/>
    </row>
    <row r="9309" spans="6:15" x14ac:dyDescent="0.3">
      <c r="F9309" s="1"/>
    </row>
    <row r="9310" spans="6:15" x14ac:dyDescent="0.3">
      <c r="F9310" s="1"/>
    </row>
    <row r="9311" spans="6:15" x14ac:dyDescent="0.3">
      <c r="F9311" s="1"/>
    </row>
    <row r="9312" spans="6:15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12" x14ac:dyDescent="0.3">
      <c r="F9329" s="1"/>
    </row>
    <row r="9330" spans="6:12" x14ac:dyDescent="0.3">
      <c r="F9330" s="1"/>
    </row>
    <row r="9331" spans="6:12" x14ac:dyDescent="0.3">
      <c r="F9331" s="1"/>
    </row>
    <row r="9332" spans="6:12" x14ac:dyDescent="0.3">
      <c r="F9332" s="1"/>
    </row>
    <row r="9333" spans="6:12" x14ac:dyDescent="0.3">
      <c r="F9333" s="1"/>
    </row>
    <row r="9334" spans="6:12" x14ac:dyDescent="0.3">
      <c r="F9334" s="1"/>
    </row>
    <row r="9335" spans="6:12" x14ac:dyDescent="0.3">
      <c r="F9335" s="1"/>
    </row>
    <row r="9336" spans="6:12" x14ac:dyDescent="0.3">
      <c r="F9336" s="1"/>
    </row>
    <row r="9337" spans="6:12" x14ac:dyDescent="0.3">
      <c r="L9337" s="1"/>
    </row>
    <row r="9338" spans="6:12" x14ac:dyDescent="0.3">
      <c r="F9338" s="1"/>
    </row>
    <row r="9340" spans="6:12" x14ac:dyDescent="0.3">
      <c r="F9340" s="1"/>
    </row>
    <row r="9341" spans="6:12" x14ac:dyDescent="0.3">
      <c r="F9341" s="1"/>
    </row>
    <row r="9342" spans="6:12" x14ac:dyDescent="0.3">
      <c r="F9342" s="1"/>
    </row>
    <row r="9343" spans="6:12" x14ac:dyDescent="0.3">
      <c r="F9343" s="1"/>
    </row>
    <row r="9344" spans="6:12" x14ac:dyDescent="0.3">
      <c r="F9344" s="1"/>
    </row>
    <row r="9345" spans="6:14" x14ac:dyDescent="0.3">
      <c r="F9345" s="1"/>
    </row>
    <row r="9346" spans="6:14" x14ac:dyDescent="0.3">
      <c r="F9346" s="1"/>
    </row>
    <row r="9347" spans="6:14" x14ac:dyDescent="0.3">
      <c r="L9347" s="1"/>
      <c r="M9347" s="1"/>
    </row>
    <row r="9348" spans="6:14" x14ac:dyDescent="0.3">
      <c r="F9348" s="1"/>
    </row>
    <row r="9349" spans="6:14" x14ac:dyDescent="0.3">
      <c r="F9349" s="1"/>
    </row>
    <row r="9350" spans="6:14" x14ac:dyDescent="0.3">
      <c r="F9350" s="1"/>
    </row>
    <row r="9351" spans="6:14" x14ac:dyDescent="0.3">
      <c r="F9351" s="1"/>
    </row>
    <row r="9352" spans="6:14" x14ac:dyDescent="0.3">
      <c r="F9352" s="1"/>
    </row>
    <row r="9353" spans="6:14" x14ac:dyDescent="0.3">
      <c r="F9353" s="1"/>
      <c r="L9353" s="1"/>
      <c r="M9353" s="1"/>
      <c r="N9353" s="1"/>
    </row>
    <row r="9355" spans="6:14" x14ac:dyDescent="0.3">
      <c r="F9355" s="1"/>
    </row>
    <row r="9356" spans="6:14" x14ac:dyDescent="0.3">
      <c r="F9356" s="1"/>
    </row>
    <row r="9357" spans="6:14" x14ac:dyDescent="0.3">
      <c r="F9357" s="1"/>
    </row>
    <row r="9358" spans="6:14" x14ac:dyDescent="0.3">
      <c r="F9358" s="1"/>
      <c r="L9358" s="1"/>
    </row>
    <row r="9359" spans="6:14" x14ac:dyDescent="0.3">
      <c r="F9359" s="1"/>
    </row>
    <row r="9360" spans="6:14" x14ac:dyDescent="0.3">
      <c r="F9360" s="1"/>
    </row>
    <row r="9362" spans="6:14" x14ac:dyDescent="0.3">
      <c r="F9362" s="1"/>
    </row>
    <row r="9363" spans="6:14" x14ac:dyDescent="0.3">
      <c r="F9363" s="1"/>
    </row>
    <row r="9364" spans="6:14" x14ac:dyDescent="0.3">
      <c r="F9364" s="1"/>
    </row>
    <row r="9366" spans="6:14" x14ac:dyDescent="0.3">
      <c r="F9366" s="1"/>
    </row>
    <row r="9367" spans="6:14" x14ac:dyDescent="0.3">
      <c r="F9367" s="1"/>
    </row>
    <row r="9368" spans="6:14" x14ac:dyDescent="0.3">
      <c r="F9368" s="1"/>
      <c r="L9368" s="1"/>
    </row>
    <row r="9369" spans="6:14" x14ac:dyDescent="0.3">
      <c r="F9369" s="1"/>
    </row>
    <row r="9370" spans="6:14" x14ac:dyDescent="0.3">
      <c r="F9370" s="1"/>
    </row>
    <row r="9371" spans="6:14" x14ac:dyDescent="0.3">
      <c r="F9371" s="1"/>
    </row>
    <row r="9372" spans="6:14" x14ac:dyDescent="0.3">
      <c r="F9372" s="1"/>
    </row>
    <row r="9373" spans="6:14" x14ac:dyDescent="0.3">
      <c r="F9373" s="1"/>
    </row>
    <row r="9374" spans="6:14" x14ac:dyDescent="0.3">
      <c r="F9374" s="1"/>
      <c r="N9374" s="1"/>
    </row>
    <row r="9375" spans="6:14" x14ac:dyDescent="0.3">
      <c r="F9375" s="1"/>
    </row>
    <row r="9377" spans="6:14" x14ac:dyDescent="0.3">
      <c r="F9377" s="1"/>
    </row>
    <row r="9378" spans="6:14" x14ac:dyDescent="0.3">
      <c r="N9378" s="1"/>
    </row>
    <row r="9380" spans="6:14" x14ac:dyDescent="0.3">
      <c r="F9380" s="1"/>
    </row>
    <row r="9381" spans="6:14" x14ac:dyDescent="0.3">
      <c r="F9381" s="1"/>
    </row>
    <row r="9382" spans="6:14" x14ac:dyDescent="0.3">
      <c r="F9382" s="1"/>
    </row>
    <row r="9383" spans="6:14" x14ac:dyDescent="0.3">
      <c r="F9383" s="1"/>
    </row>
    <row r="9384" spans="6:14" x14ac:dyDescent="0.3">
      <c r="F9384" s="1"/>
    </row>
    <row r="9385" spans="6:14" x14ac:dyDescent="0.3">
      <c r="F9385" s="1"/>
    </row>
    <row r="9386" spans="6:14" x14ac:dyDescent="0.3">
      <c r="F9386" s="1"/>
    </row>
    <row r="9387" spans="6:14" x14ac:dyDescent="0.3">
      <c r="F9387" s="1"/>
    </row>
    <row r="9388" spans="6:14" x14ac:dyDescent="0.3">
      <c r="F9388" s="1"/>
      <c r="L9388" s="1"/>
      <c r="M9388" s="1"/>
    </row>
    <row r="9389" spans="6:14" x14ac:dyDescent="0.3">
      <c r="F9389" s="1"/>
    </row>
    <row r="9390" spans="6:14" x14ac:dyDescent="0.3">
      <c r="F9390" s="1"/>
    </row>
    <row r="9391" spans="6:14" x14ac:dyDescent="0.3">
      <c r="F9391" s="1"/>
    </row>
    <row r="9392" spans="6:14" x14ac:dyDescent="0.3">
      <c r="F9392" s="1"/>
    </row>
    <row r="9393" spans="6:15" x14ac:dyDescent="0.3">
      <c r="F9393" s="1"/>
    </row>
    <row r="9394" spans="6:15" x14ac:dyDescent="0.3">
      <c r="F9394" s="1"/>
      <c r="M9394" s="1"/>
    </row>
    <row r="9395" spans="6:15" x14ac:dyDescent="0.3">
      <c r="F9395" s="1"/>
    </row>
    <row r="9396" spans="6:15" x14ac:dyDescent="0.3">
      <c r="F9396" s="1"/>
      <c r="L9396" s="1"/>
    </row>
    <row r="9397" spans="6:15" x14ac:dyDescent="0.3">
      <c r="F9397" s="1"/>
    </row>
    <row r="9398" spans="6:15" x14ac:dyDescent="0.3">
      <c r="F9398" s="1"/>
    </row>
    <row r="9399" spans="6:15" x14ac:dyDescent="0.3">
      <c r="F9399" s="1"/>
    </row>
    <row r="9400" spans="6:15" x14ac:dyDescent="0.3">
      <c r="F9400" s="1"/>
    </row>
    <row r="9401" spans="6:15" x14ac:dyDescent="0.3">
      <c r="L9401" s="1"/>
      <c r="O9401" s="1"/>
    </row>
    <row r="9402" spans="6:15" x14ac:dyDescent="0.3">
      <c r="F9402" s="1"/>
    </row>
    <row r="9403" spans="6:15" x14ac:dyDescent="0.3">
      <c r="F9403" s="1"/>
    </row>
    <row r="9404" spans="6:15" x14ac:dyDescent="0.3">
      <c r="F9404" s="1"/>
    </row>
    <row r="9405" spans="6:15" x14ac:dyDescent="0.3">
      <c r="F9405" s="1"/>
    </row>
    <row r="9406" spans="6:15" x14ac:dyDescent="0.3">
      <c r="F9406" s="1"/>
      <c r="N9406" s="1"/>
    </row>
    <row r="9407" spans="6:15" x14ac:dyDescent="0.3">
      <c r="F9407" s="1"/>
    </row>
    <row r="9408" spans="6:15" x14ac:dyDescent="0.3">
      <c r="F9408" s="1"/>
    </row>
    <row r="9409" spans="6:14" x14ac:dyDescent="0.3">
      <c r="F9409" s="1"/>
    </row>
    <row r="9410" spans="6:14" x14ac:dyDescent="0.3">
      <c r="F9410" s="1"/>
      <c r="N9410" s="1"/>
    </row>
    <row r="9411" spans="6:14" x14ac:dyDescent="0.3">
      <c r="F9411" s="1"/>
    </row>
    <row r="9412" spans="6:14" x14ac:dyDescent="0.3">
      <c r="M9412" s="1"/>
    </row>
    <row r="9413" spans="6:14" x14ac:dyDescent="0.3">
      <c r="F9413" s="1"/>
    </row>
    <row r="9414" spans="6:14" x14ac:dyDescent="0.3">
      <c r="F9414" s="1"/>
      <c r="L9414" s="1"/>
    </row>
    <row r="9415" spans="6:14" x14ac:dyDescent="0.3">
      <c r="F9415" s="1"/>
    </row>
    <row r="9416" spans="6:14" x14ac:dyDescent="0.3">
      <c r="F9416" s="1"/>
    </row>
    <row r="9417" spans="6:14" x14ac:dyDescent="0.3">
      <c r="N9417" s="1"/>
    </row>
    <row r="9418" spans="6:14" x14ac:dyDescent="0.3">
      <c r="F9418" s="1"/>
    </row>
    <row r="9419" spans="6:14" x14ac:dyDescent="0.3">
      <c r="F9419" s="1"/>
    </row>
    <row r="9420" spans="6:14" x14ac:dyDescent="0.3">
      <c r="F9420" s="1"/>
    </row>
    <row r="9421" spans="6:14" x14ac:dyDescent="0.3">
      <c r="F9421" s="1"/>
    </row>
    <row r="9423" spans="6:14" x14ac:dyDescent="0.3">
      <c r="F9423" s="1"/>
    </row>
    <row r="9425" spans="6:15" x14ac:dyDescent="0.3">
      <c r="F9425" s="1"/>
    </row>
    <row r="9426" spans="6:15" x14ac:dyDescent="0.3">
      <c r="F9426" s="1"/>
    </row>
    <row r="9427" spans="6:15" x14ac:dyDescent="0.3">
      <c r="F9427" s="1"/>
    </row>
    <row r="9428" spans="6:15" x14ac:dyDescent="0.3">
      <c r="F9428" s="1"/>
    </row>
    <row r="9429" spans="6:15" x14ac:dyDescent="0.3">
      <c r="F9429" s="1"/>
    </row>
    <row r="9430" spans="6:15" x14ac:dyDescent="0.3">
      <c r="F9430" s="1"/>
    </row>
    <row r="9431" spans="6:15" x14ac:dyDescent="0.3">
      <c r="F9431" s="1"/>
      <c r="L9431" s="1"/>
      <c r="M9431" s="1"/>
      <c r="N9431" s="1"/>
      <c r="O9431" s="1"/>
    </row>
    <row r="9432" spans="6:15" x14ac:dyDescent="0.3">
      <c r="F9432" s="1"/>
    </row>
    <row r="9433" spans="6:15" x14ac:dyDescent="0.3">
      <c r="F9433" s="1"/>
    </row>
    <row r="9434" spans="6:15" x14ac:dyDescent="0.3">
      <c r="O9434" s="1"/>
    </row>
    <row r="9435" spans="6:15" x14ac:dyDescent="0.3">
      <c r="F9435" s="1"/>
    </row>
    <row r="9436" spans="6:15" x14ac:dyDescent="0.3">
      <c r="F9436" s="1"/>
      <c r="M9436" s="1"/>
    </row>
    <row r="9437" spans="6:15" x14ac:dyDescent="0.3">
      <c r="F9437" s="1"/>
    </row>
    <row r="9438" spans="6:15" x14ac:dyDescent="0.3">
      <c r="F9438" s="1"/>
    </row>
    <row r="9439" spans="6:15" x14ac:dyDescent="0.3">
      <c r="F9439" s="1"/>
    </row>
    <row r="9440" spans="6:15" x14ac:dyDescent="0.3">
      <c r="F9440" s="1"/>
    </row>
    <row r="9442" spans="6:14" x14ac:dyDescent="0.3">
      <c r="F9442" s="1"/>
    </row>
    <row r="9443" spans="6:14" x14ac:dyDescent="0.3">
      <c r="F9443" s="1"/>
    </row>
    <row r="9444" spans="6:14" x14ac:dyDescent="0.3">
      <c r="F9444" s="1"/>
    </row>
    <row r="9445" spans="6:14" x14ac:dyDescent="0.3">
      <c r="F9445" s="1"/>
    </row>
    <row r="9446" spans="6:14" x14ac:dyDescent="0.3">
      <c r="F9446" s="1"/>
    </row>
    <row r="9447" spans="6:14" x14ac:dyDescent="0.3">
      <c r="F9447" s="1"/>
      <c r="N9447" s="1"/>
    </row>
    <row r="9448" spans="6:14" x14ac:dyDescent="0.3">
      <c r="F9448" s="1"/>
    </row>
    <row r="9449" spans="6:14" x14ac:dyDescent="0.3">
      <c r="F9449" s="1"/>
    </row>
    <row r="9450" spans="6:14" x14ac:dyDescent="0.3">
      <c r="F9450" s="1"/>
    </row>
    <row r="9451" spans="6:14" x14ac:dyDescent="0.3">
      <c r="F9451" s="1"/>
    </row>
    <row r="9452" spans="6:14" x14ac:dyDescent="0.3">
      <c r="F9452" s="1"/>
    </row>
    <row r="9453" spans="6:14" x14ac:dyDescent="0.3">
      <c r="F9453" s="1"/>
    </row>
    <row r="9454" spans="6:14" x14ac:dyDescent="0.3">
      <c r="F9454" s="1"/>
    </row>
    <row r="9455" spans="6:14" x14ac:dyDescent="0.3">
      <c r="F9455" s="1"/>
    </row>
    <row r="9456" spans="6:14" x14ac:dyDescent="0.3">
      <c r="F9456" s="1"/>
    </row>
    <row r="9457" spans="6:15" x14ac:dyDescent="0.3">
      <c r="F9457" s="1"/>
    </row>
    <row r="9459" spans="6:15" x14ac:dyDescent="0.3">
      <c r="F9459" s="1"/>
      <c r="L9459" s="1"/>
      <c r="M9459" s="1"/>
      <c r="N9459" s="1"/>
      <c r="O9459" s="1"/>
    </row>
    <row r="9462" spans="6:15" x14ac:dyDescent="0.3">
      <c r="N9462" s="1"/>
    </row>
    <row r="9463" spans="6:15" x14ac:dyDescent="0.3">
      <c r="F9463" s="1"/>
      <c r="N9463" s="1"/>
    </row>
    <row r="9464" spans="6:15" x14ac:dyDescent="0.3">
      <c r="M9464" s="1"/>
    </row>
    <row r="9465" spans="6:15" x14ac:dyDescent="0.3">
      <c r="F9465" s="1"/>
    </row>
    <row r="9466" spans="6:15" x14ac:dyDescent="0.3">
      <c r="F9466" s="1"/>
    </row>
    <row r="9467" spans="6:15" x14ac:dyDescent="0.3">
      <c r="F9467" s="1"/>
    </row>
    <row r="9468" spans="6:15" x14ac:dyDescent="0.3">
      <c r="F9468" s="1"/>
    </row>
    <row r="9469" spans="6:15" x14ac:dyDescent="0.3">
      <c r="F9469" s="1"/>
    </row>
    <row r="9470" spans="6:15" x14ac:dyDescent="0.3">
      <c r="F9470" s="1"/>
    </row>
    <row r="9471" spans="6:15" x14ac:dyDescent="0.3">
      <c r="N9471" s="1"/>
    </row>
    <row r="9472" spans="6:15" x14ac:dyDescent="0.3">
      <c r="F9472" s="1"/>
    </row>
    <row r="9474" spans="6:14" x14ac:dyDescent="0.3">
      <c r="F9474" s="1"/>
    </row>
    <row r="9475" spans="6:14" x14ac:dyDescent="0.3">
      <c r="F9475" s="1"/>
    </row>
    <row r="9476" spans="6:14" x14ac:dyDescent="0.3">
      <c r="F9476" s="1"/>
    </row>
    <row r="9477" spans="6:14" x14ac:dyDescent="0.3">
      <c r="F9477" s="1"/>
    </row>
    <row r="9478" spans="6:14" x14ac:dyDescent="0.3">
      <c r="F9478" s="1"/>
    </row>
    <row r="9480" spans="6:14" x14ac:dyDescent="0.3">
      <c r="F9480" s="1"/>
    </row>
    <row r="9481" spans="6:14" x14ac:dyDescent="0.3">
      <c r="F9481" s="1"/>
    </row>
    <row r="9482" spans="6:14" x14ac:dyDescent="0.3">
      <c r="F9482" s="1"/>
    </row>
    <row r="9484" spans="6:14" x14ac:dyDescent="0.3">
      <c r="F9484" s="1"/>
    </row>
    <row r="9485" spans="6:14" x14ac:dyDescent="0.3">
      <c r="F9485" s="1"/>
    </row>
    <row r="9486" spans="6:14" x14ac:dyDescent="0.3">
      <c r="F9486" s="1"/>
    </row>
    <row r="9487" spans="6:14" x14ac:dyDescent="0.3">
      <c r="F9487" s="1"/>
    </row>
    <row r="9488" spans="6:14" x14ac:dyDescent="0.3">
      <c r="F9488" s="1"/>
      <c r="L9488" s="1"/>
      <c r="N9488" s="1"/>
    </row>
    <row r="9489" spans="6:15" x14ac:dyDescent="0.3">
      <c r="F9489" s="1"/>
    </row>
    <row r="9490" spans="6:15" x14ac:dyDescent="0.3">
      <c r="F9490" s="1"/>
    </row>
    <row r="9491" spans="6:15" x14ac:dyDescent="0.3">
      <c r="F9491" s="1"/>
    </row>
    <row r="9492" spans="6:15" x14ac:dyDescent="0.3">
      <c r="F9492" s="1"/>
    </row>
    <row r="9493" spans="6:15" x14ac:dyDescent="0.3">
      <c r="F9493" s="1"/>
    </row>
    <row r="9494" spans="6:15" x14ac:dyDescent="0.3">
      <c r="F9494" s="1"/>
      <c r="M9494" s="1"/>
    </row>
    <row r="9495" spans="6:15" x14ac:dyDescent="0.3">
      <c r="F9495" s="1"/>
    </row>
    <row r="9496" spans="6:15" x14ac:dyDescent="0.3">
      <c r="F9496" s="1"/>
    </row>
    <row r="9497" spans="6:15" x14ac:dyDescent="0.3">
      <c r="L9497" s="1"/>
      <c r="M9497" s="1"/>
      <c r="N9497" s="1"/>
    </row>
    <row r="9498" spans="6:15" x14ac:dyDescent="0.3">
      <c r="F9498" s="1"/>
    </row>
    <row r="9499" spans="6:15" x14ac:dyDescent="0.3">
      <c r="L9499" s="1"/>
    </row>
    <row r="9500" spans="6:15" x14ac:dyDescent="0.3">
      <c r="M9500" s="1"/>
      <c r="N9500" s="1"/>
      <c r="O9500" s="1"/>
    </row>
    <row r="9501" spans="6:15" x14ac:dyDescent="0.3">
      <c r="F9501" s="1"/>
    </row>
    <row r="9502" spans="6:15" x14ac:dyDescent="0.3">
      <c r="F9502" s="1"/>
    </row>
    <row r="9503" spans="6:15" x14ac:dyDescent="0.3">
      <c r="F9503" s="1"/>
    </row>
    <row r="9504" spans="6:15" x14ac:dyDescent="0.3">
      <c r="F9504" s="1"/>
    </row>
    <row r="9505" spans="6:13" x14ac:dyDescent="0.3">
      <c r="F9505" s="1"/>
    </row>
    <row r="9506" spans="6:13" x14ac:dyDescent="0.3">
      <c r="F9506" s="1"/>
    </row>
    <row r="9507" spans="6:13" x14ac:dyDescent="0.3">
      <c r="F9507" s="1"/>
    </row>
    <row r="9508" spans="6:13" x14ac:dyDescent="0.3">
      <c r="F9508" s="1"/>
    </row>
    <row r="9509" spans="6:13" x14ac:dyDescent="0.3">
      <c r="F9509" s="1"/>
    </row>
    <row r="9510" spans="6:13" x14ac:dyDescent="0.3">
      <c r="F9510" s="1"/>
    </row>
    <row r="9511" spans="6:13" x14ac:dyDescent="0.3">
      <c r="F9511" s="1"/>
    </row>
    <row r="9512" spans="6:13" x14ac:dyDescent="0.3">
      <c r="F9512" s="1"/>
    </row>
    <row r="9513" spans="6:13" x14ac:dyDescent="0.3">
      <c r="F9513" s="1"/>
      <c r="M9513" s="1"/>
    </row>
    <row r="9515" spans="6:13" x14ac:dyDescent="0.3">
      <c r="F9515" s="1"/>
    </row>
    <row r="9516" spans="6:13" x14ac:dyDescent="0.3">
      <c r="F9516" s="1"/>
    </row>
    <row r="9517" spans="6:13" x14ac:dyDescent="0.3">
      <c r="F9517" s="1"/>
    </row>
    <row r="9518" spans="6:13" x14ac:dyDescent="0.3">
      <c r="F9518" s="1"/>
    </row>
    <row r="9519" spans="6:13" x14ac:dyDescent="0.3">
      <c r="F9519" s="1"/>
    </row>
    <row r="9521" spans="6:14" x14ac:dyDescent="0.3">
      <c r="F9521" s="1"/>
    </row>
    <row r="9522" spans="6:14" x14ac:dyDescent="0.3">
      <c r="F9522" s="1"/>
    </row>
    <row r="9523" spans="6:14" x14ac:dyDescent="0.3">
      <c r="F9523" s="1"/>
    </row>
    <row r="9525" spans="6:14" x14ac:dyDescent="0.3">
      <c r="F9525" s="1"/>
    </row>
    <row r="9526" spans="6:14" x14ac:dyDescent="0.3">
      <c r="F9526" s="1"/>
    </row>
    <row r="9527" spans="6:14" x14ac:dyDescent="0.3">
      <c r="F9527" s="1"/>
    </row>
    <row r="9528" spans="6:14" x14ac:dyDescent="0.3">
      <c r="F9528" s="1"/>
    </row>
    <row r="9529" spans="6:14" x14ac:dyDescent="0.3">
      <c r="F9529" s="1"/>
    </row>
    <row r="9530" spans="6:14" x14ac:dyDescent="0.3">
      <c r="F9530" s="1"/>
    </row>
    <row r="9531" spans="6:14" x14ac:dyDescent="0.3">
      <c r="F9531" s="1"/>
      <c r="L9531" s="1"/>
      <c r="N9531" s="1"/>
    </row>
    <row r="9533" spans="6:14" x14ac:dyDescent="0.3">
      <c r="F9533" s="1"/>
    </row>
    <row r="9534" spans="6:14" x14ac:dyDescent="0.3">
      <c r="F9534" s="1"/>
    </row>
    <row r="9535" spans="6:14" x14ac:dyDescent="0.3">
      <c r="F9535" s="1"/>
    </row>
    <row r="9537" spans="6:14" x14ac:dyDescent="0.3">
      <c r="F9537" s="1"/>
    </row>
    <row r="9538" spans="6:14" x14ac:dyDescent="0.3">
      <c r="F9538" s="1"/>
    </row>
    <row r="9541" spans="6:14" x14ac:dyDescent="0.3">
      <c r="F9541" s="1"/>
    </row>
    <row r="9542" spans="6:14" x14ac:dyDescent="0.3">
      <c r="F9542" s="1"/>
    </row>
    <row r="9545" spans="6:14" x14ac:dyDescent="0.3">
      <c r="F9545" s="1"/>
    </row>
    <row r="9546" spans="6:14" x14ac:dyDescent="0.3">
      <c r="F9546" s="1"/>
    </row>
    <row r="9547" spans="6:14" x14ac:dyDescent="0.3">
      <c r="N9547" s="1"/>
    </row>
    <row r="9548" spans="6:14" x14ac:dyDescent="0.3">
      <c r="F9548" s="1"/>
    </row>
    <row r="9549" spans="6:14" x14ac:dyDescent="0.3">
      <c r="M9549" s="1"/>
      <c r="N9549" s="1"/>
    </row>
    <row r="9550" spans="6:14" x14ac:dyDescent="0.3">
      <c r="F9550" s="1"/>
    </row>
    <row r="9551" spans="6:14" x14ac:dyDescent="0.3">
      <c r="F9551" s="1"/>
    </row>
    <row r="9552" spans="6:14" x14ac:dyDescent="0.3">
      <c r="F9552" s="1"/>
    </row>
    <row r="9553" spans="6:15" x14ac:dyDescent="0.3">
      <c r="F9553" s="1"/>
    </row>
    <row r="9554" spans="6:15" x14ac:dyDescent="0.3">
      <c r="F9554" s="1"/>
    </row>
    <row r="9555" spans="6:15" x14ac:dyDescent="0.3">
      <c r="F9555" s="1"/>
    </row>
    <row r="9556" spans="6:15" x14ac:dyDescent="0.3">
      <c r="F9556" s="1"/>
    </row>
    <row r="9557" spans="6:15" x14ac:dyDescent="0.3">
      <c r="F9557" s="1"/>
    </row>
    <row r="9558" spans="6:15" x14ac:dyDescent="0.3">
      <c r="F9558" s="1"/>
    </row>
    <row r="9559" spans="6:15" x14ac:dyDescent="0.3">
      <c r="F9559" s="1"/>
    </row>
    <row r="9560" spans="6:15" x14ac:dyDescent="0.3">
      <c r="F9560" s="1"/>
    </row>
    <row r="9562" spans="6:15" x14ac:dyDescent="0.3">
      <c r="F9562" s="1"/>
    </row>
    <row r="9563" spans="6:15" x14ac:dyDescent="0.3">
      <c r="F9563" s="1"/>
    </row>
    <row r="9564" spans="6:15" x14ac:dyDescent="0.3">
      <c r="F9564" s="1"/>
      <c r="M9564" s="1"/>
      <c r="O9564" s="1"/>
    </row>
    <row r="9565" spans="6:15" x14ac:dyDescent="0.3">
      <c r="F9565" s="1"/>
    </row>
    <row r="9566" spans="6:15" x14ac:dyDescent="0.3">
      <c r="F9566" s="1"/>
    </row>
    <row r="9567" spans="6:15" x14ac:dyDescent="0.3">
      <c r="F9567" s="1"/>
    </row>
    <row r="9568" spans="6:15" x14ac:dyDescent="0.3">
      <c r="F9568" s="1"/>
    </row>
    <row r="9569" spans="6:14" x14ac:dyDescent="0.3">
      <c r="F9569" s="1"/>
    </row>
    <row r="9570" spans="6:14" x14ac:dyDescent="0.3">
      <c r="F9570" s="1"/>
    </row>
    <row r="9571" spans="6:14" x14ac:dyDescent="0.3">
      <c r="F9571" s="1"/>
    </row>
    <row r="9572" spans="6:14" x14ac:dyDescent="0.3">
      <c r="F9572" s="1"/>
    </row>
    <row r="9573" spans="6:14" x14ac:dyDescent="0.3">
      <c r="F9573" s="1"/>
    </row>
    <row r="9574" spans="6:14" x14ac:dyDescent="0.3">
      <c r="F9574" s="1"/>
      <c r="M9574" s="1"/>
    </row>
    <row r="9575" spans="6:14" x14ac:dyDescent="0.3">
      <c r="F9575" s="1"/>
      <c r="L9575" s="1"/>
    </row>
    <row r="9576" spans="6:14" x14ac:dyDescent="0.3">
      <c r="F9576" s="1"/>
    </row>
    <row r="9577" spans="6:14" x14ac:dyDescent="0.3">
      <c r="F9577" s="1"/>
    </row>
    <row r="9578" spans="6:14" x14ac:dyDescent="0.3">
      <c r="F9578" s="1"/>
    </row>
    <row r="9579" spans="6:14" x14ac:dyDescent="0.3">
      <c r="F9579" s="1"/>
    </row>
    <row r="9580" spans="6:14" x14ac:dyDescent="0.3">
      <c r="F9580" s="1"/>
    </row>
    <row r="9581" spans="6:14" x14ac:dyDescent="0.3">
      <c r="F9581" s="1"/>
    </row>
    <row r="9582" spans="6:14" x14ac:dyDescent="0.3">
      <c r="F9582" s="1"/>
    </row>
    <row r="9583" spans="6:14" x14ac:dyDescent="0.3">
      <c r="F9583" s="1"/>
    </row>
    <row r="9584" spans="6:14" x14ac:dyDescent="0.3">
      <c r="N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15" x14ac:dyDescent="0.3">
      <c r="F9601" s="1"/>
    </row>
    <row r="9602" spans="6:15" x14ac:dyDescent="0.3">
      <c r="F9602" s="1"/>
    </row>
    <row r="9603" spans="6:15" x14ac:dyDescent="0.3">
      <c r="F9603" s="1"/>
    </row>
    <row r="9604" spans="6:15" x14ac:dyDescent="0.3">
      <c r="F9604" s="1"/>
    </row>
    <row r="9605" spans="6:15" x14ac:dyDescent="0.3">
      <c r="F9605" s="1"/>
    </row>
    <row r="9606" spans="6:15" x14ac:dyDescent="0.3">
      <c r="F9606" s="1"/>
      <c r="M9606" s="1"/>
    </row>
    <row r="9607" spans="6:15" x14ac:dyDescent="0.3">
      <c r="F9607" s="1"/>
    </row>
    <row r="9608" spans="6:15" x14ac:dyDescent="0.3">
      <c r="F9608" s="1"/>
      <c r="M9608" s="1"/>
    </row>
    <row r="9609" spans="6:15" x14ac:dyDescent="0.3">
      <c r="F9609" s="1"/>
    </row>
    <row r="9610" spans="6:15" x14ac:dyDescent="0.3">
      <c r="F9610" s="1"/>
    </row>
    <row r="9611" spans="6:15" x14ac:dyDescent="0.3">
      <c r="M9611" s="1"/>
      <c r="N9611" s="1"/>
      <c r="O9611" s="1"/>
    </row>
    <row r="9612" spans="6:15" x14ac:dyDescent="0.3">
      <c r="F9612" s="1"/>
    </row>
    <row r="9613" spans="6:15" x14ac:dyDescent="0.3">
      <c r="F9613" s="1"/>
    </row>
    <row r="9614" spans="6:15" x14ac:dyDescent="0.3">
      <c r="F9614" s="1"/>
    </row>
    <row r="9615" spans="6:15" x14ac:dyDescent="0.3">
      <c r="L9615" s="1"/>
    </row>
    <row r="9616" spans="6:15" x14ac:dyDescent="0.3">
      <c r="F9616" s="1"/>
    </row>
    <row r="9617" spans="6:15" x14ac:dyDescent="0.3">
      <c r="F9617" s="1"/>
    </row>
    <row r="9618" spans="6:15" x14ac:dyDescent="0.3">
      <c r="F9618" s="1"/>
    </row>
    <row r="9619" spans="6:15" x14ac:dyDescent="0.3">
      <c r="F9619" s="1"/>
    </row>
    <row r="9620" spans="6:15" x14ac:dyDescent="0.3">
      <c r="N9620" s="1"/>
      <c r="O9620" s="1"/>
    </row>
    <row r="9621" spans="6:15" x14ac:dyDescent="0.3">
      <c r="F9621" s="1"/>
      <c r="N9621" s="1"/>
    </row>
    <row r="9622" spans="6:15" x14ac:dyDescent="0.3">
      <c r="F9622" s="1"/>
    </row>
    <row r="9624" spans="6:15" x14ac:dyDescent="0.3">
      <c r="F9624" s="1"/>
    </row>
    <row r="9626" spans="6:15" x14ac:dyDescent="0.3">
      <c r="F9626" s="1"/>
    </row>
    <row r="9627" spans="6:15" x14ac:dyDescent="0.3">
      <c r="F9627" s="1"/>
    </row>
    <row r="9628" spans="6:15" x14ac:dyDescent="0.3">
      <c r="F9628" s="1"/>
    </row>
    <row r="9629" spans="6:15" x14ac:dyDescent="0.3">
      <c r="F9629" s="1"/>
    </row>
    <row r="9630" spans="6:15" x14ac:dyDescent="0.3">
      <c r="F9630" s="1"/>
    </row>
    <row r="9631" spans="6:15" x14ac:dyDescent="0.3">
      <c r="F9631" s="1"/>
    </row>
    <row r="9632" spans="6:15" x14ac:dyDescent="0.3">
      <c r="F9632" s="1"/>
    </row>
    <row r="9633" spans="6:14" x14ac:dyDescent="0.3">
      <c r="F9633" s="1"/>
    </row>
    <row r="9634" spans="6:14" x14ac:dyDescent="0.3">
      <c r="F9634" s="1"/>
    </row>
    <row r="9635" spans="6:14" x14ac:dyDescent="0.3">
      <c r="F9635" s="1"/>
    </row>
    <row r="9636" spans="6:14" x14ac:dyDescent="0.3">
      <c r="F9636" s="1"/>
    </row>
    <row r="9638" spans="6:14" x14ac:dyDescent="0.3">
      <c r="F9638" s="1"/>
    </row>
    <row r="9640" spans="6:14" x14ac:dyDescent="0.3">
      <c r="F9640" s="1"/>
    </row>
    <row r="9641" spans="6:14" x14ac:dyDescent="0.3">
      <c r="F9641" s="1"/>
    </row>
    <row r="9642" spans="6:14" x14ac:dyDescent="0.3">
      <c r="F9642" s="1"/>
    </row>
    <row r="9643" spans="6:14" x14ac:dyDescent="0.3">
      <c r="F9643" s="1"/>
    </row>
    <row r="9644" spans="6:14" x14ac:dyDescent="0.3">
      <c r="F9644" s="1"/>
    </row>
    <row r="9645" spans="6:14" x14ac:dyDescent="0.3">
      <c r="F9645" s="1"/>
    </row>
    <row r="9646" spans="6:14" x14ac:dyDescent="0.3">
      <c r="F9646" s="1"/>
      <c r="N9646" s="1"/>
    </row>
    <row r="9647" spans="6:14" x14ac:dyDescent="0.3">
      <c r="F9647" s="1"/>
    </row>
    <row r="9648" spans="6:14" x14ac:dyDescent="0.3">
      <c r="F9648" s="1"/>
    </row>
    <row r="9649" spans="6:6" x14ac:dyDescent="0.3">
      <c r="F9649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1" spans="6:6" x14ac:dyDescent="0.3">
      <c r="F9661" s="1"/>
    </row>
    <row r="9663" spans="6:6" x14ac:dyDescent="0.3">
      <c r="F9663" s="1"/>
    </row>
    <row r="9664" spans="6:6" x14ac:dyDescent="0.3">
      <c r="F9664" s="1"/>
    </row>
    <row r="9665" spans="6:12" x14ac:dyDescent="0.3">
      <c r="F9665" s="1"/>
    </row>
    <row r="9666" spans="6:12" x14ac:dyDescent="0.3">
      <c r="F9666" s="1"/>
    </row>
    <row r="9667" spans="6:12" x14ac:dyDescent="0.3">
      <c r="F9667" s="1"/>
      <c r="L9667" s="1"/>
    </row>
    <row r="9668" spans="6:12" x14ac:dyDescent="0.3">
      <c r="F9668" s="1"/>
    </row>
    <row r="9669" spans="6:12" x14ac:dyDescent="0.3">
      <c r="F9669" s="1"/>
    </row>
    <row r="9670" spans="6:12" x14ac:dyDescent="0.3">
      <c r="F9670" s="1"/>
    </row>
    <row r="9671" spans="6:12" x14ac:dyDescent="0.3">
      <c r="F9671" s="1"/>
    </row>
    <row r="9672" spans="6:12" x14ac:dyDescent="0.3">
      <c r="F9672" s="1"/>
    </row>
    <row r="9673" spans="6:12" x14ac:dyDescent="0.3">
      <c r="F9673" s="1"/>
    </row>
    <row r="9674" spans="6:12" x14ac:dyDescent="0.3">
      <c r="F9674" s="1"/>
    </row>
    <row r="9675" spans="6:12" x14ac:dyDescent="0.3">
      <c r="F9675" s="1"/>
    </row>
    <row r="9676" spans="6:12" x14ac:dyDescent="0.3">
      <c r="F9676" s="1"/>
    </row>
    <row r="9677" spans="6:12" x14ac:dyDescent="0.3">
      <c r="F9677" s="1"/>
    </row>
    <row r="9679" spans="6:12" x14ac:dyDescent="0.3">
      <c r="F9679" s="1"/>
    </row>
    <row r="9680" spans="6:12" x14ac:dyDescent="0.3">
      <c r="F9680" s="1"/>
    </row>
    <row r="9682" spans="6:14" x14ac:dyDescent="0.3">
      <c r="F9682" s="1"/>
    </row>
    <row r="9683" spans="6:14" x14ac:dyDescent="0.3">
      <c r="F9683" s="1"/>
      <c r="M9683" s="1"/>
      <c r="N9683" s="1"/>
    </row>
    <row r="9684" spans="6:14" x14ac:dyDescent="0.3">
      <c r="F9684" s="1"/>
    </row>
    <row r="9685" spans="6:14" x14ac:dyDescent="0.3">
      <c r="F9685" s="1"/>
    </row>
    <row r="9686" spans="6:14" x14ac:dyDescent="0.3">
      <c r="F9686" s="1"/>
    </row>
    <row r="9687" spans="6:14" x14ac:dyDescent="0.3">
      <c r="F9687" s="1"/>
    </row>
    <row r="9688" spans="6:14" x14ac:dyDescent="0.3">
      <c r="F9688" s="1"/>
    </row>
    <row r="9689" spans="6:14" x14ac:dyDescent="0.3">
      <c r="F9689" s="1"/>
      <c r="L9689" s="1"/>
    </row>
    <row r="9691" spans="6:14" x14ac:dyDescent="0.3">
      <c r="F9691" s="1"/>
    </row>
    <row r="9692" spans="6:14" x14ac:dyDescent="0.3">
      <c r="F9692" s="1"/>
    </row>
    <row r="9693" spans="6:14" x14ac:dyDescent="0.3">
      <c r="F9693" s="1"/>
    </row>
    <row r="9694" spans="6:14" x14ac:dyDescent="0.3">
      <c r="F9694" s="1"/>
      <c r="N9694" s="1"/>
    </row>
    <row r="9695" spans="6:14" x14ac:dyDescent="0.3">
      <c r="F9695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15" x14ac:dyDescent="0.3">
      <c r="F9713" s="1"/>
    </row>
    <row r="9714" spans="6:15" x14ac:dyDescent="0.3">
      <c r="F9714" s="1"/>
    </row>
    <row r="9716" spans="6:15" x14ac:dyDescent="0.3">
      <c r="F9716" s="1"/>
    </row>
    <row r="9717" spans="6:15" x14ac:dyDescent="0.3">
      <c r="F9717" s="1"/>
    </row>
    <row r="9718" spans="6:15" x14ac:dyDescent="0.3">
      <c r="F9718" s="1"/>
    </row>
    <row r="9719" spans="6:15" x14ac:dyDescent="0.3">
      <c r="F9719" s="1"/>
    </row>
    <row r="9720" spans="6:15" x14ac:dyDescent="0.3">
      <c r="F9720" s="1"/>
    </row>
    <row r="9721" spans="6:15" x14ac:dyDescent="0.3">
      <c r="F9721" s="1"/>
      <c r="O9721" s="1"/>
    </row>
    <row r="9722" spans="6:15" x14ac:dyDescent="0.3">
      <c r="F9722" s="1"/>
    </row>
    <row r="9723" spans="6:15" x14ac:dyDescent="0.3">
      <c r="F9723" s="1"/>
    </row>
    <row r="9725" spans="6:15" x14ac:dyDescent="0.3">
      <c r="F9725" s="1"/>
    </row>
    <row r="9726" spans="6:15" x14ac:dyDescent="0.3">
      <c r="F9726" s="1"/>
    </row>
    <row r="9727" spans="6:15" x14ac:dyDescent="0.3">
      <c r="F9727" s="1"/>
    </row>
    <row r="9728" spans="6:15" x14ac:dyDescent="0.3">
      <c r="F9728" s="1"/>
    </row>
    <row r="9730" spans="6:13" x14ac:dyDescent="0.3">
      <c r="F9730" s="1"/>
    </row>
    <row r="9731" spans="6:13" x14ac:dyDescent="0.3">
      <c r="F9731" s="1"/>
    </row>
    <row r="9732" spans="6:13" x14ac:dyDescent="0.3">
      <c r="F9732" s="1"/>
    </row>
    <row r="9733" spans="6:13" x14ac:dyDescent="0.3">
      <c r="F9733" s="1"/>
    </row>
    <row r="9734" spans="6:13" x14ac:dyDescent="0.3">
      <c r="F9734" s="1"/>
    </row>
    <row r="9735" spans="6:13" x14ac:dyDescent="0.3">
      <c r="F9735" s="1"/>
    </row>
    <row r="9736" spans="6:13" x14ac:dyDescent="0.3">
      <c r="F9736" s="1"/>
      <c r="L9736" s="1"/>
    </row>
    <row r="9737" spans="6:13" x14ac:dyDescent="0.3">
      <c r="F9737" s="1"/>
    </row>
    <row r="9739" spans="6:13" x14ac:dyDescent="0.3">
      <c r="F9739" s="1"/>
    </row>
    <row r="9740" spans="6:13" x14ac:dyDescent="0.3">
      <c r="F9740" s="1"/>
    </row>
    <row r="9741" spans="6:13" x14ac:dyDescent="0.3">
      <c r="F9741" s="1"/>
    </row>
    <row r="9742" spans="6:13" x14ac:dyDescent="0.3">
      <c r="F9742" s="1"/>
    </row>
    <row r="9743" spans="6:13" x14ac:dyDescent="0.3">
      <c r="M9743" s="1"/>
    </row>
    <row r="9744" spans="6:13" x14ac:dyDescent="0.3">
      <c r="F9744" s="1"/>
    </row>
    <row r="9745" spans="6:15" x14ac:dyDescent="0.3">
      <c r="F9745" s="1"/>
    </row>
    <row r="9746" spans="6:15" x14ac:dyDescent="0.3">
      <c r="F9746" s="1"/>
      <c r="N9746" s="1"/>
    </row>
    <row r="9747" spans="6:15" x14ac:dyDescent="0.3">
      <c r="F9747" s="1"/>
      <c r="O9747" s="1"/>
    </row>
    <row r="9748" spans="6:15" x14ac:dyDescent="0.3">
      <c r="F9748" s="1"/>
    </row>
    <row r="9749" spans="6:15" x14ac:dyDescent="0.3">
      <c r="F9749" s="1"/>
    </row>
    <row r="9750" spans="6:15" x14ac:dyDescent="0.3">
      <c r="F9750" s="1"/>
    </row>
    <row r="9751" spans="6:15" x14ac:dyDescent="0.3">
      <c r="F9751" s="1"/>
    </row>
    <row r="9753" spans="6:15" x14ac:dyDescent="0.3">
      <c r="F9753" s="1"/>
    </row>
    <row r="9754" spans="6:15" x14ac:dyDescent="0.3">
      <c r="F9754" s="1"/>
    </row>
    <row r="9755" spans="6:15" x14ac:dyDescent="0.3">
      <c r="F9755" s="1"/>
      <c r="M9755" s="1"/>
    </row>
    <row r="9756" spans="6:15" x14ac:dyDescent="0.3">
      <c r="F9756" s="1"/>
    </row>
    <row r="9757" spans="6:15" x14ac:dyDescent="0.3">
      <c r="F9757" s="1"/>
    </row>
    <row r="9759" spans="6:15" x14ac:dyDescent="0.3">
      <c r="F9759" s="1"/>
    </row>
    <row r="9760" spans="6:15" x14ac:dyDescent="0.3">
      <c r="F9760" s="1"/>
    </row>
    <row r="9761" spans="6:15" x14ac:dyDescent="0.3">
      <c r="F9761" s="1"/>
      <c r="N9761" s="1"/>
    </row>
    <row r="9762" spans="6:15" x14ac:dyDescent="0.3">
      <c r="F9762" s="1"/>
    </row>
    <row r="9763" spans="6:15" x14ac:dyDescent="0.3">
      <c r="F9763" s="1"/>
    </row>
    <row r="9764" spans="6:15" x14ac:dyDescent="0.3">
      <c r="F9764" s="1"/>
    </row>
    <row r="9765" spans="6:15" x14ac:dyDescent="0.3">
      <c r="F9765" s="1"/>
    </row>
    <row r="9766" spans="6:15" x14ac:dyDescent="0.3">
      <c r="F9766" s="1"/>
      <c r="N9766" s="1"/>
      <c r="O9766" s="1"/>
    </row>
    <row r="9767" spans="6:15" x14ac:dyDescent="0.3">
      <c r="F9767" s="1"/>
    </row>
    <row r="9768" spans="6:15" x14ac:dyDescent="0.3">
      <c r="F9768" s="1"/>
    </row>
    <row r="9769" spans="6:15" x14ac:dyDescent="0.3">
      <c r="F9769" s="1"/>
    </row>
    <row r="9771" spans="6:15" x14ac:dyDescent="0.3">
      <c r="F9771" s="1"/>
    </row>
    <row r="9772" spans="6:15" x14ac:dyDescent="0.3">
      <c r="F9772" s="1"/>
    </row>
    <row r="9773" spans="6:15" x14ac:dyDescent="0.3">
      <c r="F9773" s="1"/>
      <c r="M9773" s="1"/>
    </row>
    <row r="9774" spans="6:15" x14ac:dyDescent="0.3">
      <c r="F9774" s="1"/>
    </row>
    <row r="9775" spans="6:15" x14ac:dyDescent="0.3">
      <c r="F9775" s="1"/>
    </row>
    <row r="9778" spans="6:15" x14ac:dyDescent="0.3">
      <c r="F9778" s="1"/>
    </row>
    <row r="9779" spans="6:15" x14ac:dyDescent="0.3">
      <c r="F9779" s="1"/>
    </row>
    <row r="9780" spans="6:15" x14ac:dyDescent="0.3">
      <c r="M9780" s="1"/>
      <c r="N9780" s="1"/>
      <c r="O9780" s="1"/>
    </row>
    <row r="9781" spans="6:15" x14ac:dyDescent="0.3">
      <c r="F9781" s="1"/>
    </row>
    <row r="9782" spans="6:15" x14ac:dyDescent="0.3">
      <c r="F9782" s="1"/>
    </row>
    <row r="9783" spans="6:15" x14ac:dyDescent="0.3">
      <c r="F9783" s="1"/>
    </row>
    <row r="9784" spans="6:15" x14ac:dyDescent="0.3">
      <c r="F9784" s="1"/>
    </row>
    <row r="9785" spans="6:15" x14ac:dyDescent="0.3">
      <c r="F9785" s="1"/>
      <c r="N9785" s="1"/>
    </row>
    <row r="9786" spans="6:15" x14ac:dyDescent="0.3">
      <c r="F9786" s="1"/>
    </row>
    <row r="9787" spans="6:15" x14ac:dyDescent="0.3">
      <c r="F9787" s="1"/>
    </row>
    <row r="9788" spans="6:15" x14ac:dyDescent="0.3">
      <c r="F9788" s="1"/>
    </row>
    <row r="9789" spans="6:15" x14ac:dyDescent="0.3">
      <c r="F9789" s="1"/>
    </row>
    <row r="9791" spans="6:15" x14ac:dyDescent="0.3">
      <c r="F9791" s="1"/>
    </row>
    <row r="9792" spans="6:15" x14ac:dyDescent="0.3">
      <c r="F9792" s="1"/>
    </row>
    <row r="9793" spans="6:14" x14ac:dyDescent="0.3">
      <c r="F9793" s="1"/>
    </row>
    <row r="9794" spans="6:14" x14ac:dyDescent="0.3">
      <c r="F9794" s="1"/>
    </row>
    <row r="9796" spans="6:14" x14ac:dyDescent="0.3">
      <c r="F9796" s="1"/>
    </row>
    <row r="9797" spans="6:14" x14ac:dyDescent="0.3">
      <c r="F9797" s="1"/>
    </row>
    <row r="9798" spans="6:14" x14ac:dyDescent="0.3">
      <c r="F9798" s="1"/>
    </row>
    <row r="9799" spans="6:14" x14ac:dyDescent="0.3">
      <c r="M9799" s="1"/>
      <c r="N9799" s="1"/>
    </row>
    <row r="9800" spans="6:14" x14ac:dyDescent="0.3">
      <c r="F9800" s="1"/>
    </row>
    <row r="9801" spans="6:14" x14ac:dyDescent="0.3">
      <c r="F9801" s="1"/>
    </row>
    <row r="9802" spans="6:14" x14ac:dyDescent="0.3">
      <c r="F9802" s="1"/>
    </row>
    <row r="9803" spans="6:14" x14ac:dyDescent="0.3">
      <c r="F9803" s="1"/>
    </row>
    <row r="9804" spans="6:14" x14ac:dyDescent="0.3">
      <c r="F9804" s="1"/>
    </row>
    <row r="9805" spans="6:14" x14ac:dyDescent="0.3">
      <c r="F9805" s="1"/>
    </row>
    <row r="9806" spans="6:14" x14ac:dyDescent="0.3">
      <c r="F9806" s="1"/>
    </row>
    <row r="9808" spans="6:14" x14ac:dyDescent="0.3">
      <c r="F9808" s="1"/>
    </row>
    <row r="9809" spans="6:15" x14ac:dyDescent="0.3">
      <c r="F9809" s="1"/>
    </row>
    <row r="9810" spans="6:15" x14ac:dyDescent="0.3">
      <c r="F9810" s="1"/>
    </row>
    <row r="9811" spans="6:15" x14ac:dyDescent="0.3">
      <c r="F9811" s="1"/>
    </row>
    <row r="9812" spans="6:15" x14ac:dyDescent="0.3">
      <c r="F9812" s="1"/>
    </row>
    <row r="9813" spans="6:15" x14ac:dyDescent="0.3">
      <c r="F9813" s="1"/>
    </row>
    <row r="9815" spans="6:15" x14ac:dyDescent="0.3">
      <c r="F9815" s="1"/>
    </row>
    <row r="9816" spans="6:15" x14ac:dyDescent="0.3">
      <c r="F9816" s="1"/>
    </row>
    <row r="9817" spans="6:15" x14ac:dyDescent="0.3">
      <c r="N9817" s="1"/>
    </row>
    <row r="9818" spans="6:15" x14ac:dyDescent="0.3">
      <c r="F9818" s="1"/>
      <c r="L9818" s="1"/>
      <c r="M9818" s="1"/>
    </row>
    <row r="9819" spans="6:15" x14ac:dyDescent="0.3">
      <c r="F9819" s="1"/>
    </row>
    <row r="9820" spans="6:15" x14ac:dyDescent="0.3">
      <c r="F9820" s="1"/>
    </row>
    <row r="9821" spans="6:15" x14ac:dyDescent="0.3">
      <c r="F9821" s="1"/>
    </row>
    <row r="9824" spans="6:15" x14ac:dyDescent="0.3">
      <c r="L9824" s="1"/>
      <c r="M9824" s="1"/>
      <c r="N9824" s="1"/>
      <c r="O9824" s="1"/>
    </row>
    <row r="9826" spans="6:14" x14ac:dyDescent="0.3">
      <c r="F9826" s="1"/>
    </row>
    <row r="9827" spans="6:14" x14ac:dyDescent="0.3">
      <c r="F9827" s="1"/>
    </row>
    <row r="9828" spans="6:14" x14ac:dyDescent="0.3">
      <c r="F9828" s="1"/>
    </row>
    <row r="9829" spans="6:14" x14ac:dyDescent="0.3">
      <c r="F9829" s="1"/>
    </row>
    <row r="9830" spans="6:14" x14ac:dyDescent="0.3">
      <c r="F9830" s="1"/>
      <c r="L9830" s="1"/>
    </row>
    <row r="9831" spans="6:14" x14ac:dyDescent="0.3">
      <c r="F9831" s="1"/>
    </row>
    <row r="9832" spans="6:14" x14ac:dyDescent="0.3">
      <c r="F9832" s="1"/>
      <c r="N9832" s="1"/>
    </row>
    <row r="9833" spans="6:14" x14ac:dyDescent="0.3">
      <c r="F9833" s="1"/>
    </row>
    <row r="9834" spans="6:14" x14ac:dyDescent="0.3">
      <c r="F9834" s="1"/>
    </row>
    <row r="9835" spans="6:14" x14ac:dyDescent="0.3">
      <c r="F9835" s="1"/>
    </row>
    <row r="9836" spans="6:14" x14ac:dyDescent="0.3">
      <c r="F9836" s="1"/>
    </row>
    <row r="9837" spans="6:14" x14ac:dyDescent="0.3">
      <c r="F9837" s="1"/>
    </row>
    <row r="9838" spans="6:14" x14ac:dyDescent="0.3">
      <c r="F9838" s="1"/>
    </row>
    <row r="9839" spans="6:14" x14ac:dyDescent="0.3">
      <c r="F9839" s="1"/>
    </row>
    <row r="9840" spans="6:14" x14ac:dyDescent="0.3">
      <c r="F9840" s="1"/>
    </row>
    <row r="9841" spans="6:15" x14ac:dyDescent="0.3">
      <c r="F9841" s="1"/>
    </row>
    <row r="9842" spans="6:15" x14ac:dyDescent="0.3">
      <c r="F9842" s="1"/>
    </row>
    <row r="9843" spans="6:15" x14ac:dyDescent="0.3">
      <c r="F9843" s="1"/>
    </row>
    <row r="9844" spans="6:15" x14ac:dyDescent="0.3">
      <c r="F9844" s="1"/>
    </row>
    <row r="9845" spans="6:15" x14ac:dyDescent="0.3">
      <c r="F9845" s="1"/>
    </row>
    <row r="9846" spans="6:15" x14ac:dyDescent="0.3">
      <c r="F9846" s="1"/>
    </row>
    <row r="9847" spans="6:15" x14ac:dyDescent="0.3">
      <c r="F9847" s="1"/>
      <c r="N9847" s="1"/>
    </row>
    <row r="9848" spans="6:15" x14ac:dyDescent="0.3">
      <c r="F9848" s="1"/>
    </row>
    <row r="9849" spans="6:15" x14ac:dyDescent="0.3">
      <c r="F9849" s="1"/>
    </row>
    <row r="9850" spans="6:15" x14ac:dyDescent="0.3">
      <c r="F9850" s="1"/>
      <c r="L9850" s="1"/>
    </row>
    <row r="9851" spans="6:15" x14ac:dyDescent="0.3">
      <c r="F9851" s="1"/>
    </row>
    <row r="9852" spans="6:15" x14ac:dyDescent="0.3">
      <c r="F9852" s="1"/>
    </row>
    <row r="9853" spans="6:15" x14ac:dyDescent="0.3">
      <c r="F9853" s="1"/>
    </row>
    <row r="9854" spans="6:15" x14ac:dyDescent="0.3">
      <c r="F9854" s="1"/>
    </row>
    <row r="9855" spans="6:15" x14ac:dyDescent="0.3">
      <c r="L9855" s="1"/>
      <c r="M9855" s="1"/>
      <c r="N9855" s="1"/>
      <c r="O9855" s="1"/>
    </row>
    <row r="9856" spans="6:15" x14ac:dyDescent="0.3">
      <c r="F9856" s="1"/>
    </row>
    <row r="9857" spans="6:15" x14ac:dyDescent="0.3">
      <c r="F9857" s="1"/>
    </row>
    <row r="9858" spans="6:15" x14ac:dyDescent="0.3">
      <c r="F9858" s="1"/>
    </row>
    <row r="9859" spans="6:15" x14ac:dyDescent="0.3">
      <c r="F9859" s="1"/>
    </row>
    <row r="9860" spans="6:15" x14ac:dyDescent="0.3">
      <c r="F9860" s="1"/>
    </row>
    <row r="9861" spans="6:15" x14ac:dyDescent="0.3">
      <c r="F9861" s="1"/>
    </row>
    <row r="9862" spans="6:15" x14ac:dyDescent="0.3">
      <c r="F9862" s="1"/>
    </row>
    <row r="9863" spans="6:15" x14ac:dyDescent="0.3">
      <c r="F9863" s="1"/>
      <c r="M9863" s="1"/>
      <c r="N9863" s="1"/>
      <c r="O9863" s="1"/>
    </row>
    <row r="9864" spans="6:15" x14ac:dyDescent="0.3">
      <c r="F9864" s="1"/>
    </row>
    <row r="9865" spans="6:15" x14ac:dyDescent="0.3">
      <c r="F9865" s="1"/>
      <c r="M9865" s="1"/>
    </row>
    <row r="9866" spans="6:15" x14ac:dyDescent="0.3">
      <c r="F9866" s="1"/>
    </row>
    <row r="9867" spans="6:15" x14ac:dyDescent="0.3">
      <c r="F9867" s="1"/>
    </row>
    <row r="9868" spans="6:15" x14ac:dyDescent="0.3">
      <c r="F9868" s="1"/>
    </row>
    <row r="9870" spans="6:15" x14ac:dyDescent="0.3">
      <c r="F9870" s="1"/>
    </row>
    <row r="9871" spans="6:15" x14ac:dyDescent="0.3">
      <c r="F9871" s="1"/>
    </row>
    <row r="9872" spans="6:15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80" spans="6:6" x14ac:dyDescent="0.3">
      <c r="F9880" s="1"/>
    </row>
    <row r="9881" spans="6:6" x14ac:dyDescent="0.3">
      <c r="F9881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90" spans="6:13" x14ac:dyDescent="0.3">
      <c r="F9890" s="1"/>
    </row>
    <row r="9891" spans="6:13" x14ac:dyDescent="0.3">
      <c r="F9891" s="1"/>
      <c r="L9891" s="1"/>
    </row>
    <row r="9892" spans="6:13" x14ac:dyDescent="0.3">
      <c r="F9892" s="1"/>
    </row>
    <row r="9893" spans="6:13" x14ac:dyDescent="0.3">
      <c r="F9893" s="1"/>
    </row>
    <row r="9894" spans="6:13" x14ac:dyDescent="0.3">
      <c r="M9894" s="1"/>
    </row>
    <row r="9895" spans="6:13" x14ac:dyDescent="0.3">
      <c r="F9895" s="1"/>
    </row>
    <row r="9896" spans="6:13" x14ac:dyDescent="0.3">
      <c r="F9896" s="1"/>
    </row>
    <row r="9897" spans="6:13" x14ac:dyDescent="0.3">
      <c r="F9897" s="1"/>
    </row>
    <row r="9898" spans="6:13" x14ac:dyDescent="0.3">
      <c r="F9898" s="1"/>
    </row>
    <row r="9900" spans="6:13" x14ac:dyDescent="0.3">
      <c r="F9900" s="1"/>
    </row>
    <row r="9901" spans="6:13" x14ac:dyDescent="0.3">
      <c r="F9901" s="1"/>
    </row>
    <row r="9902" spans="6:13" x14ac:dyDescent="0.3">
      <c r="F9902" s="1"/>
    </row>
    <row r="9903" spans="6:13" x14ac:dyDescent="0.3">
      <c r="F9903" s="1"/>
    </row>
    <row r="9904" spans="6:13" x14ac:dyDescent="0.3">
      <c r="F9904" s="1"/>
    </row>
    <row r="9905" spans="6:15" x14ac:dyDescent="0.3">
      <c r="F9905" s="1"/>
    </row>
    <row r="9906" spans="6:15" x14ac:dyDescent="0.3">
      <c r="F9906" s="1"/>
      <c r="M9906" s="1"/>
    </row>
    <row r="9907" spans="6:15" x14ac:dyDescent="0.3">
      <c r="F9907" s="1"/>
    </row>
    <row r="9908" spans="6:15" x14ac:dyDescent="0.3">
      <c r="F9908" s="1"/>
    </row>
    <row r="9909" spans="6:15" x14ac:dyDescent="0.3">
      <c r="F9909" s="1"/>
    </row>
    <row r="9910" spans="6:15" x14ac:dyDescent="0.3">
      <c r="F9910" s="1"/>
    </row>
    <row r="9911" spans="6:15" x14ac:dyDescent="0.3">
      <c r="F9911" s="1"/>
    </row>
    <row r="9912" spans="6:15" x14ac:dyDescent="0.3">
      <c r="F9912" s="1"/>
    </row>
    <row r="9913" spans="6:15" x14ac:dyDescent="0.3">
      <c r="F9913" s="1"/>
    </row>
    <row r="9914" spans="6:15" x14ac:dyDescent="0.3">
      <c r="F9914" s="1"/>
    </row>
    <row r="9915" spans="6:15" x14ac:dyDescent="0.3">
      <c r="F9915" s="1"/>
    </row>
    <row r="9916" spans="6:15" x14ac:dyDescent="0.3">
      <c r="F9916" s="1"/>
      <c r="M9916" s="1"/>
      <c r="O9916" s="1"/>
    </row>
    <row r="9917" spans="6:15" x14ac:dyDescent="0.3">
      <c r="F9917" s="1"/>
    </row>
    <row r="9918" spans="6:15" x14ac:dyDescent="0.3">
      <c r="F9918" s="1"/>
    </row>
    <row r="9919" spans="6:15" x14ac:dyDescent="0.3">
      <c r="F9919" s="1"/>
    </row>
    <row r="9920" spans="6:15" x14ac:dyDescent="0.3">
      <c r="F9920" s="1"/>
    </row>
    <row r="9921" spans="6:13" x14ac:dyDescent="0.3">
      <c r="F9921" s="1"/>
    </row>
    <row r="9922" spans="6:13" x14ac:dyDescent="0.3">
      <c r="F9922" s="1"/>
    </row>
    <row r="9923" spans="6:13" x14ac:dyDescent="0.3">
      <c r="F9923" s="1"/>
    </row>
    <row r="9924" spans="6:13" x14ac:dyDescent="0.3">
      <c r="F9924" s="1"/>
    </row>
    <row r="9925" spans="6:13" x14ac:dyDescent="0.3">
      <c r="F9925" s="1"/>
    </row>
    <row r="9927" spans="6:13" x14ac:dyDescent="0.3">
      <c r="F9927" s="1"/>
    </row>
    <row r="9928" spans="6:13" x14ac:dyDescent="0.3">
      <c r="F9928" s="1"/>
    </row>
    <row r="9930" spans="6:13" x14ac:dyDescent="0.3">
      <c r="F9930" s="1"/>
    </row>
    <row r="9931" spans="6:13" x14ac:dyDescent="0.3">
      <c r="F9931" s="1"/>
    </row>
    <row r="9932" spans="6:13" x14ac:dyDescent="0.3">
      <c r="F9932" s="1"/>
    </row>
    <row r="9934" spans="6:13" x14ac:dyDescent="0.3">
      <c r="F9934" s="1"/>
      <c r="M9934" s="1"/>
    </row>
    <row r="9935" spans="6:13" x14ac:dyDescent="0.3">
      <c r="F9935" s="1"/>
    </row>
    <row r="9936" spans="6:13" x14ac:dyDescent="0.3">
      <c r="F9936" s="1"/>
    </row>
    <row r="9937" spans="6:15" x14ac:dyDescent="0.3">
      <c r="F9937" s="1"/>
    </row>
    <row r="9938" spans="6:15" x14ac:dyDescent="0.3">
      <c r="F9938" s="1"/>
    </row>
    <row r="9939" spans="6:15" x14ac:dyDescent="0.3">
      <c r="F9939" s="1"/>
    </row>
    <row r="9940" spans="6:15" x14ac:dyDescent="0.3">
      <c r="L9940" s="1"/>
      <c r="O9940" s="1"/>
    </row>
    <row r="9941" spans="6:15" x14ac:dyDescent="0.3">
      <c r="F9941" s="1"/>
    </row>
    <row r="9942" spans="6:15" x14ac:dyDescent="0.3">
      <c r="F9942" s="1"/>
    </row>
    <row r="9943" spans="6:15" x14ac:dyDescent="0.3">
      <c r="F9943" s="1"/>
    </row>
    <row r="9944" spans="6:15" x14ac:dyDescent="0.3">
      <c r="F9944" s="1"/>
    </row>
    <row r="9945" spans="6:15" x14ac:dyDescent="0.3">
      <c r="F9945" s="1"/>
    </row>
    <row r="9946" spans="6:15" x14ac:dyDescent="0.3">
      <c r="F9946" s="1"/>
    </row>
    <row r="9947" spans="6:15" x14ac:dyDescent="0.3">
      <c r="F9947" s="1"/>
    </row>
    <row r="9948" spans="6:15" x14ac:dyDescent="0.3">
      <c r="F9948" s="1"/>
    </row>
    <row r="9949" spans="6:15" x14ac:dyDescent="0.3">
      <c r="F9949" s="1"/>
    </row>
    <row r="9950" spans="6:15" x14ac:dyDescent="0.3">
      <c r="F9950" s="1"/>
    </row>
    <row r="9951" spans="6:15" x14ac:dyDescent="0.3">
      <c r="F9951" s="1"/>
    </row>
    <row r="9952" spans="6:15" x14ac:dyDescent="0.3">
      <c r="F9952" s="1"/>
    </row>
    <row r="9953" spans="6:15" x14ac:dyDescent="0.3">
      <c r="F9953" s="1"/>
    </row>
    <row r="9954" spans="6:15" x14ac:dyDescent="0.3">
      <c r="F9954" s="1"/>
    </row>
    <row r="9955" spans="6:15" x14ac:dyDescent="0.3">
      <c r="F9955" s="1"/>
    </row>
    <row r="9956" spans="6:15" x14ac:dyDescent="0.3">
      <c r="F9956" s="1"/>
    </row>
    <row r="9957" spans="6:15" x14ac:dyDescent="0.3">
      <c r="F9957" s="1"/>
    </row>
    <row r="9958" spans="6:15" x14ac:dyDescent="0.3">
      <c r="N9958" s="1"/>
      <c r="O9958" s="1"/>
    </row>
    <row r="9959" spans="6:15" x14ac:dyDescent="0.3">
      <c r="F9959" s="1"/>
    </row>
    <row r="9960" spans="6:15" x14ac:dyDescent="0.3">
      <c r="F9960" s="1"/>
    </row>
    <row r="9961" spans="6:15" x14ac:dyDescent="0.3">
      <c r="F9961" s="1"/>
    </row>
    <row r="9963" spans="6:15" x14ac:dyDescent="0.3">
      <c r="F9963" s="1"/>
    </row>
    <row r="9964" spans="6:15" x14ac:dyDescent="0.3">
      <c r="F9964" s="1"/>
    </row>
    <row r="9965" spans="6:15" x14ac:dyDescent="0.3">
      <c r="F9965" s="1"/>
    </row>
    <row r="9966" spans="6:15" x14ac:dyDescent="0.3">
      <c r="F9966" s="1"/>
      <c r="L9966" s="1"/>
      <c r="M9966" s="1"/>
    </row>
    <row r="9967" spans="6:15" x14ac:dyDescent="0.3">
      <c r="F9967" s="1"/>
    </row>
    <row r="9968" spans="6:15" x14ac:dyDescent="0.3">
      <c r="F9968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14" x14ac:dyDescent="0.3">
      <c r="F9985" s="1"/>
    </row>
    <row r="9986" spans="6:14" x14ac:dyDescent="0.3">
      <c r="F9986" s="1"/>
    </row>
    <row r="9987" spans="6:14" x14ac:dyDescent="0.3">
      <c r="F9987" s="1"/>
    </row>
    <row r="9988" spans="6:14" x14ac:dyDescent="0.3">
      <c r="F9988" s="1"/>
    </row>
    <row r="9989" spans="6:14" x14ac:dyDescent="0.3">
      <c r="L9989" s="1"/>
    </row>
    <row r="9990" spans="6:14" x14ac:dyDescent="0.3">
      <c r="F9990" s="1"/>
    </row>
    <row r="9991" spans="6:14" x14ac:dyDescent="0.3">
      <c r="F9991" s="1"/>
    </row>
    <row r="9992" spans="6:14" x14ac:dyDescent="0.3">
      <c r="F9992" s="1"/>
    </row>
    <row r="9993" spans="6:14" x14ac:dyDescent="0.3">
      <c r="L9993" s="1"/>
      <c r="N9993" s="1"/>
    </row>
    <row r="9994" spans="6:14" x14ac:dyDescent="0.3">
      <c r="F9994" s="1"/>
    </row>
    <row r="9995" spans="6:14" x14ac:dyDescent="0.3">
      <c r="F9995" s="1"/>
    </row>
    <row r="9996" spans="6:14" x14ac:dyDescent="0.3">
      <c r="F9996" s="1"/>
      <c r="L9996" s="1"/>
      <c r="M9996" s="1"/>
    </row>
    <row r="9997" spans="6:14" x14ac:dyDescent="0.3">
      <c r="F9997" s="1"/>
    </row>
    <row r="9998" spans="6:14" x14ac:dyDescent="0.3">
      <c r="F9998" s="1"/>
    </row>
    <row r="9999" spans="6:14" x14ac:dyDescent="0.3">
      <c r="F9999" s="1"/>
    </row>
    <row r="10001" spans="6:15" x14ac:dyDescent="0.3">
      <c r="F10001" s="1"/>
    </row>
    <row r="10002" spans="6:15" x14ac:dyDescent="0.3">
      <c r="F10002" s="1"/>
      <c r="M10002" s="1"/>
      <c r="N10002" s="1"/>
    </row>
    <row r="10003" spans="6:15" x14ac:dyDescent="0.3">
      <c r="F10003" s="1"/>
      <c r="L10003" s="1"/>
      <c r="M10003" s="1"/>
      <c r="O10003" s="1"/>
    </row>
    <row r="10004" spans="6:15" x14ac:dyDescent="0.3">
      <c r="F10004" s="1"/>
    </row>
    <row r="10005" spans="6:15" x14ac:dyDescent="0.3">
      <c r="M10005" s="1"/>
      <c r="O10005" s="1"/>
    </row>
    <row r="10006" spans="6:15" x14ac:dyDescent="0.3">
      <c r="F10006" s="1"/>
    </row>
    <row r="10007" spans="6:15" x14ac:dyDescent="0.3">
      <c r="F10007" s="1"/>
    </row>
    <row r="10008" spans="6:15" x14ac:dyDescent="0.3">
      <c r="F10008" s="1"/>
    </row>
    <row r="10009" spans="6:15" x14ac:dyDescent="0.3">
      <c r="F10009" s="1"/>
    </row>
    <row r="10010" spans="6:15" x14ac:dyDescent="0.3">
      <c r="F10010" s="1"/>
    </row>
    <row r="10011" spans="6:15" x14ac:dyDescent="0.3">
      <c r="F10011" s="1"/>
    </row>
    <row r="10012" spans="6:15" x14ac:dyDescent="0.3">
      <c r="F10012" s="1"/>
    </row>
    <row r="10013" spans="6:15" x14ac:dyDescent="0.3">
      <c r="F10013" s="1"/>
    </row>
    <row r="10014" spans="6:15" x14ac:dyDescent="0.3">
      <c r="F10014" s="1"/>
    </row>
    <row r="10015" spans="6:15" x14ac:dyDescent="0.3">
      <c r="F10015" s="1"/>
    </row>
    <row r="10016" spans="6:15" x14ac:dyDescent="0.3">
      <c r="F10016" s="1"/>
    </row>
    <row r="10017" spans="6:14" x14ac:dyDescent="0.3">
      <c r="F10017" s="1"/>
    </row>
    <row r="10018" spans="6:14" x14ac:dyDescent="0.3">
      <c r="F10018" s="1"/>
    </row>
    <row r="10019" spans="6:14" x14ac:dyDescent="0.3">
      <c r="F10019" s="1"/>
      <c r="N10019" s="1"/>
    </row>
    <row r="10020" spans="6:14" x14ac:dyDescent="0.3">
      <c r="F10020" s="1"/>
    </row>
    <row r="10021" spans="6:14" x14ac:dyDescent="0.3">
      <c r="F10021" s="1"/>
      <c r="L10021" s="1"/>
      <c r="N10021" s="1"/>
    </row>
    <row r="10022" spans="6:14" x14ac:dyDescent="0.3">
      <c r="F10022" s="1"/>
      <c r="M10022" s="1"/>
      <c r="N10022" s="1"/>
    </row>
    <row r="10023" spans="6:14" x14ac:dyDescent="0.3">
      <c r="F10023" s="1"/>
    </row>
    <row r="10025" spans="6:14" x14ac:dyDescent="0.3">
      <c r="F10025" s="1"/>
    </row>
    <row r="10026" spans="6:14" x14ac:dyDescent="0.3">
      <c r="F10026" s="1"/>
    </row>
    <row r="10027" spans="6:14" x14ac:dyDescent="0.3">
      <c r="F10027" s="1"/>
      <c r="M10027" s="1"/>
      <c r="N10027" s="1"/>
    </row>
    <row r="10028" spans="6:14" x14ac:dyDescent="0.3">
      <c r="F10028" s="1"/>
    </row>
    <row r="10029" spans="6:14" x14ac:dyDescent="0.3">
      <c r="F10029" s="1"/>
    </row>
    <row r="10030" spans="6:14" x14ac:dyDescent="0.3">
      <c r="F10030" s="1"/>
    </row>
    <row r="10031" spans="6:14" x14ac:dyDescent="0.3">
      <c r="F10031" s="1"/>
    </row>
    <row r="10032" spans="6:14" x14ac:dyDescent="0.3">
      <c r="F10032" s="1"/>
    </row>
    <row r="10033" spans="6:15" x14ac:dyDescent="0.3">
      <c r="F10033" s="1"/>
    </row>
    <row r="10034" spans="6:15" x14ac:dyDescent="0.3">
      <c r="F10034" s="1"/>
    </row>
    <row r="10035" spans="6:15" x14ac:dyDescent="0.3">
      <c r="F10035" s="1"/>
    </row>
    <row r="10036" spans="6:15" x14ac:dyDescent="0.3">
      <c r="F10036" s="1"/>
    </row>
    <row r="10037" spans="6:15" x14ac:dyDescent="0.3">
      <c r="F10037" s="1"/>
      <c r="N10037" s="1"/>
      <c r="O10037" s="1"/>
    </row>
    <row r="10038" spans="6:15" x14ac:dyDescent="0.3">
      <c r="F10038" s="1"/>
    </row>
    <row r="10039" spans="6:15" x14ac:dyDescent="0.3">
      <c r="F10039" s="1"/>
    </row>
    <row r="10040" spans="6:15" x14ac:dyDescent="0.3">
      <c r="F10040" s="1"/>
    </row>
    <row r="10041" spans="6:15" x14ac:dyDescent="0.3">
      <c r="F10041" s="1"/>
    </row>
    <row r="10042" spans="6:15" x14ac:dyDescent="0.3">
      <c r="O10042" s="1"/>
    </row>
    <row r="10043" spans="6:15" x14ac:dyDescent="0.3">
      <c r="F10043" s="1"/>
    </row>
    <row r="10044" spans="6:15" x14ac:dyDescent="0.3">
      <c r="F10044" s="1"/>
    </row>
    <row r="10045" spans="6:15" x14ac:dyDescent="0.3">
      <c r="F10045" s="1"/>
    </row>
    <row r="10046" spans="6:15" x14ac:dyDescent="0.3">
      <c r="F10046" s="1"/>
    </row>
    <row r="10047" spans="6:15" x14ac:dyDescent="0.3">
      <c r="F10047" s="1"/>
      <c r="L10047" s="1"/>
      <c r="N10047" s="1"/>
    </row>
    <row r="10048" spans="6:15" x14ac:dyDescent="0.3">
      <c r="F10048" s="1"/>
    </row>
    <row r="10049" spans="6:12" x14ac:dyDescent="0.3">
      <c r="F10049" s="1"/>
    </row>
    <row r="10050" spans="6:12" x14ac:dyDescent="0.3">
      <c r="F10050" s="1"/>
    </row>
    <row r="10051" spans="6:12" x14ac:dyDescent="0.3">
      <c r="F10051" s="1"/>
    </row>
    <row r="10052" spans="6:12" x14ac:dyDescent="0.3">
      <c r="F10052" s="1"/>
    </row>
    <row r="10053" spans="6:12" x14ac:dyDescent="0.3">
      <c r="F10053" s="1"/>
    </row>
    <row r="10054" spans="6:12" x14ac:dyDescent="0.3">
      <c r="F10054" s="1"/>
    </row>
    <row r="10055" spans="6:12" x14ac:dyDescent="0.3">
      <c r="F10055" s="1"/>
    </row>
    <row r="10056" spans="6:12" x14ac:dyDescent="0.3">
      <c r="F10056" s="1"/>
    </row>
    <row r="10057" spans="6:12" x14ac:dyDescent="0.3">
      <c r="F10057" s="1"/>
    </row>
    <row r="10059" spans="6:12" x14ac:dyDescent="0.3">
      <c r="F10059" s="1"/>
    </row>
    <row r="10060" spans="6:12" x14ac:dyDescent="0.3">
      <c r="F10060" s="1"/>
    </row>
    <row r="10061" spans="6:12" x14ac:dyDescent="0.3">
      <c r="L10061" s="1"/>
    </row>
    <row r="10062" spans="6:12" x14ac:dyDescent="0.3">
      <c r="F10062" s="1"/>
    </row>
    <row r="10063" spans="6:12" x14ac:dyDescent="0.3">
      <c r="F10063" s="1"/>
    </row>
    <row r="10064" spans="6:12" x14ac:dyDescent="0.3">
      <c r="F10064" s="1"/>
    </row>
    <row r="10065" spans="6:15" x14ac:dyDescent="0.3">
      <c r="F10065" s="1"/>
    </row>
    <row r="10066" spans="6:15" x14ac:dyDescent="0.3">
      <c r="F10066" s="1"/>
    </row>
    <row r="10067" spans="6:15" x14ac:dyDescent="0.3">
      <c r="F10067" s="1"/>
    </row>
    <row r="10069" spans="6:15" x14ac:dyDescent="0.3">
      <c r="L10069" s="1"/>
    </row>
    <row r="10070" spans="6:15" x14ac:dyDescent="0.3">
      <c r="F10070" s="1"/>
    </row>
    <row r="10071" spans="6:15" x14ac:dyDescent="0.3">
      <c r="N10071" s="1"/>
    </row>
    <row r="10074" spans="6:15" x14ac:dyDescent="0.3">
      <c r="F10074" s="1"/>
    </row>
    <row r="10075" spans="6:15" x14ac:dyDescent="0.3">
      <c r="F10075" s="1"/>
    </row>
    <row r="10076" spans="6:15" x14ac:dyDescent="0.3">
      <c r="F10076" s="1"/>
      <c r="L10076" s="1"/>
      <c r="M10076" s="1"/>
    </row>
    <row r="10077" spans="6:15" x14ac:dyDescent="0.3">
      <c r="F10077" s="1"/>
    </row>
    <row r="10078" spans="6:15" x14ac:dyDescent="0.3">
      <c r="L10078" s="1"/>
      <c r="N10078" s="1"/>
    </row>
    <row r="10079" spans="6:15" x14ac:dyDescent="0.3">
      <c r="F10079" s="1"/>
    </row>
    <row r="10080" spans="6:15" x14ac:dyDescent="0.3">
      <c r="F10080" s="1"/>
      <c r="L10080" s="1"/>
      <c r="N10080" s="1"/>
      <c r="O10080" s="1"/>
    </row>
    <row r="10081" spans="6:15" x14ac:dyDescent="0.3">
      <c r="F10081" s="1"/>
    </row>
    <row r="10082" spans="6:15" x14ac:dyDescent="0.3">
      <c r="F10082" s="1"/>
    </row>
    <row r="10083" spans="6:15" x14ac:dyDescent="0.3">
      <c r="F10083" s="1"/>
    </row>
    <row r="10084" spans="6:15" x14ac:dyDescent="0.3">
      <c r="F10084" s="1"/>
      <c r="N10084" s="1"/>
    </row>
    <row r="10085" spans="6:15" x14ac:dyDescent="0.3">
      <c r="F10085" s="1"/>
    </row>
    <row r="10086" spans="6:15" x14ac:dyDescent="0.3">
      <c r="F10086" s="1"/>
    </row>
    <row r="10087" spans="6:15" x14ac:dyDescent="0.3">
      <c r="F10087" s="1"/>
      <c r="L10087" s="1"/>
      <c r="M10087" s="1"/>
    </row>
    <row r="10088" spans="6:15" x14ac:dyDescent="0.3">
      <c r="F10088" s="1"/>
    </row>
    <row r="10089" spans="6:15" x14ac:dyDescent="0.3">
      <c r="F10089" s="1"/>
    </row>
    <row r="10090" spans="6:15" x14ac:dyDescent="0.3">
      <c r="F10090" s="1"/>
    </row>
    <row r="10091" spans="6:15" x14ac:dyDescent="0.3">
      <c r="F10091" s="1"/>
    </row>
    <row r="10092" spans="6:15" x14ac:dyDescent="0.3">
      <c r="F10092" s="1"/>
    </row>
    <row r="10093" spans="6:15" x14ac:dyDescent="0.3">
      <c r="F10093" s="1"/>
    </row>
    <row r="10094" spans="6:15" x14ac:dyDescent="0.3">
      <c r="F10094" s="1"/>
    </row>
    <row r="10095" spans="6:15" x14ac:dyDescent="0.3">
      <c r="F10095" s="1"/>
      <c r="M10095" s="1"/>
      <c r="N10095" s="1"/>
      <c r="O10095" s="1"/>
    </row>
    <row r="10096" spans="6:15" x14ac:dyDescent="0.3">
      <c r="F10096" s="1"/>
    </row>
    <row r="10097" spans="6:14" x14ac:dyDescent="0.3">
      <c r="F10097" s="1"/>
    </row>
    <row r="10098" spans="6:14" x14ac:dyDescent="0.3">
      <c r="F10098" s="1"/>
    </row>
    <row r="10099" spans="6:14" x14ac:dyDescent="0.3">
      <c r="F10099" s="1"/>
    </row>
    <row r="10100" spans="6:14" x14ac:dyDescent="0.3">
      <c r="F10100" s="1"/>
    </row>
    <row r="10101" spans="6:14" x14ac:dyDescent="0.3">
      <c r="F10101" s="1"/>
    </row>
    <row r="10102" spans="6:14" x14ac:dyDescent="0.3">
      <c r="F10102" s="1"/>
    </row>
    <row r="10103" spans="6:14" x14ac:dyDescent="0.3">
      <c r="F10103" s="1"/>
    </row>
    <row r="10104" spans="6:14" x14ac:dyDescent="0.3">
      <c r="M10104" s="1"/>
    </row>
    <row r="10105" spans="6:14" x14ac:dyDescent="0.3">
      <c r="F10105" s="1"/>
    </row>
    <row r="10106" spans="6:14" x14ac:dyDescent="0.3">
      <c r="L10106" s="1"/>
      <c r="N10106" s="1"/>
    </row>
    <row r="10107" spans="6:14" x14ac:dyDescent="0.3">
      <c r="F10107" s="1"/>
      <c r="N10107" s="1"/>
    </row>
    <row r="10108" spans="6:14" x14ac:dyDescent="0.3">
      <c r="F10108" s="1"/>
    </row>
    <row r="10109" spans="6:14" x14ac:dyDescent="0.3">
      <c r="F10109" s="1"/>
    </row>
    <row r="10110" spans="6:14" x14ac:dyDescent="0.3">
      <c r="F10110" s="1"/>
    </row>
    <row r="10112" spans="6:14" x14ac:dyDescent="0.3">
      <c r="F10112" s="1"/>
    </row>
    <row r="10113" spans="6:15" x14ac:dyDescent="0.3">
      <c r="F10113" s="1"/>
    </row>
    <row r="10114" spans="6:15" x14ac:dyDescent="0.3">
      <c r="F10114" s="1"/>
    </row>
    <row r="10115" spans="6:15" x14ac:dyDescent="0.3">
      <c r="F10115" s="1"/>
    </row>
    <row r="10116" spans="6:15" x14ac:dyDescent="0.3">
      <c r="F10116" s="1"/>
    </row>
    <row r="10117" spans="6:15" x14ac:dyDescent="0.3">
      <c r="F10117" s="1"/>
    </row>
    <row r="10118" spans="6:15" x14ac:dyDescent="0.3">
      <c r="F10118" s="1"/>
    </row>
    <row r="10119" spans="6:15" x14ac:dyDescent="0.3">
      <c r="F10119" s="1"/>
    </row>
    <row r="10120" spans="6:15" x14ac:dyDescent="0.3">
      <c r="F10120" s="1"/>
    </row>
    <row r="10121" spans="6:15" x14ac:dyDescent="0.3">
      <c r="F10121" s="1"/>
    </row>
    <row r="10122" spans="6:15" x14ac:dyDescent="0.3">
      <c r="F10122" s="1"/>
    </row>
    <row r="10123" spans="6:15" x14ac:dyDescent="0.3">
      <c r="M10123" s="1"/>
      <c r="N10123" s="1"/>
      <c r="O10123" s="1"/>
    </row>
    <row r="10124" spans="6:15" x14ac:dyDescent="0.3">
      <c r="F10124" s="1"/>
    </row>
    <row r="10125" spans="6:15" x14ac:dyDescent="0.3">
      <c r="F10125" s="1"/>
    </row>
    <row r="10126" spans="6:15" x14ac:dyDescent="0.3">
      <c r="F10126" s="1"/>
    </row>
    <row r="10127" spans="6:15" x14ac:dyDescent="0.3">
      <c r="F10127" s="1"/>
    </row>
    <row r="10128" spans="6:15" x14ac:dyDescent="0.3">
      <c r="F10128" s="1"/>
    </row>
    <row r="10129" spans="6:14" x14ac:dyDescent="0.3">
      <c r="F10129" s="1"/>
    </row>
    <row r="10130" spans="6:14" x14ac:dyDescent="0.3">
      <c r="F10130" s="1"/>
    </row>
    <row r="10131" spans="6:14" x14ac:dyDescent="0.3">
      <c r="F10131" s="1"/>
      <c r="N10131" s="1"/>
    </row>
    <row r="10132" spans="6:14" x14ac:dyDescent="0.3">
      <c r="F10132" s="1"/>
    </row>
    <row r="10133" spans="6:14" x14ac:dyDescent="0.3">
      <c r="F10133" s="1"/>
    </row>
    <row r="10134" spans="6:14" x14ac:dyDescent="0.3">
      <c r="F10134" s="1"/>
    </row>
    <row r="10135" spans="6:14" x14ac:dyDescent="0.3">
      <c r="F10135" s="1"/>
    </row>
    <row r="10136" spans="6:14" x14ac:dyDescent="0.3">
      <c r="F10136" s="1"/>
    </row>
    <row r="10137" spans="6:14" x14ac:dyDescent="0.3">
      <c r="F10137" s="1"/>
    </row>
    <row r="10138" spans="6:14" x14ac:dyDescent="0.3">
      <c r="F10138" s="1"/>
    </row>
    <row r="10139" spans="6:14" x14ac:dyDescent="0.3">
      <c r="F10139" s="1"/>
    </row>
    <row r="10141" spans="6:14" x14ac:dyDescent="0.3">
      <c r="F10141" s="1"/>
    </row>
    <row r="10142" spans="6:14" x14ac:dyDescent="0.3">
      <c r="F10142" s="1"/>
    </row>
    <row r="10143" spans="6:14" x14ac:dyDescent="0.3">
      <c r="F10143" s="1"/>
      <c r="N10143" s="1"/>
    </row>
    <row r="10144" spans="6:14" x14ac:dyDescent="0.3">
      <c r="F10144" s="1"/>
    </row>
    <row r="10145" spans="6:15" x14ac:dyDescent="0.3">
      <c r="F10145" s="1"/>
    </row>
    <row r="10147" spans="6:15" x14ac:dyDescent="0.3">
      <c r="F10147" s="1"/>
    </row>
    <row r="10148" spans="6:15" x14ac:dyDescent="0.3">
      <c r="F10148" s="1"/>
    </row>
    <row r="10149" spans="6:15" x14ac:dyDescent="0.3">
      <c r="F10149" s="1"/>
    </row>
    <row r="10150" spans="6:15" x14ac:dyDescent="0.3">
      <c r="F10150" s="1"/>
    </row>
    <row r="10151" spans="6:15" x14ac:dyDescent="0.3">
      <c r="F10151" s="1"/>
    </row>
    <row r="10152" spans="6:15" x14ac:dyDescent="0.3">
      <c r="L10152" s="1"/>
    </row>
    <row r="10153" spans="6:15" x14ac:dyDescent="0.3">
      <c r="F10153" s="1"/>
    </row>
    <row r="10154" spans="6:15" x14ac:dyDescent="0.3">
      <c r="F10154" s="1"/>
      <c r="L10154" s="1"/>
    </row>
    <row r="10155" spans="6:15" x14ac:dyDescent="0.3">
      <c r="F10155" s="1"/>
    </row>
    <row r="10156" spans="6:15" x14ac:dyDescent="0.3">
      <c r="F10156" s="1"/>
    </row>
    <row r="10157" spans="6:15" x14ac:dyDescent="0.3">
      <c r="F10157" s="1"/>
    </row>
    <row r="10158" spans="6:15" x14ac:dyDescent="0.3">
      <c r="F10158" s="1"/>
      <c r="M10158" s="1"/>
    </row>
    <row r="10159" spans="6:15" x14ac:dyDescent="0.3">
      <c r="M10159" s="1"/>
      <c r="N10159" s="1"/>
      <c r="O10159" s="1"/>
    </row>
    <row r="10160" spans="6:15" x14ac:dyDescent="0.3">
      <c r="F10160" s="1"/>
    </row>
    <row r="10162" spans="6:15" x14ac:dyDescent="0.3">
      <c r="F10162" s="1"/>
    </row>
    <row r="10163" spans="6:15" x14ac:dyDescent="0.3">
      <c r="F10163" s="1"/>
    </row>
    <row r="10164" spans="6:15" x14ac:dyDescent="0.3">
      <c r="F10164" s="1"/>
      <c r="M10164" s="1"/>
    </row>
    <row r="10165" spans="6:15" x14ac:dyDescent="0.3">
      <c r="F10165" s="1"/>
    </row>
    <row r="10166" spans="6:15" x14ac:dyDescent="0.3">
      <c r="F10166" s="1"/>
    </row>
    <row r="10167" spans="6:15" x14ac:dyDescent="0.3">
      <c r="F10167" s="1"/>
    </row>
    <row r="10168" spans="6:15" x14ac:dyDescent="0.3">
      <c r="F10168" s="1"/>
      <c r="L10168" s="1"/>
      <c r="M10168" s="1"/>
      <c r="O10168" s="1"/>
    </row>
    <row r="10169" spans="6:15" x14ac:dyDescent="0.3">
      <c r="F10169" s="1"/>
    </row>
    <row r="10170" spans="6:15" x14ac:dyDescent="0.3">
      <c r="F10170" s="1"/>
    </row>
    <row r="10171" spans="6:15" x14ac:dyDescent="0.3">
      <c r="F10171" s="1"/>
      <c r="L10171" s="1"/>
      <c r="N10171" s="1"/>
    </row>
    <row r="10172" spans="6:15" x14ac:dyDescent="0.3">
      <c r="F10172" s="1"/>
      <c r="L10172" s="1"/>
    </row>
    <row r="10173" spans="6:15" x14ac:dyDescent="0.3">
      <c r="F10173" s="1"/>
    </row>
    <row r="10174" spans="6:15" x14ac:dyDescent="0.3">
      <c r="F10174" s="1"/>
    </row>
    <row r="10175" spans="6:15" x14ac:dyDescent="0.3">
      <c r="F10175" s="1"/>
    </row>
    <row r="10176" spans="6:15" x14ac:dyDescent="0.3">
      <c r="F10176" s="1"/>
    </row>
    <row r="10177" spans="6:15" x14ac:dyDescent="0.3">
      <c r="F10177" s="1"/>
    </row>
    <row r="10178" spans="6:15" x14ac:dyDescent="0.3">
      <c r="F10178" s="1"/>
    </row>
    <row r="10179" spans="6:15" x14ac:dyDescent="0.3">
      <c r="F10179" s="1"/>
    </row>
    <row r="10180" spans="6:15" x14ac:dyDescent="0.3">
      <c r="F10180" s="1"/>
    </row>
    <row r="10181" spans="6:15" x14ac:dyDescent="0.3">
      <c r="F10181" s="1"/>
    </row>
    <row r="10182" spans="6:15" x14ac:dyDescent="0.3">
      <c r="F10182" s="1"/>
    </row>
    <row r="10183" spans="6:15" x14ac:dyDescent="0.3">
      <c r="F10183" s="1"/>
    </row>
    <row r="10184" spans="6:15" x14ac:dyDescent="0.3">
      <c r="F10184" s="1"/>
    </row>
    <row r="10185" spans="6:15" x14ac:dyDescent="0.3">
      <c r="F10185" s="1"/>
    </row>
    <row r="10186" spans="6:15" x14ac:dyDescent="0.3">
      <c r="L10186" s="1"/>
      <c r="M10186" s="1"/>
      <c r="N10186" s="1"/>
      <c r="O10186" s="1"/>
    </row>
    <row r="10187" spans="6:15" x14ac:dyDescent="0.3">
      <c r="F10187" s="1"/>
    </row>
    <row r="10188" spans="6:15" x14ac:dyDescent="0.3">
      <c r="F10188" s="1"/>
    </row>
    <row r="10189" spans="6:15" x14ac:dyDescent="0.3">
      <c r="F10189" s="1"/>
      <c r="L10189" s="1"/>
    </row>
    <row r="10190" spans="6:15" x14ac:dyDescent="0.3">
      <c r="F10190" s="1"/>
    </row>
    <row r="10191" spans="6:15" x14ac:dyDescent="0.3">
      <c r="F10191" s="1"/>
    </row>
    <row r="10192" spans="6:15" x14ac:dyDescent="0.3">
      <c r="F10192" s="1"/>
    </row>
    <row r="10193" spans="6:15" x14ac:dyDescent="0.3">
      <c r="F10193" s="1"/>
    </row>
    <row r="10194" spans="6:15" x14ac:dyDescent="0.3">
      <c r="F10194" s="1"/>
    </row>
    <row r="10195" spans="6:15" x14ac:dyDescent="0.3">
      <c r="F10195" s="1"/>
    </row>
    <row r="10196" spans="6:15" x14ac:dyDescent="0.3">
      <c r="L10196" s="1"/>
      <c r="M10196" s="1"/>
      <c r="N10196" s="1"/>
    </row>
    <row r="10197" spans="6:15" x14ac:dyDescent="0.3">
      <c r="F10197" s="1"/>
    </row>
    <row r="10198" spans="6:15" x14ac:dyDescent="0.3">
      <c r="F10198" s="1"/>
      <c r="L10198" s="1"/>
    </row>
    <row r="10199" spans="6:15" x14ac:dyDescent="0.3">
      <c r="F10199" s="1"/>
    </row>
    <row r="10200" spans="6:15" x14ac:dyDescent="0.3">
      <c r="F10200" s="1"/>
    </row>
    <row r="10201" spans="6:15" x14ac:dyDescent="0.3">
      <c r="F10201" s="1"/>
    </row>
    <row r="10202" spans="6:15" x14ac:dyDescent="0.3">
      <c r="F10202" s="1"/>
      <c r="L10202" s="1"/>
      <c r="N10202" s="1"/>
      <c r="O10202" s="1"/>
    </row>
    <row r="10203" spans="6:15" x14ac:dyDescent="0.3">
      <c r="F10203" s="1"/>
    </row>
    <row r="10204" spans="6:15" x14ac:dyDescent="0.3">
      <c r="F10204" s="1"/>
      <c r="L10204" s="1"/>
      <c r="O10204" s="1"/>
    </row>
    <row r="10205" spans="6:15" x14ac:dyDescent="0.3">
      <c r="F10205" s="1"/>
    </row>
    <row r="10206" spans="6:15" x14ac:dyDescent="0.3">
      <c r="F10206" s="1"/>
    </row>
    <row r="10207" spans="6:15" x14ac:dyDescent="0.3">
      <c r="F10207" s="1"/>
    </row>
    <row r="10208" spans="6:15" x14ac:dyDescent="0.3">
      <c r="F10208" s="1"/>
    </row>
    <row r="10209" spans="6:6" x14ac:dyDescent="0.3">
      <c r="F10209" s="1"/>
    </row>
    <row r="10210" spans="6:6" x14ac:dyDescent="0.3">
      <c r="F10210" s="1"/>
    </row>
    <row r="10211" spans="6:6" x14ac:dyDescent="0.3">
      <c r="F10211" s="1"/>
    </row>
    <row r="10212" spans="6:6" x14ac:dyDescent="0.3">
      <c r="F10212" s="1"/>
    </row>
    <row r="10213" spans="6:6" x14ac:dyDescent="0.3">
      <c r="F10213" s="1"/>
    </row>
    <row r="10215" spans="6:6" x14ac:dyDescent="0.3">
      <c r="F10215" s="1"/>
    </row>
    <row r="10216" spans="6:6" x14ac:dyDescent="0.3">
      <c r="F10216" s="1"/>
    </row>
    <row r="10217" spans="6:6" x14ac:dyDescent="0.3">
      <c r="F10217" s="1"/>
    </row>
    <row r="10219" spans="6:6" x14ac:dyDescent="0.3">
      <c r="F10219" s="1"/>
    </row>
    <row r="10220" spans="6:6" x14ac:dyDescent="0.3">
      <c r="F10220" s="1"/>
    </row>
    <row r="10221" spans="6:6" x14ac:dyDescent="0.3">
      <c r="F10221" s="1"/>
    </row>
    <row r="10222" spans="6:6" x14ac:dyDescent="0.3">
      <c r="F10222" s="1"/>
    </row>
    <row r="10224" spans="6:6" x14ac:dyDescent="0.3">
      <c r="F10224" s="1"/>
    </row>
    <row r="10225" spans="6:15" x14ac:dyDescent="0.3">
      <c r="F10225" s="1"/>
    </row>
    <row r="10226" spans="6:15" x14ac:dyDescent="0.3">
      <c r="F10226" s="1"/>
    </row>
    <row r="10227" spans="6:15" x14ac:dyDescent="0.3">
      <c r="F10227" s="1"/>
    </row>
    <row r="10228" spans="6:15" x14ac:dyDescent="0.3">
      <c r="L10228" s="1"/>
      <c r="O10228" s="1"/>
    </row>
    <row r="10229" spans="6:15" x14ac:dyDescent="0.3">
      <c r="F10229" s="1"/>
    </row>
    <row r="10230" spans="6:15" x14ac:dyDescent="0.3">
      <c r="F10230" s="1"/>
    </row>
    <row r="10231" spans="6:15" x14ac:dyDescent="0.3">
      <c r="F10231" s="1"/>
    </row>
    <row r="10233" spans="6:15" x14ac:dyDescent="0.3">
      <c r="F10233" s="1"/>
    </row>
    <row r="10234" spans="6:15" x14ac:dyDescent="0.3">
      <c r="F10234" s="1"/>
    </row>
    <row r="10235" spans="6:15" x14ac:dyDescent="0.3">
      <c r="F10235" s="1"/>
    </row>
    <row r="10236" spans="6:15" x14ac:dyDescent="0.3">
      <c r="F10236" s="1"/>
    </row>
    <row r="10238" spans="6:15" x14ac:dyDescent="0.3">
      <c r="F10238" s="1"/>
    </row>
    <row r="10239" spans="6:15" x14ac:dyDescent="0.3">
      <c r="F10239" s="1"/>
    </row>
    <row r="10242" spans="6:15" x14ac:dyDescent="0.3">
      <c r="F10242" s="1"/>
    </row>
    <row r="10243" spans="6:15" x14ac:dyDescent="0.3">
      <c r="F10243" s="1"/>
    </row>
    <row r="10244" spans="6:15" x14ac:dyDescent="0.3">
      <c r="O10244" s="1"/>
    </row>
    <row r="10245" spans="6:15" x14ac:dyDescent="0.3">
      <c r="F10245" s="1"/>
      <c r="M10245" s="1"/>
      <c r="O10245" s="1"/>
    </row>
    <row r="10246" spans="6:15" x14ac:dyDescent="0.3">
      <c r="F10246" s="1"/>
    </row>
    <row r="10247" spans="6:15" x14ac:dyDescent="0.3">
      <c r="F10247" s="1"/>
    </row>
    <row r="10248" spans="6:15" x14ac:dyDescent="0.3">
      <c r="F10248" s="1"/>
    </row>
    <row r="10249" spans="6:15" x14ac:dyDescent="0.3">
      <c r="F10249" s="1"/>
    </row>
    <row r="10250" spans="6:15" x14ac:dyDescent="0.3">
      <c r="L10250" s="1"/>
      <c r="M10250" s="1"/>
      <c r="N10250" s="1"/>
    </row>
    <row r="10252" spans="6:15" x14ac:dyDescent="0.3">
      <c r="F10252" s="1"/>
    </row>
    <row r="10253" spans="6:15" x14ac:dyDescent="0.3">
      <c r="F10253" s="1"/>
    </row>
    <row r="10254" spans="6:15" x14ac:dyDescent="0.3">
      <c r="F10254" s="1"/>
    </row>
    <row r="10256" spans="6:15" x14ac:dyDescent="0.3">
      <c r="F10256" s="1"/>
    </row>
    <row r="10257" spans="6:13" x14ac:dyDescent="0.3">
      <c r="F10257" s="1"/>
    </row>
    <row r="10258" spans="6:13" x14ac:dyDescent="0.3">
      <c r="F10258" s="1"/>
    </row>
    <row r="10259" spans="6:13" x14ac:dyDescent="0.3">
      <c r="F10259" s="1"/>
    </row>
    <row r="10260" spans="6:13" x14ac:dyDescent="0.3">
      <c r="F10260" s="1"/>
    </row>
    <row r="10261" spans="6:13" x14ac:dyDescent="0.3">
      <c r="F10261" s="1"/>
    </row>
    <row r="10262" spans="6:13" x14ac:dyDescent="0.3">
      <c r="F10262" s="1"/>
    </row>
    <row r="10263" spans="6:13" x14ac:dyDescent="0.3">
      <c r="F10263" s="1"/>
    </row>
    <row r="10264" spans="6:13" x14ac:dyDescent="0.3">
      <c r="F10264" s="1"/>
    </row>
    <row r="10265" spans="6:13" x14ac:dyDescent="0.3">
      <c r="F10265" s="1"/>
    </row>
    <row r="10266" spans="6:13" x14ac:dyDescent="0.3">
      <c r="F10266" s="1"/>
    </row>
    <row r="10267" spans="6:13" x14ac:dyDescent="0.3">
      <c r="F10267" s="1"/>
      <c r="M10267" s="1"/>
    </row>
    <row r="10268" spans="6:13" x14ac:dyDescent="0.3">
      <c r="F10268" s="1"/>
    </row>
    <row r="10269" spans="6:13" x14ac:dyDescent="0.3">
      <c r="F10269" s="1"/>
      <c r="M10269" s="1"/>
    </row>
    <row r="10270" spans="6:13" x14ac:dyDescent="0.3">
      <c r="F10270" s="1"/>
    </row>
    <row r="10271" spans="6:13" x14ac:dyDescent="0.3">
      <c r="F10271" s="1"/>
    </row>
    <row r="10273" spans="6:15" x14ac:dyDescent="0.3">
      <c r="F10273" s="1"/>
    </row>
    <row r="10274" spans="6:15" x14ac:dyDescent="0.3">
      <c r="F10274" s="1"/>
    </row>
    <row r="10275" spans="6:15" x14ac:dyDescent="0.3">
      <c r="F10275" s="1"/>
    </row>
    <row r="10276" spans="6:15" x14ac:dyDescent="0.3">
      <c r="F10276" s="1"/>
      <c r="M10276" s="1"/>
    </row>
    <row r="10277" spans="6:15" x14ac:dyDescent="0.3">
      <c r="F10277" s="1"/>
    </row>
    <row r="10279" spans="6:15" x14ac:dyDescent="0.3">
      <c r="F10279" s="1"/>
    </row>
    <row r="10280" spans="6:15" x14ac:dyDescent="0.3">
      <c r="F10280" s="1"/>
    </row>
    <row r="10281" spans="6:15" x14ac:dyDescent="0.3">
      <c r="F10281" s="1"/>
    </row>
    <row r="10282" spans="6:15" x14ac:dyDescent="0.3">
      <c r="M10282" s="1"/>
      <c r="N10282" s="1"/>
    </row>
    <row r="10283" spans="6:15" x14ac:dyDescent="0.3">
      <c r="F10283" s="1"/>
    </row>
    <row r="10284" spans="6:15" x14ac:dyDescent="0.3">
      <c r="L10284" s="1"/>
      <c r="N10284" s="1"/>
      <c r="O10284" s="1"/>
    </row>
    <row r="10285" spans="6:15" x14ac:dyDescent="0.3">
      <c r="F10285" s="1"/>
    </row>
    <row r="10286" spans="6:15" x14ac:dyDescent="0.3">
      <c r="F10286" s="1"/>
    </row>
    <row r="10287" spans="6:15" x14ac:dyDescent="0.3">
      <c r="F10287" s="1"/>
    </row>
    <row r="10289" spans="6:15" x14ac:dyDescent="0.3">
      <c r="F10289" s="1"/>
    </row>
    <row r="10290" spans="6:15" x14ac:dyDescent="0.3">
      <c r="L10290" s="1"/>
      <c r="M10290" s="1"/>
      <c r="O10290" s="1"/>
    </row>
    <row r="10291" spans="6:15" x14ac:dyDescent="0.3">
      <c r="F10291" s="1"/>
    </row>
    <row r="10292" spans="6:15" x14ac:dyDescent="0.3">
      <c r="F10292" s="1"/>
    </row>
    <row r="10294" spans="6:15" x14ac:dyDescent="0.3">
      <c r="F10294" s="1"/>
    </row>
    <row r="10295" spans="6:15" x14ac:dyDescent="0.3">
      <c r="F10295" s="1"/>
    </row>
    <row r="10296" spans="6:15" x14ac:dyDescent="0.3">
      <c r="F10296" s="1"/>
    </row>
    <row r="10297" spans="6:15" x14ac:dyDescent="0.3">
      <c r="F10297" s="1"/>
    </row>
    <row r="10298" spans="6:15" x14ac:dyDescent="0.3">
      <c r="F10298" s="1"/>
    </row>
    <row r="10299" spans="6:15" x14ac:dyDescent="0.3">
      <c r="F10299" s="1"/>
    </row>
    <row r="10300" spans="6:15" x14ac:dyDescent="0.3">
      <c r="F10300" s="1"/>
    </row>
    <row r="10301" spans="6:15" x14ac:dyDescent="0.3">
      <c r="F10301" s="1"/>
      <c r="L10301" s="1"/>
    </row>
    <row r="10302" spans="6:15" x14ac:dyDescent="0.3">
      <c r="F10302" s="1"/>
    </row>
    <row r="10303" spans="6:15" x14ac:dyDescent="0.3">
      <c r="F10303" s="1"/>
    </row>
    <row r="10304" spans="6:15" x14ac:dyDescent="0.3">
      <c r="F10304" s="1"/>
    </row>
    <row r="10305" spans="6:14" x14ac:dyDescent="0.3">
      <c r="F10305" s="1"/>
      <c r="N10305" s="1"/>
    </row>
    <row r="10306" spans="6:14" x14ac:dyDescent="0.3">
      <c r="F10306" s="1"/>
    </row>
    <row r="10307" spans="6:14" x14ac:dyDescent="0.3">
      <c r="F10307" s="1"/>
    </row>
    <row r="10308" spans="6:14" x14ac:dyDescent="0.3">
      <c r="F10308" s="1"/>
    </row>
    <row r="10309" spans="6:14" x14ac:dyDescent="0.3">
      <c r="F10309" s="1"/>
      <c r="M10309" s="1"/>
    </row>
    <row r="10310" spans="6:14" x14ac:dyDescent="0.3">
      <c r="F10310" s="1"/>
    </row>
    <row r="10311" spans="6:14" x14ac:dyDescent="0.3">
      <c r="F10311" s="1"/>
    </row>
    <row r="10312" spans="6:14" x14ac:dyDescent="0.3">
      <c r="F10312" s="1"/>
      <c r="M10312" s="1"/>
    </row>
    <row r="10313" spans="6:14" x14ac:dyDescent="0.3">
      <c r="F10313" s="1"/>
      <c r="N10313" s="1"/>
    </row>
    <row r="10314" spans="6:14" x14ac:dyDescent="0.3">
      <c r="F10314" s="1"/>
    </row>
    <row r="10315" spans="6:14" x14ac:dyDescent="0.3">
      <c r="F10315" s="1"/>
    </row>
    <row r="10316" spans="6:14" x14ac:dyDescent="0.3">
      <c r="F10316" s="1"/>
    </row>
    <row r="10317" spans="6:14" x14ac:dyDescent="0.3">
      <c r="F10317" s="1"/>
    </row>
    <row r="10318" spans="6:14" x14ac:dyDescent="0.3">
      <c r="F10318" s="1"/>
    </row>
    <row r="10319" spans="6:14" x14ac:dyDescent="0.3">
      <c r="F10319" s="1"/>
    </row>
    <row r="10320" spans="6:14" x14ac:dyDescent="0.3">
      <c r="F10320" s="1"/>
    </row>
    <row r="10321" spans="6:13" x14ac:dyDescent="0.3">
      <c r="F10321" s="1"/>
    </row>
    <row r="10322" spans="6:13" x14ac:dyDescent="0.3">
      <c r="F10322" s="1"/>
    </row>
    <row r="10323" spans="6:13" x14ac:dyDescent="0.3">
      <c r="F10323" s="1"/>
    </row>
    <row r="10324" spans="6:13" x14ac:dyDescent="0.3">
      <c r="F10324" s="1"/>
    </row>
    <row r="10325" spans="6:13" x14ac:dyDescent="0.3">
      <c r="F10325" s="1"/>
    </row>
    <row r="10327" spans="6:13" x14ac:dyDescent="0.3">
      <c r="F10327" s="1"/>
      <c r="M10327" s="1"/>
    </row>
    <row r="10328" spans="6:13" x14ac:dyDescent="0.3">
      <c r="F10328" s="1"/>
    </row>
    <row r="10329" spans="6:13" x14ac:dyDescent="0.3">
      <c r="F10329" s="1"/>
    </row>
    <row r="10331" spans="6:13" x14ac:dyDescent="0.3">
      <c r="F10331" s="1"/>
    </row>
    <row r="10332" spans="6:13" x14ac:dyDescent="0.3">
      <c r="F10332" s="1"/>
    </row>
    <row r="10333" spans="6:13" x14ac:dyDescent="0.3">
      <c r="F10333" s="1"/>
    </row>
    <row r="10334" spans="6:13" x14ac:dyDescent="0.3">
      <c r="F10334" s="1"/>
    </row>
    <row r="10335" spans="6:13" x14ac:dyDescent="0.3">
      <c r="F10335" s="1"/>
    </row>
    <row r="10336" spans="6:13" x14ac:dyDescent="0.3">
      <c r="F10336" s="1"/>
    </row>
    <row r="10337" spans="6:15" x14ac:dyDescent="0.3">
      <c r="F10337" s="1"/>
    </row>
    <row r="10338" spans="6:15" x14ac:dyDescent="0.3">
      <c r="F10338" s="1"/>
    </row>
    <row r="10339" spans="6:15" x14ac:dyDescent="0.3">
      <c r="F10339" s="1"/>
    </row>
    <row r="10340" spans="6:15" x14ac:dyDescent="0.3">
      <c r="F10340" s="1"/>
    </row>
    <row r="10341" spans="6:15" x14ac:dyDescent="0.3">
      <c r="F10341" s="1"/>
      <c r="N10341" s="1"/>
    </row>
    <row r="10342" spans="6:15" x14ac:dyDescent="0.3">
      <c r="F10342" s="1"/>
    </row>
    <row r="10343" spans="6:15" x14ac:dyDescent="0.3">
      <c r="F10343" s="1"/>
    </row>
    <row r="10345" spans="6:15" x14ac:dyDescent="0.3">
      <c r="F10345" s="1"/>
    </row>
    <row r="10346" spans="6:15" x14ac:dyDescent="0.3">
      <c r="F10346" s="1"/>
      <c r="M10346" s="1"/>
    </row>
    <row r="10347" spans="6:15" x14ac:dyDescent="0.3">
      <c r="F10347" s="1"/>
      <c r="L10347" s="1"/>
      <c r="M10347" s="1"/>
      <c r="N10347" s="1"/>
      <c r="O10347" s="1"/>
    </row>
    <row r="10348" spans="6:15" x14ac:dyDescent="0.3">
      <c r="F10348" s="1"/>
    </row>
    <row r="10349" spans="6:15" x14ac:dyDescent="0.3">
      <c r="F10349" s="1"/>
      <c r="N10349" s="1"/>
      <c r="O10349" s="1"/>
    </row>
    <row r="10350" spans="6:15" x14ac:dyDescent="0.3">
      <c r="F10350" s="1"/>
    </row>
    <row r="10351" spans="6:15" x14ac:dyDescent="0.3">
      <c r="F10351" s="1"/>
    </row>
    <row r="10353" spans="6:15" x14ac:dyDescent="0.3">
      <c r="F10353" s="1"/>
    </row>
    <row r="10354" spans="6:15" x14ac:dyDescent="0.3">
      <c r="F10354" s="1"/>
    </row>
    <row r="10355" spans="6:15" x14ac:dyDescent="0.3">
      <c r="L10355" s="1"/>
      <c r="O10355" s="1"/>
    </row>
    <row r="10356" spans="6:15" x14ac:dyDescent="0.3">
      <c r="F10356" s="1"/>
    </row>
    <row r="10357" spans="6:15" x14ac:dyDescent="0.3">
      <c r="F10357" s="1"/>
    </row>
    <row r="10358" spans="6:15" x14ac:dyDescent="0.3">
      <c r="F10358" s="1"/>
    </row>
    <row r="10359" spans="6:15" x14ac:dyDescent="0.3">
      <c r="F10359" s="1"/>
      <c r="L10359" s="1"/>
    </row>
    <row r="10360" spans="6:15" x14ac:dyDescent="0.3">
      <c r="F10360" s="1"/>
    </row>
    <row r="10361" spans="6:15" x14ac:dyDescent="0.3">
      <c r="F10361" s="1"/>
    </row>
    <row r="10362" spans="6:15" x14ac:dyDescent="0.3">
      <c r="F10362" s="1"/>
    </row>
    <row r="10363" spans="6:15" x14ac:dyDescent="0.3">
      <c r="F10363" s="1"/>
    </row>
    <row r="10364" spans="6:15" x14ac:dyDescent="0.3">
      <c r="F10364" s="1"/>
    </row>
    <row r="10365" spans="6:15" x14ac:dyDescent="0.3">
      <c r="F10365" s="1"/>
    </row>
    <row r="10366" spans="6:15" x14ac:dyDescent="0.3">
      <c r="F10366" s="1"/>
    </row>
    <row r="10367" spans="6:15" x14ac:dyDescent="0.3">
      <c r="F10367" s="1"/>
    </row>
    <row r="10368" spans="6:15" x14ac:dyDescent="0.3">
      <c r="F10368" s="1"/>
    </row>
    <row r="10369" spans="6:14" x14ac:dyDescent="0.3">
      <c r="F10369" s="1"/>
    </row>
    <row r="10371" spans="6:14" x14ac:dyDescent="0.3">
      <c r="F10371" s="1"/>
    </row>
    <row r="10372" spans="6:14" x14ac:dyDescent="0.3">
      <c r="F10372" s="1"/>
    </row>
    <row r="10373" spans="6:14" x14ac:dyDescent="0.3">
      <c r="F10373" s="1"/>
      <c r="N10373" s="1"/>
    </row>
    <row r="10374" spans="6:14" x14ac:dyDescent="0.3">
      <c r="F10374" s="1"/>
    </row>
    <row r="10375" spans="6:14" x14ac:dyDescent="0.3">
      <c r="F10375" s="1"/>
    </row>
    <row r="10376" spans="6:14" x14ac:dyDescent="0.3">
      <c r="F10376" s="1"/>
    </row>
    <row r="10377" spans="6:14" x14ac:dyDescent="0.3">
      <c r="F10377" s="1"/>
    </row>
    <row r="10378" spans="6:14" x14ac:dyDescent="0.3">
      <c r="F10378" s="1"/>
    </row>
    <row r="10379" spans="6:14" x14ac:dyDescent="0.3">
      <c r="F10379" s="1"/>
    </row>
    <row r="10380" spans="6:14" x14ac:dyDescent="0.3">
      <c r="F10380" s="1"/>
    </row>
    <row r="10381" spans="6:14" x14ac:dyDescent="0.3">
      <c r="M10381" s="1"/>
    </row>
    <row r="10382" spans="6:14" x14ac:dyDescent="0.3">
      <c r="F10382" s="1"/>
    </row>
    <row r="10383" spans="6:14" x14ac:dyDescent="0.3">
      <c r="F10383" s="1"/>
    </row>
    <row r="10384" spans="6:14" x14ac:dyDescent="0.3">
      <c r="F10384" s="1"/>
    </row>
    <row r="10385" spans="6:14" x14ac:dyDescent="0.3">
      <c r="F10385" s="1"/>
    </row>
    <row r="10386" spans="6:14" x14ac:dyDescent="0.3">
      <c r="F10386" s="1"/>
      <c r="N10386" s="1"/>
    </row>
    <row r="10387" spans="6:14" x14ac:dyDescent="0.3">
      <c r="F10387" s="1"/>
    </row>
    <row r="10388" spans="6:14" x14ac:dyDescent="0.3">
      <c r="F10388" s="1"/>
    </row>
    <row r="10389" spans="6:14" x14ac:dyDescent="0.3">
      <c r="F10389" s="1"/>
    </row>
    <row r="10390" spans="6:14" x14ac:dyDescent="0.3">
      <c r="F10390" s="1"/>
    </row>
    <row r="10391" spans="6:14" x14ac:dyDescent="0.3">
      <c r="F10391" s="1"/>
    </row>
    <row r="10392" spans="6:14" x14ac:dyDescent="0.3">
      <c r="F10392" s="1"/>
    </row>
    <row r="10393" spans="6:14" x14ac:dyDescent="0.3">
      <c r="F10393" s="1"/>
      <c r="L10393" s="1"/>
    </row>
    <row r="10394" spans="6:14" x14ac:dyDescent="0.3">
      <c r="F10394" s="1"/>
    </row>
    <row r="10395" spans="6:14" x14ac:dyDescent="0.3">
      <c r="F10395" s="1"/>
    </row>
    <row r="10396" spans="6:14" x14ac:dyDescent="0.3">
      <c r="F10396" s="1"/>
    </row>
    <row r="10397" spans="6:14" x14ac:dyDescent="0.3">
      <c r="F10397" s="1"/>
    </row>
    <row r="10398" spans="6:14" x14ac:dyDescent="0.3">
      <c r="F10398" s="1"/>
    </row>
    <row r="10399" spans="6:14" x14ac:dyDescent="0.3">
      <c r="F10399" s="1"/>
    </row>
    <row r="10400" spans="6:14" x14ac:dyDescent="0.3">
      <c r="F10400" s="1"/>
    </row>
    <row r="10401" spans="6:14" x14ac:dyDescent="0.3">
      <c r="F10401" s="1"/>
    </row>
    <row r="10402" spans="6:14" x14ac:dyDescent="0.3">
      <c r="N10402" s="1"/>
    </row>
    <row r="10403" spans="6:14" x14ac:dyDescent="0.3">
      <c r="F10403" s="1"/>
    </row>
    <row r="10404" spans="6:14" x14ac:dyDescent="0.3">
      <c r="L10404" s="1"/>
    </row>
    <row r="10405" spans="6:14" x14ac:dyDescent="0.3">
      <c r="F10405" s="1"/>
    </row>
    <row r="10407" spans="6:14" x14ac:dyDescent="0.3">
      <c r="F10407" s="1"/>
    </row>
    <row r="10408" spans="6:14" x14ac:dyDescent="0.3">
      <c r="F10408" s="1"/>
    </row>
    <row r="10409" spans="6:14" x14ac:dyDescent="0.3">
      <c r="F10409" s="1"/>
    </row>
    <row r="10410" spans="6:14" x14ac:dyDescent="0.3">
      <c r="F10410" s="1"/>
    </row>
    <row r="10411" spans="6:14" x14ac:dyDescent="0.3">
      <c r="F10411" s="1"/>
    </row>
    <row r="10412" spans="6:14" x14ac:dyDescent="0.3">
      <c r="F10412" s="1"/>
    </row>
    <row r="10413" spans="6:14" x14ac:dyDescent="0.3">
      <c r="F10413" s="1"/>
      <c r="L10413" s="1"/>
    </row>
    <row r="10414" spans="6:14" x14ac:dyDescent="0.3">
      <c r="F10414" s="1"/>
    </row>
    <row r="10415" spans="6:14" x14ac:dyDescent="0.3">
      <c r="F10415" s="1"/>
    </row>
    <row r="10416" spans="6:14" x14ac:dyDescent="0.3">
      <c r="F10416" s="1"/>
    </row>
    <row r="10417" spans="6:14" x14ac:dyDescent="0.3">
      <c r="F10417" s="1"/>
    </row>
    <row r="10418" spans="6:14" x14ac:dyDescent="0.3">
      <c r="F10418" s="1"/>
      <c r="N10418" s="1"/>
    </row>
    <row r="10419" spans="6:14" x14ac:dyDescent="0.3">
      <c r="F10419" s="1"/>
    </row>
    <row r="10421" spans="6:14" x14ac:dyDescent="0.3">
      <c r="F10421" s="1"/>
    </row>
    <row r="10422" spans="6:14" x14ac:dyDescent="0.3">
      <c r="F10422" s="1"/>
    </row>
    <row r="10423" spans="6:14" x14ac:dyDescent="0.3">
      <c r="F10423" s="1"/>
    </row>
    <row r="10424" spans="6:14" x14ac:dyDescent="0.3">
      <c r="F10424" s="1"/>
    </row>
    <row r="10425" spans="6:14" x14ac:dyDescent="0.3">
      <c r="F10425" s="1"/>
    </row>
    <row r="10426" spans="6:14" x14ac:dyDescent="0.3">
      <c r="F10426" s="1"/>
    </row>
    <row r="10427" spans="6:14" x14ac:dyDescent="0.3">
      <c r="F10427" s="1"/>
    </row>
    <row r="10428" spans="6:14" x14ac:dyDescent="0.3">
      <c r="F10428" s="1"/>
    </row>
    <row r="10429" spans="6:14" x14ac:dyDescent="0.3">
      <c r="F10429" s="1"/>
    </row>
    <row r="10430" spans="6:14" x14ac:dyDescent="0.3">
      <c r="F10430" s="1"/>
    </row>
    <row r="10431" spans="6:14" x14ac:dyDescent="0.3">
      <c r="F10431" s="1"/>
    </row>
    <row r="10432" spans="6:14" x14ac:dyDescent="0.3">
      <c r="F10432" s="1"/>
    </row>
    <row r="10433" spans="6:15" x14ac:dyDescent="0.3">
      <c r="F10433" s="1"/>
    </row>
    <row r="10434" spans="6:15" x14ac:dyDescent="0.3">
      <c r="F10434" s="1"/>
      <c r="M10434" s="1"/>
    </row>
    <row r="10435" spans="6:15" x14ac:dyDescent="0.3">
      <c r="F10435" s="1"/>
    </row>
    <row r="10436" spans="6:15" x14ac:dyDescent="0.3">
      <c r="F10436" s="1"/>
    </row>
    <row r="10437" spans="6:15" x14ac:dyDescent="0.3">
      <c r="F10437" s="1"/>
    </row>
    <row r="10438" spans="6:15" x14ac:dyDescent="0.3">
      <c r="F10438" s="1"/>
    </row>
    <row r="10439" spans="6:15" x14ac:dyDescent="0.3">
      <c r="F10439" s="1"/>
    </row>
    <row r="10440" spans="6:15" x14ac:dyDescent="0.3">
      <c r="F10440" s="1"/>
    </row>
    <row r="10441" spans="6:15" x14ac:dyDescent="0.3">
      <c r="M10441" s="1"/>
      <c r="N10441" s="1"/>
      <c r="O10441" s="1"/>
    </row>
    <row r="10442" spans="6:15" x14ac:dyDescent="0.3">
      <c r="F10442" s="1"/>
    </row>
    <row r="10444" spans="6:15" x14ac:dyDescent="0.3">
      <c r="F10444" s="1"/>
    </row>
    <row r="10447" spans="6:15" x14ac:dyDescent="0.3">
      <c r="L10447" s="1"/>
      <c r="M10447" s="1"/>
    </row>
    <row r="10448" spans="6:15" x14ac:dyDescent="0.3">
      <c r="F10448" s="1"/>
    </row>
    <row r="10449" spans="6:13" x14ac:dyDescent="0.3">
      <c r="F10449" s="1"/>
    </row>
    <row r="10450" spans="6:13" x14ac:dyDescent="0.3">
      <c r="F10450" s="1"/>
      <c r="L10450" s="1"/>
    </row>
    <row r="10451" spans="6:13" x14ac:dyDescent="0.3">
      <c r="F10451" s="1"/>
    </row>
    <row r="10452" spans="6:13" x14ac:dyDescent="0.3">
      <c r="F10452" s="1"/>
    </row>
    <row r="10453" spans="6:13" x14ac:dyDescent="0.3">
      <c r="F10453" s="1"/>
    </row>
    <row r="10455" spans="6:13" x14ac:dyDescent="0.3">
      <c r="F10455" s="1"/>
    </row>
    <row r="10456" spans="6:13" x14ac:dyDescent="0.3">
      <c r="F10456" s="1"/>
    </row>
    <row r="10458" spans="6:13" x14ac:dyDescent="0.3">
      <c r="F10458" s="1"/>
    </row>
    <row r="10459" spans="6:13" x14ac:dyDescent="0.3">
      <c r="F10459" s="1"/>
    </row>
    <row r="10460" spans="6:13" x14ac:dyDescent="0.3">
      <c r="F10460" s="1"/>
    </row>
    <row r="10461" spans="6:13" x14ac:dyDescent="0.3">
      <c r="F10461" s="1"/>
    </row>
    <row r="10462" spans="6:13" x14ac:dyDescent="0.3">
      <c r="F10462" s="1"/>
      <c r="M10462" s="1"/>
    </row>
    <row r="10463" spans="6:13" x14ac:dyDescent="0.3">
      <c r="F10463" s="1"/>
    </row>
    <row r="10464" spans="6:13" x14ac:dyDescent="0.3">
      <c r="F10464" s="1"/>
    </row>
    <row r="10465" spans="6:13" x14ac:dyDescent="0.3">
      <c r="F10465" s="1"/>
    </row>
    <row r="10466" spans="6:13" x14ac:dyDescent="0.3">
      <c r="F10466" s="1"/>
    </row>
    <row r="10467" spans="6:13" x14ac:dyDescent="0.3">
      <c r="F10467" s="1"/>
    </row>
    <row r="10468" spans="6:13" x14ac:dyDescent="0.3">
      <c r="F10468" s="1"/>
      <c r="M10468" s="1"/>
    </row>
    <row r="10470" spans="6:13" x14ac:dyDescent="0.3">
      <c r="F10470" s="1"/>
      <c r="M10470" s="1"/>
    </row>
    <row r="10471" spans="6:13" x14ac:dyDescent="0.3">
      <c r="F10471" s="1"/>
    </row>
    <row r="10472" spans="6:13" x14ac:dyDescent="0.3">
      <c r="F10472" s="1"/>
    </row>
    <row r="10473" spans="6:13" x14ac:dyDescent="0.3">
      <c r="F10473" s="1"/>
    </row>
    <row r="10474" spans="6:13" x14ac:dyDescent="0.3">
      <c r="F10474" s="1"/>
    </row>
    <row r="10476" spans="6:13" x14ac:dyDescent="0.3">
      <c r="M10476" s="1"/>
    </row>
    <row r="10477" spans="6:13" x14ac:dyDescent="0.3">
      <c r="F10477" s="1"/>
    </row>
    <row r="10478" spans="6:13" x14ac:dyDescent="0.3">
      <c r="F10478" s="1"/>
    </row>
    <row r="10479" spans="6:13" x14ac:dyDescent="0.3">
      <c r="F10479" s="1"/>
    </row>
    <row r="10480" spans="6:13" x14ac:dyDescent="0.3">
      <c r="F10480" s="1"/>
    </row>
    <row r="10481" spans="6:14" x14ac:dyDescent="0.3">
      <c r="F10481" s="1"/>
    </row>
    <row r="10482" spans="6:14" x14ac:dyDescent="0.3">
      <c r="F10482" s="1"/>
    </row>
    <row r="10483" spans="6:14" x14ac:dyDescent="0.3">
      <c r="F10483" s="1"/>
    </row>
    <row r="10485" spans="6:14" x14ac:dyDescent="0.3">
      <c r="F10485" s="1"/>
    </row>
    <row r="10487" spans="6:14" x14ac:dyDescent="0.3">
      <c r="F10487" s="1"/>
    </row>
    <row r="10488" spans="6:14" x14ac:dyDescent="0.3">
      <c r="F10488" s="1"/>
    </row>
    <row r="10489" spans="6:14" x14ac:dyDescent="0.3">
      <c r="F10489" s="1"/>
    </row>
    <row r="10490" spans="6:14" x14ac:dyDescent="0.3">
      <c r="F10490" s="1"/>
    </row>
    <row r="10491" spans="6:14" x14ac:dyDescent="0.3">
      <c r="F10491" s="1"/>
      <c r="L10491" s="1"/>
    </row>
    <row r="10492" spans="6:14" x14ac:dyDescent="0.3">
      <c r="F10492" s="1"/>
      <c r="N10492" s="1"/>
    </row>
    <row r="10495" spans="6:14" x14ac:dyDescent="0.3">
      <c r="F10495" s="1"/>
    </row>
    <row r="10496" spans="6:14" x14ac:dyDescent="0.3">
      <c r="F10496" s="1"/>
      <c r="L10496" s="1"/>
    </row>
    <row r="10498" spans="6:14" x14ac:dyDescent="0.3">
      <c r="F10498" s="1"/>
    </row>
    <row r="10499" spans="6:14" x14ac:dyDescent="0.3">
      <c r="F10499" s="1"/>
    </row>
    <row r="10500" spans="6:14" x14ac:dyDescent="0.3">
      <c r="F10500" s="1"/>
    </row>
    <row r="10501" spans="6:14" x14ac:dyDescent="0.3">
      <c r="F10501" s="1"/>
    </row>
    <row r="10502" spans="6:14" x14ac:dyDescent="0.3">
      <c r="F10502" s="1"/>
    </row>
    <row r="10504" spans="6:14" x14ac:dyDescent="0.3">
      <c r="F10504" s="1"/>
    </row>
    <row r="10505" spans="6:14" x14ac:dyDescent="0.3">
      <c r="F10505" s="1"/>
    </row>
    <row r="10506" spans="6:14" x14ac:dyDescent="0.3">
      <c r="F10506" s="1"/>
    </row>
    <row r="10507" spans="6:14" x14ac:dyDescent="0.3">
      <c r="F10507" s="1"/>
    </row>
    <row r="10510" spans="6:14" x14ac:dyDescent="0.3">
      <c r="F10510" s="1"/>
      <c r="L10510" s="1"/>
      <c r="N10510" s="1"/>
    </row>
    <row r="10511" spans="6:14" x14ac:dyDescent="0.3">
      <c r="F10511" s="1"/>
    </row>
    <row r="10513" spans="6:14" x14ac:dyDescent="0.3">
      <c r="F10513" s="1"/>
    </row>
    <row r="10514" spans="6:14" x14ac:dyDescent="0.3">
      <c r="F10514" s="1"/>
    </row>
    <row r="10515" spans="6:14" x14ac:dyDescent="0.3">
      <c r="L10515" s="1"/>
    </row>
    <row r="10516" spans="6:14" x14ac:dyDescent="0.3">
      <c r="F10516" s="1"/>
    </row>
    <row r="10517" spans="6:14" x14ac:dyDescent="0.3">
      <c r="F10517" s="1"/>
    </row>
    <row r="10518" spans="6:14" x14ac:dyDescent="0.3">
      <c r="F10518" s="1"/>
    </row>
    <row r="10519" spans="6:14" x14ac:dyDescent="0.3">
      <c r="F10519" s="1"/>
    </row>
    <row r="10520" spans="6:14" x14ac:dyDescent="0.3">
      <c r="F10520" s="1"/>
    </row>
    <row r="10521" spans="6:14" x14ac:dyDescent="0.3">
      <c r="F10521" s="1"/>
    </row>
    <row r="10522" spans="6:14" x14ac:dyDescent="0.3">
      <c r="F10522" s="1"/>
    </row>
    <row r="10523" spans="6:14" x14ac:dyDescent="0.3">
      <c r="F10523" s="1"/>
    </row>
    <row r="10524" spans="6:14" x14ac:dyDescent="0.3">
      <c r="F10524" s="1"/>
    </row>
    <row r="10525" spans="6:14" x14ac:dyDescent="0.3">
      <c r="F10525" s="1"/>
    </row>
    <row r="10526" spans="6:14" x14ac:dyDescent="0.3">
      <c r="F10526" s="1"/>
    </row>
    <row r="10527" spans="6:14" x14ac:dyDescent="0.3">
      <c r="F10527" s="1"/>
      <c r="N10527" s="1"/>
    </row>
    <row r="10528" spans="6:14" x14ac:dyDescent="0.3">
      <c r="F10528" s="1"/>
    </row>
    <row r="10531" spans="6:13" x14ac:dyDescent="0.3">
      <c r="F10531" s="1"/>
      <c r="L10531" s="1"/>
      <c r="M10531" s="1"/>
    </row>
    <row r="10533" spans="6:13" x14ac:dyDescent="0.3">
      <c r="F10533" s="1"/>
    </row>
    <row r="10534" spans="6:13" x14ac:dyDescent="0.3">
      <c r="F10534" s="1"/>
    </row>
    <row r="10535" spans="6:13" x14ac:dyDescent="0.3">
      <c r="F10535" s="1"/>
    </row>
    <row r="10536" spans="6:13" x14ac:dyDescent="0.3">
      <c r="F10536" s="1"/>
    </row>
    <row r="10537" spans="6:13" x14ac:dyDescent="0.3">
      <c r="F10537" s="1"/>
    </row>
    <row r="10538" spans="6:13" x14ac:dyDescent="0.3">
      <c r="F10538" s="1"/>
    </row>
    <row r="10539" spans="6:13" x14ac:dyDescent="0.3">
      <c r="F10539" s="1"/>
    </row>
    <row r="10540" spans="6:13" x14ac:dyDescent="0.3">
      <c r="F10540" s="1"/>
    </row>
    <row r="10541" spans="6:13" x14ac:dyDescent="0.3">
      <c r="F10541" s="1"/>
    </row>
    <row r="10542" spans="6:13" x14ac:dyDescent="0.3">
      <c r="F10542" s="1"/>
    </row>
    <row r="10543" spans="6:13" x14ac:dyDescent="0.3">
      <c r="F10543" s="1"/>
    </row>
    <row r="10544" spans="6:13" x14ac:dyDescent="0.3">
      <c r="F10544" s="1"/>
    </row>
    <row r="10545" spans="6:14" x14ac:dyDescent="0.3">
      <c r="N10545" s="1"/>
    </row>
    <row r="10546" spans="6:14" x14ac:dyDescent="0.3">
      <c r="F10546" s="1"/>
    </row>
    <row r="10548" spans="6:14" x14ac:dyDescent="0.3">
      <c r="F10548" s="1"/>
    </row>
    <row r="10549" spans="6:14" x14ac:dyDescent="0.3">
      <c r="F10549" s="1"/>
    </row>
    <row r="10550" spans="6:14" x14ac:dyDescent="0.3">
      <c r="F10550" s="1"/>
    </row>
    <row r="10551" spans="6:14" x14ac:dyDescent="0.3">
      <c r="F10551" s="1"/>
    </row>
    <row r="10552" spans="6:14" x14ac:dyDescent="0.3">
      <c r="F10552" s="1"/>
    </row>
    <row r="10554" spans="6:14" x14ac:dyDescent="0.3">
      <c r="F10554" s="1"/>
    </row>
    <row r="10555" spans="6:14" x14ac:dyDescent="0.3">
      <c r="F10555" s="1"/>
    </row>
    <row r="10556" spans="6:14" x14ac:dyDescent="0.3">
      <c r="F10556" s="1"/>
    </row>
    <row r="10558" spans="6:14" x14ac:dyDescent="0.3">
      <c r="F10558" s="1"/>
    </row>
    <row r="10559" spans="6:14" x14ac:dyDescent="0.3">
      <c r="F10559" s="1"/>
    </row>
    <row r="10560" spans="6:14" x14ac:dyDescent="0.3">
      <c r="F10560" s="1"/>
    </row>
    <row r="10561" spans="6:15" x14ac:dyDescent="0.3">
      <c r="F10561" s="1"/>
    </row>
    <row r="10562" spans="6:15" x14ac:dyDescent="0.3">
      <c r="F10562" s="1"/>
    </row>
    <row r="10563" spans="6:15" x14ac:dyDescent="0.3">
      <c r="F10563" s="1"/>
    </row>
    <row r="10564" spans="6:15" x14ac:dyDescent="0.3">
      <c r="N10564" s="1"/>
      <c r="O10564" s="1"/>
    </row>
    <row r="10565" spans="6:15" x14ac:dyDescent="0.3">
      <c r="F10565" s="1"/>
    </row>
    <row r="10566" spans="6:15" x14ac:dyDescent="0.3">
      <c r="F10566" s="1"/>
      <c r="N10566" s="1"/>
    </row>
    <row r="10567" spans="6:15" x14ac:dyDescent="0.3">
      <c r="F10567" s="1"/>
    </row>
    <row r="10568" spans="6:15" x14ac:dyDescent="0.3">
      <c r="F10568" s="1"/>
    </row>
    <row r="10569" spans="6:15" x14ac:dyDescent="0.3">
      <c r="F10569" s="1"/>
    </row>
    <row r="10570" spans="6:15" x14ac:dyDescent="0.3">
      <c r="F10570" s="1"/>
    </row>
    <row r="10571" spans="6:15" x14ac:dyDescent="0.3">
      <c r="F10571" s="1"/>
    </row>
    <row r="10572" spans="6:15" x14ac:dyDescent="0.3">
      <c r="F10572" s="1"/>
    </row>
    <row r="10573" spans="6:15" x14ac:dyDescent="0.3">
      <c r="F10573" s="1"/>
    </row>
    <row r="10574" spans="6:15" x14ac:dyDescent="0.3">
      <c r="F10574" s="1"/>
    </row>
    <row r="10575" spans="6:15" x14ac:dyDescent="0.3">
      <c r="F10575" s="1"/>
    </row>
    <row r="10576" spans="6:15" x14ac:dyDescent="0.3">
      <c r="F10576" s="1"/>
    </row>
    <row r="10577" spans="6:6" x14ac:dyDescent="0.3">
      <c r="F10577" s="1"/>
    </row>
    <row r="10578" spans="6:6" x14ac:dyDescent="0.3">
      <c r="F10578" s="1"/>
    </row>
    <row r="10579" spans="6:6" x14ac:dyDescent="0.3">
      <c r="F10579" s="1"/>
    </row>
    <row r="10580" spans="6:6" x14ac:dyDescent="0.3">
      <c r="F10580" s="1"/>
    </row>
    <row r="10581" spans="6:6" x14ac:dyDescent="0.3">
      <c r="F10581" s="1"/>
    </row>
    <row r="10582" spans="6:6" x14ac:dyDescent="0.3">
      <c r="F10582" s="1"/>
    </row>
    <row r="10583" spans="6:6" x14ac:dyDescent="0.3">
      <c r="F10583" s="1"/>
    </row>
    <row r="10584" spans="6:6" x14ac:dyDescent="0.3">
      <c r="F10584" s="1"/>
    </row>
    <row r="10585" spans="6:6" x14ac:dyDescent="0.3">
      <c r="F10585" s="1"/>
    </row>
    <row r="10586" spans="6:6" x14ac:dyDescent="0.3">
      <c r="F10586" s="1"/>
    </row>
    <row r="10587" spans="6:6" x14ac:dyDescent="0.3">
      <c r="F10587" s="1"/>
    </row>
    <row r="10588" spans="6:6" x14ac:dyDescent="0.3">
      <c r="F10588" s="1"/>
    </row>
    <row r="10589" spans="6:6" x14ac:dyDescent="0.3">
      <c r="F10589" s="1"/>
    </row>
    <row r="10590" spans="6:6" x14ac:dyDescent="0.3">
      <c r="F10590" s="1"/>
    </row>
    <row r="10591" spans="6:6" x14ac:dyDescent="0.3">
      <c r="F10591" s="1"/>
    </row>
    <row r="10592" spans="6:6" x14ac:dyDescent="0.3">
      <c r="F10592" s="1"/>
    </row>
    <row r="10593" spans="6:12" x14ac:dyDescent="0.3">
      <c r="F10593" s="1"/>
    </row>
    <row r="10594" spans="6:12" x14ac:dyDescent="0.3">
      <c r="F10594" s="1"/>
    </row>
    <row r="10595" spans="6:12" x14ac:dyDescent="0.3">
      <c r="F10595" s="1"/>
    </row>
    <row r="10597" spans="6:12" x14ac:dyDescent="0.3">
      <c r="F10597" s="1"/>
    </row>
    <row r="10599" spans="6:12" x14ac:dyDescent="0.3">
      <c r="F10599" s="1"/>
    </row>
    <row r="10600" spans="6:12" x14ac:dyDescent="0.3">
      <c r="L10600" s="1"/>
    </row>
    <row r="10601" spans="6:12" x14ac:dyDescent="0.3">
      <c r="F10601" s="1"/>
    </row>
    <row r="10602" spans="6:12" x14ac:dyDescent="0.3">
      <c r="F10602" s="1"/>
    </row>
    <row r="10604" spans="6:12" x14ac:dyDescent="0.3">
      <c r="F10604" s="1"/>
    </row>
    <row r="10607" spans="6:12" x14ac:dyDescent="0.3">
      <c r="F10607" s="1"/>
    </row>
    <row r="10608" spans="6:12" x14ac:dyDescent="0.3">
      <c r="F10608" s="1"/>
    </row>
    <row r="10609" spans="6:15" x14ac:dyDescent="0.3">
      <c r="F10609" s="1"/>
    </row>
    <row r="10610" spans="6:15" x14ac:dyDescent="0.3">
      <c r="F10610" s="1"/>
    </row>
    <row r="10611" spans="6:15" x14ac:dyDescent="0.3">
      <c r="F10611" s="1"/>
    </row>
    <row r="10612" spans="6:15" x14ac:dyDescent="0.3">
      <c r="F10612" s="1"/>
    </row>
    <row r="10614" spans="6:15" x14ac:dyDescent="0.3">
      <c r="F10614" s="1"/>
    </row>
    <row r="10615" spans="6:15" x14ac:dyDescent="0.3">
      <c r="F10615" s="1"/>
    </row>
    <row r="10616" spans="6:15" x14ac:dyDescent="0.3">
      <c r="F10616" s="1"/>
    </row>
    <row r="10617" spans="6:15" x14ac:dyDescent="0.3">
      <c r="F10617" s="1"/>
    </row>
    <row r="10618" spans="6:15" x14ac:dyDescent="0.3">
      <c r="F10618" s="1"/>
    </row>
    <row r="10619" spans="6:15" x14ac:dyDescent="0.3">
      <c r="L10619" s="1"/>
      <c r="M10619" s="1"/>
      <c r="N10619" s="1"/>
      <c r="O10619" s="1"/>
    </row>
    <row r="10620" spans="6:15" x14ac:dyDescent="0.3">
      <c r="F10620" s="1"/>
    </row>
    <row r="10621" spans="6:15" x14ac:dyDescent="0.3">
      <c r="F10621" s="1"/>
      <c r="L10621" s="1"/>
    </row>
    <row r="10622" spans="6:15" x14ac:dyDescent="0.3">
      <c r="F10622" s="1"/>
    </row>
    <row r="10623" spans="6:15" x14ac:dyDescent="0.3">
      <c r="F10623" s="1"/>
    </row>
    <row r="10624" spans="6:15" x14ac:dyDescent="0.3">
      <c r="F10624" s="1"/>
    </row>
    <row r="10625" spans="6:14" x14ac:dyDescent="0.3">
      <c r="F10625" s="1"/>
    </row>
    <row r="10626" spans="6:14" x14ac:dyDescent="0.3">
      <c r="F10626" s="1"/>
    </row>
    <row r="10627" spans="6:14" x14ac:dyDescent="0.3">
      <c r="F10627" s="1"/>
      <c r="N10627" s="1"/>
    </row>
    <row r="10628" spans="6:14" x14ac:dyDescent="0.3">
      <c r="F10628" s="1"/>
    </row>
    <row r="10629" spans="6:14" x14ac:dyDescent="0.3">
      <c r="F10629" s="1"/>
      <c r="L10629" s="1"/>
    </row>
    <row r="10630" spans="6:14" x14ac:dyDescent="0.3">
      <c r="F10630" s="1"/>
    </row>
    <row r="10631" spans="6:14" x14ac:dyDescent="0.3">
      <c r="F10631" s="1"/>
    </row>
    <row r="10632" spans="6:14" x14ac:dyDescent="0.3">
      <c r="F10632" s="1"/>
    </row>
    <row r="10633" spans="6:14" x14ac:dyDescent="0.3">
      <c r="F10633" s="1"/>
    </row>
    <row r="10634" spans="6:14" x14ac:dyDescent="0.3">
      <c r="F10634" s="1"/>
    </row>
    <row r="10635" spans="6:14" x14ac:dyDescent="0.3">
      <c r="F10635" s="1"/>
    </row>
    <row r="10636" spans="6:14" x14ac:dyDescent="0.3">
      <c r="F10636" s="1"/>
    </row>
    <row r="10637" spans="6:14" x14ac:dyDescent="0.3">
      <c r="F10637" s="1"/>
    </row>
    <row r="10638" spans="6:14" x14ac:dyDescent="0.3">
      <c r="F10638" s="1"/>
    </row>
    <row r="10639" spans="6:14" x14ac:dyDescent="0.3">
      <c r="F10639" s="1"/>
    </row>
    <row r="10640" spans="6:14" x14ac:dyDescent="0.3">
      <c r="F10640" s="1"/>
    </row>
    <row r="10641" spans="6:15" x14ac:dyDescent="0.3">
      <c r="F10641" s="1"/>
    </row>
    <row r="10642" spans="6:15" x14ac:dyDescent="0.3">
      <c r="F10642" s="1"/>
    </row>
    <row r="10643" spans="6:15" x14ac:dyDescent="0.3">
      <c r="F10643" s="1"/>
    </row>
    <row r="10644" spans="6:15" x14ac:dyDescent="0.3">
      <c r="F10644" s="1"/>
    </row>
    <row r="10645" spans="6:15" x14ac:dyDescent="0.3">
      <c r="F10645" s="1"/>
    </row>
    <row r="10647" spans="6:15" x14ac:dyDescent="0.3">
      <c r="F10647" s="1"/>
    </row>
    <row r="10648" spans="6:15" x14ac:dyDescent="0.3">
      <c r="F10648" s="1"/>
      <c r="M10648" s="1"/>
      <c r="N10648" s="1"/>
      <c r="O10648" s="1"/>
    </row>
    <row r="10649" spans="6:15" x14ac:dyDescent="0.3">
      <c r="F10649" s="1"/>
    </row>
    <row r="10651" spans="6:15" x14ac:dyDescent="0.3">
      <c r="F10651" s="1"/>
    </row>
    <row r="10652" spans="6:15" x14ac:dyDescent="0.3">
      <c r="F10652" s="1"/>
      <c r="M10652" s="1"/>
    </row>
    <row r="10653" spans="6:15" x14ac:dyDescent="0.3">
      <c r="F10653" s="1"/>
    </row>
    <row r="10654" spans="6:15" x14ac:dyDescent="0.3">
      <c r="F10654" s="1"/>
    </row>
    <row r="10655" spans="6:15" x14ac:dyDescent="0.3">
      <c r="F10655" s="1"/>
    </row>
    <row r="10656" spans="6:15" x14ac:dyDescent="0.3">
      <c r="F10656" s="1"/>
    </row>
    <row r="10657" spans="6:15" x14ac:dyDescent="0.3">
      <c r="M10657" s="1"/>
    </row>
    <row r="10658" spans="6:15" x14ac:dyDescent="0.3">
      <c r="F10658" s="1"/>
    </row>
    <row r="10659" spans="6:15" x14ac:dyDescent="0.3">
      <c r="F10659" s="1"/>
    </row>
    <row r="10662" spans="6:15" x14ac:dyDescent="0.3">
      <c r="F10662" s="1"/>
    </row>
    <row r="10664" spans="6:15" x14ac:dyDescent="0.3">
      <c r="F10664" s="1"/>
    </row>
    <row r="10665" spans="6:15" x14ac:dyDescent="0.3">
      <c r="F10665" s="1"/>
    </row>
    <row r="10666" spans="6:15" x14ac:dyDescent="0.3">
      <c r="F10666" s="1"/>
    </row>
    <row r="10667" spans="6:15" x14ac:dyDescent="0.3">
      <c r="L10667" s="1"/>
      <c r="N10667" s="1"/>
      <c r="O10667" s="1"/>
    </row>
    <row r="10668" spans="6:15" x14ac:dyDescent="0.3">
      <c r="F10668" s="1"/>
    </row>
    <row r="10669" spans="6:15" x14ac:dyDescent="0.3">
      <c r="F10669" s="1"/>
    </row>
    <row r="10670" spans="6:15" x14ac:dyDescent="0.3">
      <c r="F10670" s="1"/>
    </row>
    <row r="10671" spans="6:15" x14ac:dyDescent="0.3">
      <c r="F10671" s="1"/>
    </row>
    <row r="10672" spans="6:15" x14ac:dyDescent="0.3">
      <c r="F10672" s="1"/>
    </row>
    <row r="10673" spans="6:14" x14ac:dyDescent="0.3">
      <c r="F10673" s="1"/>
    </row>
    <row r="10674" spans="6:14" x14ac:dyDescent="0.3">
      <c r="F10674" s="1"/>
    </row>
    <row r="10675" spans="6:14" x14ac:dyDescent="0.3">
      <c r="F10675" s="1"/>
      <c r="N10675" s="1"/>
    </row>
    <row r="10676" spans="6:14" x14ac:dyDescent="0.3">
      <c r="L10676" s="1"/>
      <c r="M10676" s="1"/>
    </row>
    <row r="10678" spans="6:14" x14ac:dyDescent="0.3">
      <c r="F10678" s="1"/>
    </row>
    <row r="10679" spans="6:14" x14ac:dyDescent="0.3">
      <c r="F10679" s="1"/>
    </row>
    <row r="10680" spans="6:14" x14ac:dyDescent="0.3">
      <c r="F10680" s="1"/>
    </row>
    <row r="10681" spans="6:14" x14ac:dyDescent="0.3">
      <c r="F10681" s="1"/>
    </row>
    <row r="10682" spans="6:14" x14ac:dyDescent="0.3">
      <c r="F10682" s="1"/>
    </row>
    <row r="10684" spans="6:14" x14ac:dyDescent="0.3">
      <c r="F10684" s="1"/>
    </row>
    <row r="10685" spans="6:14" x14ac:dyDescent="0.3">
      <c r="F10685" s="1"/>
    </row>
    <row r="10686" spans="6:14" x14ac:dyDescent="0.3">
      <c r="F10686" s="1"/>
    </row>
    <row r="10687" spans="6:14" x14ac:dyDescent="0.3">
      <c r="F10687" s="1"/>
    </row>
    <row r="10688" spans="6:14" x14ac:dyDescent="0.3">
      <c r="F10688" s="1"/>
    </row>
    <row r="10689" spans="6:14" x14ac:dyDescent="0.3">
      <c r="F10689" s="1"/>
    </row>
    <row r="10690" spans="6:14" x14ac:dyDescent="0.3">
      <c r="F10690" s="1"/>
    </row>
    <row r="10691" spans="6:14" x14ac:dyDescent="0.3">
      <c r="F10691" s="1"/>
    </row>
    <row r="10692" spans="6:14" x14ac:dyDescent="0.3">
      <c r="F10692" s="1"/>
    </row>
    <row r="10693" spans="6:14" x14ac:dyDescent="0.3">
      <c r="F10693" s="1"/>
    </row>
    <row r="10694" spans="6:14" x14ac:dyDescent="0.3">
      <c r="F10694" s="1"/>
    </row>
    <row r="10695" spans="6:14" x14ac:dyDescent="0.3">
      <c r="F10695" s="1"/>
    </row>
    <row r="10696" spans="6:14" x14ac:dyDescent="0.3">
      <c r="L10696" s="1"/>
      <c r="M10696" s="1"/>
      <c r="N10696" s="1"/>
    </row>
    <row r="10697" spans="6:14" x14ac:dyDescent="0.3">
      <c r="F10697" s="1"/>
    </row>
    <row r="10698" spans="6:14" x14ac:dyDescent="0.3">
      <c r="F10698" s="1"/>
    </row>
    <row r="10699" spans="6:14" x14ac:dyDescent="0.3">
      <c r="F10699" s="1"/>
    </row>
    <row r="10700" spans="6:14" x14ac:dyDescent="0.3">
      <c r="F10700" s="1"/>
    </row>
    <row r="10701" spans="6:14" x14ac:dyDescent="0.3">
      <c r="F10701" s="1"/>
    </row>
    <row r="10702" spans="6:14" x14ac:dyDescent="0.3">
      <c r="F10702" s="1"/>
    </row>
    <row r="10704" spans="6:14" x14ac:dyDescent="0.3">
      <c r="F10704" s="1"/>
    </row>
    <row r="10706" spans="6:15" x14ac:dyDescent="0.3">
      <c r="F10706" s="1"/>
    </row>
    <row r="10707" spans="6:15" x14ac:dyDescent="0.3">
      <c r="F10707" s="1"/>
    </row>
    <row r="10708" spans="6:15" x14ac:dyDescent="0.3">
      <c r="F10708" s="1"/>
      <c r="L10708" s="1"/>
      <c r="N10708" s="1"/>
      <c r="O10708" s="1"/>
    </row>
    <row r="10709" spans="6:15" x14ac:dyDescent="0.3">
      <c r="F10709" s="1"/>
    </row>
    <row r="10710" spans="6:15" x14ac:dyDescent="0.3">
      <c r="F10710" s="1"/>
    </row>
    <row r="10712" spans="6:15" x14ac:dyDescent="0.3">
      <c r="F10712" s="1"/>
    </row>
    <row r="10713" spans="6:15" x14ac:dyDescent="0.3">
      <c r="F10713" s="1"/>
    </row>
    <row r="10714" spans="6:15" x14ac:dyDescent="0.3">
      <c r="M10714" s="1"/>
    </row>
    <row r="10715" spans="6:15" x14ac:dyDescent="0.3">
      <c r="F10715" s="1"/>
    </row>
    <row r="10716" spans="6:15" x14ac:dyDescent="0.3">
      <c r="F10716" s="1"/>
    </row>
    <row r="10717" spans="6:15" x14ac:dyDescent="0.3">
      <c r="F10717" s="1"/>
    </row>
    <row r="10718" spans="6:15" x14ac:dyDescent="0.3">
      <c r="F10718" s="1"/>
    </row>
    <row r="10720" spans="6:15" x14ac:dyDescent="0.3">
      <c r="F10720" s="1"/>
      <c r="M10720" s="1"/>
    </row>
    <row r="10721" spans="6:12" x14ac:dyDescent="0.3">
      <c r="F10721" s="1"/>
    </row>
    <row r="10722" spans="6:12" x14ac:dyDescent="0.3">
      <c r="F10722" s="1"/>
    </row>
    <row r="10723" spans="6:12" x14ac:dyDescent="0.3">
      <c r="F10723" s="1"/>
    </row>
    <row r="10724" spans="6:12" x14ac:dyDescent="0.3">
      <c r="F10724" s="1"/>
    </row>
    <row r="10725" spans="6:12" x14ac:dyDescent="0.3">
      <c r="F10725" s="1"/>
    </row>
    <row r="10726" spans="6:12" x14ac:dyDescent="0.3">
      <c r="F10726" s="1"/>
    </row>
    <row r="10727" spans="6:12" x14ac:dyDescent="0.3">
      <c r="F10727" s="1"/>
    </row>
    <row r="10728" spans="6:12" x14ac:dyDescent="0.3">
      <c r="F10728" s="1"/>
    </row>
    <row r="10730" spans="6:12" x14ac:dyDescent="0.3">
      <c r="F10730" s="1"/>
    </row>
    <row r="10731" spans="6:12" x14ac:dyDescent="0.3">
      <c r="F10731" s="1"/>
    </row>
    <row r="10733" spans="6:12" x14ac:dyDescent="0.3">
      <c r="F10733" s="1"/>
      <c r="L10733" s="1"/>
    </row>
    <row r="10734" spans="6:12" x14ac:dyDescent="0.3">
      <c r="F10734" s="1"/>
    </row>
    <row r="10735" spans="6:12" x14ac:dyDescent="0.3">
      <c r="F10735" s="1"/>
    </row>
    <row r="10736" spans="6:12" x14ac:dyDescent="0.3">
      <c r="F10736" s="1"/>
    </row>
    <row r="10737" spans="6:14" x14ac:dyDescent="0.3">
      <c r="F10737" s="1"/>
    </row>
    <row r="10738" spans="6:14" x14ac:dyDescent="0.3">
      <c r="F10738" s="1"/>
    </row>
    <row r="10740" spans="6:14" x14ac:dyDescent="0.3">
      <c r="F10740" s="1"/>
    </row>
    <row r="10741" spans="6:14" x14ac:dyDescent="0.3">
      <c r="F10741" s="1"/>
    </row>
    <row r="10743" spans="6:14" x14ac:dyDescent="0.3">
      <c r="F10743" s="1"/>
    </row>
    <row r="10745" spans="6:14" x14ac:dyDescent="0.3">
      <c r="F10745" s="1"/>
    </row>
    <row r="10746" spans="6:14" x14ac:dyDescent="0.3">
      <c r="F10746" s="1"/>
      <c r="N10746" s="1"/>
    </row>
    <row r="10747" spans="6:14" x14ac:dyDescent="0.3">
      <c r="F10747" s="1"/>
    </row>
    <row r="10750" spans="6:14" x14ac:dyDescent="0.3">
      <c r="F10750" s="1"/>
    </row>
    <row r="10751" spans="6:14" x14ac:dyDescent="0.3">
      <c r="F10751" s="1"/>
    </row>
    <row r="10752" spans="6:14" x14ac:dyDescent="0.3">
      <c r="F10752" s="1"/>
    </row>
    <row r="10754" spans="6:15" x14ac:dyDescent="0.3">
      <c r="F10754" s="1"/>
    </row>
    <row r="10755" spans="6:15" x14ac:dyDescent="0.3">
      <c r="F10755" s="1"/>
    </row>
    <row r="10756" spans="6:15" x14ac:dyDescent="0.3">
      <c r="F10756" s="1"/>
    </row>
    <row r="10757" spans="6:15" x14ac:dyDescent="0.3">
      <c r="F10757" s="1"/>
    </row>
    <row r="10758" spans="6:15" x14ac:dyDescent="0.3">
      <c r="F10758" s="1"/>
      <c r="L10758" s="1"/>
      <c r="O10758" s="1"/>
    </row>
    <row r="10759" spans="6:15" x14ac:dyDescent="0.3">
      <c r="F10759" s="1"/>
    </row>
    <row r="10760" spans="6:15" x14ac:dyDescent="0.3">
      <c r="F10760" s="1"/>
    </row>
    <row r="10761" spans="6:15" x14ac:dyDescent="0.3">
      <c r="F10761" s="1"/>
    </row>
    <row r="10762" spans="6:15" x14ac:dyDescent="0.3">
      <c r="F10762" s="1"/>
    </row>
    <row r="10763" spans="6:15" x14ac:dyDescent="0.3">
      <c r="F10763" s="1"/>
    </row>
    <row r="10764" spans="6:15" x14ac:dyDescent="0.3">
      <c r="F10764" s="1"/>
    </row>
    <row r="10765" spans="6:15" x14ac:dyDescent="0.3">
      <c r="F10765" s="1"/>
    </row>
    <row r="10767" spans="6:15" x14ac:dyDescent="0.3">
      <c r="F10767" s="1"/>
    </row>
    <row r="10768" spans="6:15" x14ac:dyDescent="0.3">
      <c r="F10768" s="1"/>
    </row>
    <row r="10769" spans="6:13" x14ac:dyDescent="0.3">
      <c r="F10769" s="1"/>
      <c r="M10769" s="1"/>
    </row>
    <row r="10770" spans="6:13" x14ac:dyDescent="0.3">
      <c r="F10770" s="1"/>
    </row>
    <row r="10771" spans="6:13" x14ac:dyDescent="0.3">
      <c r="F10771" s="1"/>
    </row>
    <row r="10772" spans="6:13" x14ac:dyDescent="0.3">
      <c r="F10772" s="1"/>
    </row>
    <row r="10774" spans="6:13" x14ac:dyDescent="0.3">
      <c r="F10774" s="1"/>
    </row>
    <row r="10775" spans="6:13" x14ac:dyDescent="0.3">
      <c r="F10775" s="1"/>
    </row>
    <row r="10776" spans="6:13" x14ac:dyDescent="0.3">
      <c r="F10776" s="1"/>
    </row>
    <row r="10778" spans="6:13" x14ac:dyDescent="0.3">
      <c r="M10778" s="1"/>
    </row>
    <row r="10779" spans="6:13" x14ac:dyDescent="0.3">
      <c r="F10779" s="1"/>
    </row>
    <row r="10781" spans="6:13" x14ac:dyDescent="0.3">
      <c r="F10781" s="1"/>
    </row>
    <row r="10782" spans="6:13" x14ac:dyDescent="0.3">
      <c r="F10782" s="1"/>
    </row>
    <row r="10783" spans="6:13" x14ac:dyDescent="0.3">
      <c r="F10783" s="1"/>
    </row>
    <row r="10785" spans="6:6" x14ac:dyDescent="0.3">
      <c r="F10785" s="1"/>
    </row>
    <row r="10786" spans="6:6" x14ac:dyDescent="0.3">
      <c r="F10786" s="1"/>
    </row>
    <row r="10787" spans="6:6" x14ac:dyDescent="0.3">
      <c r="F10787" s="1"/>
    </row>
    <row r="10788" spans="6:6" x14ac:dyDescent="0.3">
      <c r="F10788" s="1"/>
    </row>
    <row r="10790" spans="6:6" x14ac:dyDescent="0.3">
      <c r="F10790" s="1"/>
    </row>
    <row r="10791" spans="6:6" x14ac:dyDescent="0.3">
      <c r="F10791" s="1"/>
    </row>
    <row r="10792" spans="6:6" x14ac:dyDescent="0.3">
      <c r="F10792" s="1"/>
    </row>
    <row r="10793" spans="6:6" x14ac:dyDescent="0.3">
      <c r="F10793" s="1"/>
    </row>
    <row r="10794" spans="6:6" x14ac:dyDescent="0.3">
      <c r="F10794" s="1"/>
    </row>
    <row r="10795" spans="6:6" x14ac:dyDescent="0.3">
      <c r="F10795" s="1"/>
    </row>
    <row r="10796" spans="6:6" x14ac:dyDescent="0.3">
      <c r="F10796" s="1"/>
    </row>
    <row r="10797" spans="6:6" x14ac:dyDescent="0.3">
      <c r="F10797" s="1"/>
    </row>
    <row r="10798" spans="6:6" x14ac:dyDescent="0.3">
      <c r="F10798" s="1"/>
    </row>
    <row r="10799" spans="6:6" x14ac:dyDescent="0.3">
      <c r="F10799" s="1"/>
    </row>
    <row r="10800" spans="6:6" x14ac:dyDescent="0.3">
      <c r="F10800" s="1"/>
    </row>
    <row r="10801" spans="6:14" x14ac:dyDescent="0.3">
      <c r="N10801" s="1"/>
    </row>
    <row r="10802" spans="6:14" x14ac:dyDescent="0.3">
      <c r="F10802" s="1"/>
    </row>
    <row r="10803" spans="6:14" x14ac:dyDescent="0.3">
      <c r="F10803" s="1"/>
      <c r="M10803" s="1"/>
    </row>
    <row r="10804" spans="6:14" x14ac:dyDescent="0.3">
      <c r="F10804" s="1"/>
    </row>
    <row r="10805" spans="6:14" x14ac:dyDescent="0.3">
      <c r="F10805" s="1"/>
    </row>
    <row r="10806" spans="6:14" x14ac:dyDescent="0.3">
      <c r="F10806" s="1"/>
    </row>
    <row r="10807" spans="6:14" x14ac:dyDescent="0.3">
      <c r="F10807" s="1"/>
    </row>
    <row r="10808" spans="6:14" x14ac:dyDescent="0.3">
      <c r="F10808" s="1"/>
    </row>
    <row r="10809" spans="6:14" x14ac:dyDescent="0.3">
      <c r="F10809" s="1"/>
    </row>
    <row r="10810" spans="6:14" x14ac:dyDescent="0.3">
      <c r="F10810" s="1"/>
    </row>
    <row r="10811" spans="6:14" x14ac:dyDescent="0.3">
      <c r="F10811" s="1"/>
    </row>
    <row r="10812" spans="6:14" x14ac:dyDescent="0.3">
      <c r="F10812" s="1"/>
    </row>
    <row r="10813" spans="6:14" x14ac:dyDescent="0.3">
      <c r="F10813" s="1"/>
    </row>
    <row r="10814" spans="6:14" x14ac:dyDescent="0.3">
      <c r="F10814" s="1"/>
    </row>
    <row r="10815" spans="6:14" x14ac:dyDescent="0.3">
      <c r="F10815" s="1"/>
    </row>
    <row r="10817" spans="6:14" x14ac:dyDescent="0.3">
      <c r="M10817" s="1"/>
      <c r="N10817" s="1"/>
    </row>
    <row r="10818" spans="6:14" x14ac:dyDescent="0.3">
      <c r="F10818" s="1"/>
    </row>
    <row r="10819" spans="6:14" x14ac:dyDescent="0.3">
      <c r="F10819" s="1"/>
    </row>
    <row r="10820" spans="6:14" x14ac:dyDescent="0.3">
      <c r="F10820" s="1"/>
    </row>
    <row r="10821" spans="6:14" x14ac:dyDescent="0.3">
      <c r="L10821" s="1"/>
      <c r="M10821" s="1"/>
    </row>
    <row r="10823" spans="6:14" x14ac:dyDescent="0.3">
      <c r="F10823" s="1"/>
    </row>
    <row r="10824" spans="6:14" x14ac:dyDescent="0.3">
      <c r="F10824" s="1"/>
      <c r="L10824" s="1"/>
    </row>
    <row r="10825" spans="6:14" x14ac:dyDescent="0.3">
      <c r="M10825" s="1"/>
    </row>
    <row r="10827" spans="6:14" x14ac:dyDescent="0.3">
      <c r="F10827" s="1"/>
    </row>
    <row r="10828" spans="6:14" x14ac:dyDescent="0.3">
      <c r="F10828" s="1"/>
      <c r="L10828" s="1"/>
    </row>
    <row r="10829" spans="6:14" x14ac:dyDescent="0.3">
      <c r="F10829" s="1"/>
    </row>
    <row r="10830" spans="6:14" x14ac:dyDescent="0.3">
      <c r="F10830" s="1"/>
    </row>
    <row r="10831" spans="6:14" x14ac:dyDescent="0.3">
      <c r="F10831" s="1"/>
    </row>
    <row r="10832" spans="6:14" x14ac:dyDescent="0.3">
      <c r="F10832" s="1"/>
    </row>
    <row r="10833" spans="6:15" x14ac:dyDescent="0.3">
      <c r="F10833" s="1"/>
    </row>
    <row r="10834" spans="6:15" x14ac:dyDescent="0.3">
      <c r="F10834" s="1"/>
    </row>
    <row r="10835" spans="6:15" x14ac:dyDescent="0.3">
      <c r="F10835" s="1"/>
      <c r="N10835" s="1"/>
    </row>
    <row r="10836" spans="6:15" x14ac:dyDescent="0.3">
      <c r="F10836" s="1"/>
    </row>
    <row r="10837" spans="6:15" x14ac:dyDescent="0.3">
      <c r="F10837" s="1"/>
    </row>
    <row r="10838" spans="6:15" x14ac:dyDescent="0.3">
      <c r="O10838" s="1"/>
    </row>
    <row r="10840" spans="6:15" x14ac:dyDescent="0.3">
      <c r="F10840" s="1"/>
    </row>
    <row r="10841" spans="6:15" x14ac:dyDescent="0.3">
      <c r="F10841" s="1"/>
    </row>
    <row r="10842" spans="6:15" x14ac:dyDescent="0.3">
      <c r="F10842" s="1"/>
    </row>
    <row r="10843" spans="6:15" x14ac:dyDescent="0.3">
      <c r="F10843" s="1"/>
    </row>
    <row r="10844" spans="6:15" x14ac:dyDescent="0.3">
      <c r="N10844" s="1"/>
    </row>
    <row r="10846" spans="6:15" x14ac:dyDescent="0.3">
      <c r="F10846" s="1"/>
    </row>
    <row r="10848" spans="6:15" x14ac:dyDescent="0.3">
      <c r="F10848" s="1"/>
    </row>
    <row r="10850" spans="6:6" x14ac:dyDescent="0.3">
      <c r="F10850" s="1"/>
    </row>
    <row r="10851" spans="6:6" x14ac:dyDescent="0.3">
      <c r="F10851" s="1"/>
    </row>
    <row r="10852" spans="6:6" x14ac:dyDescent="0.3">
      <c r="F10852" s="1"/>
    </row>
    <row r="10853" spans="6:6" x14ac:dyDescent="0.3">
      <c r="F10853" s="1"/>
    </row>
    <row r="10854" spans="6:6" x14ac:dyDescent="0.3">
      <c r="F10854" s="1"/>
    </row>
    <row r="10855" spans="6:6" x14ac:dyDescent="0.3">
      <c r="F10855" s="1"/>
    </row>
    <row r="10856" spans="6:6" x14ac:dyDescent="0.3">
      <c r="F10856" s="1"/>
    </row>
    <row r="10857" spans="6:6" x14ac:dyDescent="0.3">
      <c r="F10857" s="1"/>
    </row>
    <row r="10858" spans="6:6" x14ac:dyDescent="0.3">
      <c r="F10858" s="1"/>
    </row>
    <row r="10859" spans="6:6" x14ac:dyDescent="0.3">
      <c r="F10859" s="1"/>
    </row>
    <row r="10860" spans="6:6" x14ac:dyDescent="0.3">
      <c r="F10860" s="1"/>
    </row>
    <row r="10862" spans="6:6" x14ac:dyDescent="0.3">
      <c r="F10862" s="1"/>
    </row>
    <row r="10863" spans="6:6" x14ac:dyDescent="0.3">
      <c r="F10863" s="1"/>
    </row>
    <row r="10864" spans="6:6" x14ac:dyDescent="0.3">
      <c r="F10864" s="1"/>
    </row>
    <row r="10865" spans="6:14" x14ac:dyDescent="0.3">
      <c r="F10865" s="1"/>
    </row>
    <row r="10866" spans="6:14" x14ac:dyDescent="0.3">
      <c r="F10866" s="1"/>
    </row>
    <row r="10867" spans="6:14" x14ac:dyDescent="0.3">
      <c r="M10867" s="1"/>
      <c r="N10867" s="1"/>
    </row>
    <row r="10868" spans="6:14" x14ac:dyDescent="0.3">
      <c r="F10868" s="1"/>
    </row>
    <row r="10869" spans="6:14" x14ac:dyDescent="0.3">
      <c r="F10869" s="1"/>
    </row>
    <row r="10870" spans="6:14" x14ac:dyDescent="0.3">
      <c r="F10870" s="1"/>
    </row>
    <row r="10872" spans="6:14" x14ac:dyDescent="0.3">
      <c r="F10872" s="1"/>
    </row>
    <row r="10873" spans="6:14" x14ac:dyDescent="0.3">
      <c r="F10873" s="1"/>
    </row>
    <row r="10874" spans="6:14" x14ac:dyDescent="0.3">
      <c r="F10874" s="1"/>
    </row>
    <row r="10875" spans="6:14" x14ac:dyDescent="0.3">
      <c r="F10875" s="1"/>
    </row>
    <row r="10876" spans="6:14" x14ac:dyDescent="0.3">
      <c r="F10876" s="1"/>
    </row>
    <row r="10877" spans="6:14" x14ac:dyDescent="0.3">
      <c r="F10877" s="1"/>
    </row>
    <row r="10878" spans="6:14" x14ac:dyDescent="0.3">
      <c r="F10878" s="1"/>
    </row>
    <row r="10879" spans="6:14" x14ac:dyDescent="0.3">
      <c r="F10879" s="1"/>
    </row>
    <row r="10880" spans="6:14" x14ac:dyDescent="0.3">
      <c r="F10880" s="1"/>
    </row>
    <row r="10881" spans="6:12" x14ac:dyDescent="0.3">
      <c r="F10881" s="1"/>
    </row>
    <row r="10882" spans="6:12" x14ac:dyDescent="0.3">
      <c r="F10882" s="1"/>
    </row>
    <row r="10883" spans="6:12" x14ac:dyDescent="0.3">
      <c r="F10883" s="1"/>
      <c r="L10883" s="1"/>
    </row>
    <row r="10885" spans="6:12" x14ac:dyDescent="0.3">
      <c r="F10885" s="1"/>
    </row>
    <row r="10886" spans="6:12" x14ac:dyDescent="0.3">
      <c r="F10886" s="1"/>
    </row>
    <row r="10887" spans="6:12" x14ac:dyDescent="0.3">
      <c r="F10887" s="1"/>
    </row>
    <row r="10890" spans="6:12" x14ac:dyDescent="0.3">
      <c r="F10890" s="1"/>
    </row>
    <row r="10891" spans="6:12" x14ac:dyDescent="0.3">
      <c r="F10891" s="1"/>
    </row>
    <row r="10892" spans="6:12" x14ac:dyDescent="0.3">
      <c r="F10892" s="1"/>
    </row>
    <row r="10893" spans="6:12" x14ac:dyDescent="0.3">
      <c r="F10893" s="1"/>
    </row>
    <row r="10894" spans="6:12" x14ac:dyDescent="0.3">
      <c r="L10894" s="1"/>
    </row>
    <row r="10895" spans="6:12" x14ac:dyDescent="0.3">
      <c r="F10895" s="1"/>
    </row>
    <row r="10896" spans="6:12" x14ac:dyDescent="0.3">
      <c r="F10896" s="1"/>
    </row>
    <row r="10898" spans="6:14" x14ac:dyDescent="0.3">
      <c r="F10898" s="1"/>
    </row>
    <row r="10899" spans="6:14" x14ac:dyDescent="0.3">
      <c r="F10899" s="1"/>
    </row>
    <row r="10900" spans="6:14" x14ac:dyDescent="0.3">
      <c r="F10900" s="1"/>
    </row>
    <row r="10902" spans="6:14" x14ac:dyDescent="0.3">
      <c r="F10902" s="1"/>
    </row>
    <row r="10903" spans="6:14" x14ac:dyDescent="0.3">
      <c r="L10903" s="1"/>
    </row>
    <row r="10904" spans="6:14" x14ac:dyDescent="0.3">
      <c r="F10904" s="1"/>
    </row>
    <row r="10905" spans="6:14" x14ac:dyDescent="0.3">
      <c r="F10905" s="1"/>
    </row>
    <row r="10906" spans="6:14" x14ac:dyDescent="0.3">
      <c r="F10906" s="1"/>
    </row>
    <row r="10907" spans="6:14" x14ac:dyDescent="0.3">
      <c r="F10907" s="1"/>
    </row>
    <row r="10908" spans="6:14" x14ac:dyDescent="0.3">
      <c r="F10908" s="1"/>
    </row>
    <row r="10909" spans="6:14" x14ac:dyDescent="0.3">
      <c r="F10909" s="1"/>
    </row>
    <row r="10910" spans="6:14" x14ac:dyDescent="0.3">
      <c r="F10910" s="1"/>
    </row>
    <row r="10911" spans="6:14" x14ac:dyDescent="0.3">
      <c r="F10911" s="1"/>
    </row>
    <row r="10912" spans="6:14" x14ac:dyDescent="0.3">
      <c r="F10912" s="1"/>
      <c r="L10912" s="1"/>
      <c r="M10912" s="1"/>
      <c r="N10912" s="1"/>
    </row>
    <row r="10913" spans="6:15" x14ac:dyDescent="0.3">
      <c r="F10913" s="1"/>
      <c r="L10913" s="1"/>
      <c r="N10913" s="1"/>
      <c r="O10913" s="1"/>
    </row>
    <row r="10914" spans="6:15" x14ac:dyDescent="0.3">
      <c r="F10914" s="1"/>
    </row>
    <row r="10915" spans="6:15" x14ac:dyDescent="0.3">
      <c r="L10915" s="1"/>
      <c r="N10915" s="1"/>
      <c r="O10915" s="1"/>
    </row>
    <row r="10916" spans="6:15" x14ac:dyDescent="0.3">
      <c r="F10916" s="1"/>
    </row>
    <row r="10918" spans="6:15" x14ac:dyDescent="0.3">
      <c r="F10918" s="1"/>
      <c r="M10918" s="1"/>
    </row>
    <row r="10919" spans="6:15" x14ac:dyDescent="0.3">
      <c r="F10919" s="1"/>
    </row>
    <row r="10920" spans="6:15" x14ac:dyDescent="0.3">
      <c r="F10920" s="1"/>
    </row>
    <row r="10921" spans="6:15" x14ac:dyDescent="0.3">
      <c r="F10921" s="1"/>
    </row>
    <row r="10922" spans="6:15" x14ac:dyDescent="0.3">
      <c r="F10922" s="1"/>
    </row>
    <row r="10923" spans="6:15" x14ac:dyDescent="0.3">
      <c r="F10923" s="1"/>
      <c r="N10923" s="1"/>
    </row>
    <row r="10924" spans="6:15" x14ac:dyDescent="0.3">
      <c r="F10924" s="1"/>
    </row>
    <row r="10925" spans="6:15" x14ac:dyDescent="0.3">
      <c r="F10925" s="1"/>
    </row>
    <row r="10926" spans="6:15" x14ac:dyDescent="0.3">
      <c r="F10926" s="1"/>
    </row>
    <row r="10927" spans="6:15" x14ac:dyDescent="0.3">
      <c r="F10927" s="1"/>
    </row>
    <row r="10928" spans="6:15" x14ac:dyDescent="0.3">
      <c r="F10928" s="1"/>
      <c r="N10928" s="1"/>
    </row>
    <row r="10929" spans="6:14" x14ac:dyDescent="0.3">
      <c r="F10929" s="1"/>
    </row>
    <row r="10930" spans="6:14" x14ac:dyDescent="0.3">
      <c r="F10930" s="1"/>
    </row>
    <row r="10931" spans="6:14" x14ac:dyDescent="0.3">
      <c r="F10931" s="1"/>
    </row>
    <row r="10932" spans="6:14" x14ac:dyDescent="0.3">
      <c r="L10932" s="1"/>
      <c r="M10932" s="1"/>
      <c r="N10932" s="1"/>
    </row>
    <row r="10933" spans="6:14" x14ac:dyDescent="0.3">
      <c r="F10933" s="1"/>
    </row>
    <row r="10934" spans="6:14" x14ac:dyDescent="0.3">
      <c r="F10934" s="1"/>
    </row>
    <row r="10935" spans="6:14" x14ac:dyDescent="0.3">
      <c r="F10935" s="1"/>
    </row>
    <row r="10936" spans="6:14" x14ac:dyDescent="0.3">
      <c r="F10936" s="1"/>
    </row>
    <row r="10937" spans="6:14" x14ac:dyDescent="0.3">
      <c r="F10937" s="1"/>
    </row>
    <row r="10938" spans="6:14" x14ac:dyDescent="0.3">
      <c r="L10938" s="1"/>
      <c r="N10938" s="1"/>
    </row>
    <row r="10939" spans="6:14" x14ac:dyDescent="0.3">
      <c r="F10939" s="1"/>
    </row>
    <row r="10940" spans="6:14" x14ac:dyDescent="0.3">
      <c r="F10940" s="1"/>
    </row>
    <row r="10941" spans="6:14" x14ac:dyDescent="0.3">
      <c r="F10941" s="1"/>
    </row>
    <row r="10942" spans="6:14" x14ac:dyDescent="0.3">
      <c r="F10942" s="1"/>
    </row>
    <row r="10943" spans="6:14" x14ac:dyDescent="0.3">
      <c r="F10943" s="1"/>
    </row>
    <row r="10944" spans="6:14" x14ac:dyDescent="0.3">
      <c r="F10944" s="1"/>
    </row>
    <row r="10945" spans="6:6" x14ac:dyDescent="0.3">
      <c r="F10945" s="1"/>
    </row>
    <row r="10946" spans="6:6" x14ac:dyDescent="0.3">
      <c r="F10946" s="1"/>
    </row>
    <row r="10947" spans="6:6" x14ac:dyDescent="0.3">
      <c r="F10947" s="1"/>
    </row>
    <row r="10948" spans="6:6" x14ac:dyDescent="0.3">
      <c r="F10948" s="1"/>
    </row>
    <row r="10949" spans="6:6" x14ac:dyDescent="0.3">
      <c r="F10949" s="1"/>
    </row>
    <row r="10950" spans="6:6" x14ac:dyDescent="0.3">
      <c r="F10950" s="1"/>
    </row>
    <row r="10951" spans="6:6" x14ac:dyDescent="0.3">
      <c r="F10951" s="1"/>
    </row>
    <row r="10952" spans="6:6" x14ac:dyDescent="0.3">
      <c r="F10952" s="1"/>
    </row>
    <row r="10953" spans="6:6" x14ac:dyDescent="0.3">
      <c r="F10953" s="1"/>
    </row>
    <row r="10954" spans="6:6" x14ac:dyDescent="0.3">
      <c r="F10954" s="1"/>
    </row>
    <row r="10957" spans="6:6" x14ac:dyDescent="0.3">
      <c r="F10957" s="1"/>
    </row>
    <row r="10958" spans="6:6" x14ac:dyDescent="0.3">
      <c r="F10958" s="1"/>
    </row>
    <row r="10959" spans="6:6" x14ac:dyDescent="0.3">
      <c r="F10959" s="1"/>
    </row>
    <row r="10960" spans="6:6" x14ac:dyDescent="0.3">
      <c r="F10960" s="1"/>
    </row>
    <row r="10961" spans="6:12" x14ac:dyDescent="0.3">
      <c r="F10961" s="1"/>
    </row>
    <row r="10963" spans="6:12" x14ac:dyDescent="0.3">
      <c r="F10963" s="1"/>
    </row>
    <row r="10964" spans="6:12" x14ac:dyDescent="0.3">
      <c r="F10964" s="1"/>
    </row>
    <row r="10965" spans="6:12" x14ac:dyDescent="0.3">
      <c r="F10965" s="1"/>
    </row>
    <row r="10966" spans="6:12" x14ac:dyDescent="0.3">
      <c r="F10966" s="1"/>
    </row>
    <row r="10967" spans="6:12" x14ac:dyDescent="0.3">
      <c r="F10967" s="1"/>
    </row>
    <row r="10968" spans="6:12" x14ac:dyDescent="0.3">
      <c r="F10968" s="1"/>
    </row>
    <row r="10969" spans="6:12" x14ac:dyDescent="0.3">
      <c r="L10969" s="1"/>
    </row>
    <row r="10970" spans="6:12" x14ac:dyDescent="0.3">
      <c r="F10970" s="1"/>
    </row>
    <row r="10971" spans="6:12" x14ac:dyDescent="0.3">
      <c r="F10971" s="1"/>
    </row>
    <row r="10972" spans="6:12" x14ac:dyDescent="0.3">
      <c r="F10972" s="1"/>
    </row>
    <row r="10973" spans="6:12" x14ac:dyDescent="0.3">
      <c r="F10973" s="1"/>
    </row>
    <row r="10974" spans="6:12" x14ac:dyDescent="0.3">
      <c r="F10974" s="1"/>
    </row>
    <row r="10975" spans="6:12" x14ac:dyDescent="0.3">
      <c r="F10975" s="1"/>
    </row>
    <row r="10976" spans="6:12" x14ac:dyDescent="0.3">
      <c r="F10976" s="1"/>
    </row>
    <row r="10977" spans="6:15" x14ac:dyDescent="0.3">
      <c r="F10977" s="1"/>
    </row>
    <row r="10978" spans="6:15" x14ac:dyDescent="0.3">
      <c r="M10978" s="1"/>
    </row>
    <row r="10979" spans="6:15" x14ac:dyDescent="0.3">
      <c r="F10979" s="1"/>
    </row>
    <row r="10980" spans="6:15" x14ac:dyDescent="0.3">
      <c r="F10980" s="1"/>
    </row>
    <row r="10981" spans="6:15" x14ac:dyDescent="0.3">
      <c r="F10981" s="1"/>
    </row>
    <row r="10982" spans="6:15" x14ac:dyDescent="0.3">
      <c r="F10982" s="1"/>
      <c r="L10982" s="1"/>
      <c r="N10982" s="1"/>
    </row>
    <row r="10983" spans="6:15" x14ac:dyDescent="0.3">
      <c r="F10983" s="1"/>
    </row>
    <row r="10984" spans="6:15" x14ac:dyDescent="0.3">
      <c r="F10984" s="1"/>
    </row>
    <row r="10985" spans="6:15" x14ac:dyDescent="0.3">
      <c r="F10985" s="1"/>
    </row>
    <row r="10986" spans="6:15" x14ac:dyDescent="0.3">
      <c r="L10986" s="1"/>
      <c r="M10986" s="1"/>
      <c r="N10986" s="1"/>
      <c r="O10986" s="1"/>
    </row>
    <row r="10988" spans="6:15" x14ac:dyDescent="0.3">
      <c r="F10988" s="1"/>
    </row>
    <row r="10989" spans="6:15" x14ac:dyDescent="0.3">
      <c r="F10989" s="1"/>
    </row>
    <row r="10990" spans="6:15" x14ac:dyDescent="0.3">
      <c r="F10990" s="1"/>
    </row>
    <row r="10991" spans="6:15" x14ac:dyDescent="0.3">
      <c r="F10991" s="1"/>
    </row>
    <row r="10992" spans="6:15" x14ac:dyDescent="0.3">
      <c r="F10992" s="1"/>
    </row>
    <row r="10993" spans="6:15" x14ac:dyDescent="0.3">
      <c r="F10993" s="1"/>
    </row>
    <row r="10994" spans="6:15" x14ac:dyDescent="0.3">
      <c r="F10994" s="1"/>
    </row>
    <row r="10995" spans="6:15" x14ac:dyDescent="0.3">
      <c r="F10995" s="1"/>
    </row>
    <row r="10996" spans="6:15" x14ac:dyDescent="0.3">
      <c r="F10996" s="1"/>
      <c r="N10996" s="1"/>
    </row>
    <row r="10997" spans="6:15" x14ac:dyDescent="0.3">
      <c r="F10997" s="1"/>
    </row>
    <row r="11000" spans="6:15" x14ac:dyDescent="0.3">
      <c r="F11000" s="1"/>
    </row>
    <row r="11001" spans="6:15" x14ac:dyDescent="0.3">
      <c r="F11001" s="1"/>
    </row>
    <row r="11002" spans="6:15" x14ac:dyDescent="0.3">
      <c r="F11002" s="1"/>
    </row>
    <row r="11003" spans="6:15" x14ac:dyDescent="0.3">
      <c r="F11003" s="1"/>
    </row>
    <row r="11006" spans="6:15" x14ac:dyDescent="0.3">
      <c r="L11006" s="1"/>
      <c r="O11006" s="1"/>
    </row>
    <row r="11007" spans="6:15" x14ac:dyDescent="0.3">
      <c r="F11007" s="1"/>
    </row>
    <row r="11008" spans="6:15" x14ac:dyDescent="0.3">
      <c r="F11008" s="1"/>
    </row>
    <row r="11010" spans="6:15" x14ac:dyDescent="0.3">
      <c r="F11010" s="1"/>
    </row>
    <row r="11012" spans="6:15" x14ac:dyDescent="0.3">
      <c r="F11012" s="1"/>
    </row>
    <row r="11013" spans="6:15" x14ac:dyDescent="0.3">
      <c r="F11013" s="1"/>
      <c r="L11013" s="1"/>
      <c r="M11013" s="1"/>
      <c r="O11013" s="1"/>
    </row>
    <row r="11014" spans="6:15" x14ac:dyDescent="0.3">
      <c r="F11014" s="1"/>
    </row>
    <row r="11015" spans="6:15" x14ac:dyDescent="0.3">
      <c r="F11015" s="1"/>
    </row>
    <row r="11016" spans="6:15" x14ac:dyDescent="0.3">
      <c r="F11016" s="1"/>
    </row>
    <row r="11017" spans="6:15" x14ac:dyDescent="0.3">
      <c r="F11017" s="1"/>
    </row>
    <row r="11018" spans="6:15" x14ac:dyDescent="0.3">
      <c r="F11018" s="1"/>
    </row>
    <row r="11019" spans="6:15" x14ac:dyDescent="0.3">
      <c r="F11019" s="1"/>
      <c r="L11019" s="1"/>
      <c r="M11019" s="1"/>
      <c r="N11019" s="1"/>
    </row>
    <row r="11020" spans="6:15" x14ac:dyDescent="0.3">
      <c r="F11020" s="1"/>
    </row>
    <row r="11021" spans="6:15" x14ac:dyDescent="0.3">
      <c r="F11021" s="1"/>
    </row>
    <row r="11022" spans="6:15" x14ac:dyDescent="0.3">
      <c r="F11022" s="1"/>
    </row>
    <row r="11023" spans="6:15" x14ac:dyDescent="0.3">
      <c r="F11023" s="1"/>
    </row>
    <row r="11024" spans="6:15" x14ac:dyDescent="0.3">
      <c r="F11024" s="1"/>
    </row>
    <row r="11025" spans="6:14" x14ac:dyDescent="0.3">
      <c r="F11025" s="1"/>
    </row>
    <row r="11026" spans="6:14" x14ac:dyDescent="0.3">
      <c r="F11026" s="1"/>
    </row>
    <row r="11027" spans="6:14" x14ac:dyDescent="0.3">
      <c r="F11027" s="1"/>
      <c r="N11027" s="1"/>
    </row>
    <row r="11029" spans="6:14" x14ac:dyDescent="0.3">
      <c r="F11029" s="1"/>
    </row>
    <row r="11030" spans="6:14" x14ac:dyDescent="0.3">
      <c r="F11030" s="1"/>
    </row>
    <row r="11031" spans="6:14" x14ac:dyDescent="0.3">
      <c r="F11031" s="1"/>
    </row>
    <row r="11034" spans="6:14" x14ac:dyDescent="0.3">
      <c r="F11034" s="1"/>
    </row>
    <row r="11035" spans="6:14" x14ac:dyDescent="0.3">
      <c r="F11035" s="1"/>
    </row>
    <row r="11036" spans="6:14" x14ac:dyDescent="0.3">
      <c r="F11036" s="1"/>
    </row>
    <row r="11037" spans="6:14" x14ac:dyDescent="0.3">
      <c r="F11037" s="1"/>
    </row>
    <row r="11038" spans="6:14" x14ac:dyDescent="0.3">
      <c r="F11038" s="1"/>
    </row>
    <row r="11040" spans="6:14" x14ac:dyDescent="0.3">
      <c r="M11040" s="1"/>
    </row>
    <row r="11041" spans="6:14" x14ac:dyDescent="0.3">
      <c r="F11041" s="1"/>
    </row>
    <row r="11042" spans="6:14" x14ac:dyDescent="0.3">
      <c r="F11042" s="1"/>
    </row>
    <row r="11043" spans="6:14" x14ac:dyDescent="0.3">
      <c r="F11043" s="1"/>
    </row>
    <row r="11045" spans="6:14" x14ac:dyDescent="0.3">
      <c r="F11045" s="1"/>
    </row>
    <row r="11046" spans="6:14" x14ac:dyDescent="0.3">
      <c r="F11046" s="1"/>
      <c r="N11046" s="1"/>
    </row>
    <row r="11047" spans="6:14" x14ac:dyDescent="0.3">
      <c r="F11047" s="1"/>
      <c r="M11047" s="1"/>
      <c r="N11047" s="1"/>
    </row>
    <row r="11048" spans="6:14" x14ac:dyDescent="0.3">
      <c r="F11048" s="1"/>
    </row>
    <row r="11049" spans="6:14" x14ac:dyDescent="0.3">
      <c r="F11049" s="1"/>
    </row>
    <row r="11051" spans="6:14" x14ac:dyDescent="0.3">
      <c r="F11051" s="1"/>
    </row>
    <row r="11052" spans="6:14" x14ac:dyDescent="0.3">
      <c r="F11052" s="1"/>
    </row>
    <row r="11053" spans="6:14" x14ac:dyDescent="0.3">
      <c r="F11053" s="1"/>
    </row>
    <row r="11054" spans="6:14" x14ac:dyDescent="0.3">
      <c r="F11054" s="1"/>
    </row>
    <row r="11055" spans="6:14" x14ac:dyDescent="0.3">
      <c r="F11055" s="1"/>
    </row>
    <row r="11057" spans="6:15" x14ac:dyDescent="0.3">
      <c r="F11057" s="1"/>
      <c r="L11057" s="1"/>
    </row>
    <row r="11058" spans="6:15" x14ac:dyDescent="0.3">
      <c r="F11058" s="1"/>
    </row>
    <row r="11060" spans="6:15" x14ac:dyDescent="0.3">
      <c r="F11060" s="1"/>
    </row>
    <row r="11061" spans="6:15" x14ac:dyDescent="0.3">
      <c r="F11061" s="1"/>
    </row>
    <row r="11062" spans="6:15" x14ac:dyDescent="0.3">
      <c r="F11062" s="1"/>
    </row>
    <row r="11063" spans="6:15" x14ac:dyDescent="0.3">
      <c r="F11063" s="1"/>
    </row>
    <row r="11064" spans="6:15" x14ac:dyDescent="0.3">
      <c r="F11064" s="1"/>
    </row>
    <row r="11065" spans="6:15" x14ac:dyDescent="0.3">
      <c r="F11065" s="1"/>
    </row>
    <row r="11066" spans="6:15" x14ac:dyDescent="0.3">
      <c r="F11066" s="1"/>
    </row>
    <row r="11067" spans="6:15" x14ac:dyDescent="0.3">
      <c r="F11067" s="1"/>
    </row>
    <row r="11068" spans="6:15" x14ac:dyDescent="0.3">
      <c r="L11068" s="1"/>
      <c r="N11068" s="1"/>
      <c r="O11068" s="1"/>
    </row>
    <row r="11070" spans="6:15" x14ac:dyDescent="0.3">
      <c r="F11070" s="1"/>
    </row>
    <row r="11071" spans="6:15" x14ac:dyDescent="0.3">
      <c r="F11071" s="1"/>
    </row>
    <row r="11072" spans="6:15" x14ac:dyDescent="0.3">
      <c r="F11072" s="1"/>
    </row>
    <row r="11073" spans="6:15" x14ac:dyDescent="0.3">
      <c r="F11073" s="1"/>
    </row>
    <row r="11074" spans="6:15" x14ac:dyDescent="0.3">
      <c r="F11074" s="1"/>
    </row>
    <row r="11075" spans="6:15" x14ac:dyDescent="0.3">
      <c r="F11075" s="1"/>
    </row>
    <row r="11076" spans="6:15" x14ac:dyDescent="0.3">
      <c r="F11076" s="1"/>
    </row>
    <row r="11077" spans="6:15" x14ac:dyDescent="0.3">
      <c r="F11077" s="1"/>
    </row>
    <row r="11078" spans="6:15" x14ac:dyDescent="0.3">
      <c r="F11078" s="1"/>
    </row>
    <row r="11079" spans="6:15" x14ac:dyDescent="0.3">
      <c r="F11079" s="1"/>
    </row>
    <row r="11080" spans="6:15" x14ac:dyDescent="0.3">
      <c r="F11080" s="1"/>
    </row>
    <row r="11081" spans="6:15" x14ac:dyDescent="0.3">
      <c r="F11081" s="1"/>
    </row>
    <row r="11082" spans="6:15" x14ac:dyDescent="0.3">
      <c r="F11082" s="1"/>
    </row>
    <row r="11083" spans="6:15" x14ac:dyDescent="0.3">
      <c r="F11083" s="1"/>
    </row>
    <row r="11085" spans="6:15" x14ac:dyDescent="0.3">
      <c r="F11085" s="1"/>
    </row>
    <row r="11086" spans="6:15" x14ac:dyDescent="0.3">
      <c r="F11086" s="1"/>
    </row>
    <row r="11087" spans="6:15" x14ac:dyDescent="0.3">
      <c r="F11087" s="1"/>
    </row>
    <row r="11088" spans="6:15" x14ac:dyDescent="0.3">
      <c r="M11088" s="1"/>
      <c r="N11088" s="1"/>
      <c r="O11088" s="1"/>
    </row>
    <row r="11089" spans="6:14" x14ac:dyDescent="0.3">
      <c r="F11089" s="1"/>
    </row>
    <row r="11090" spans="6:14" x14ac:dyDescent="0.3">
      <c r="F11090" s="1"/>
    </row>
    <row r="11091" spans="6:14" x14ac:dyDescent="0.3">
      <c r="F11091" s="1"/>
    </row>
    <row r="11092" spans="6:14" x14ac:dyDescent="0.3">
      <c r="F11092" s="1"/>
    </row>
    <row r="11094" spans="6:14" x14ac:dyDescent="0.3">
      <c r="F11094" s="1"/>
    </row>
    <row r="11095" spans="6:14" x14ac:dyDescent="0.3">
      <c r="F11095" s="1"/>
    </row>
    <row r="11096" spans="6:14" x14ac:dyDescent="0.3">
      <c r="F11096" s="1"/>
    </row>
    <row r="11097" spans="6:14" x14ac:dyDescent="0.3">
      <c r="F11097" s="1"/>
    </row>
    <row r="11098" spans="6:14" x14ac:dyDescent="0.3">
      <c r="F11098" s="1"/>
    </row>
    <row r="11100" spans="6:14" x14ac:dyDescent="0.3">
      <c r="N11100" s="1"/>
    </row>
    <row r="11101" spans="6:14" x14ac:dyDescent="0.3">
      <c r="F11101" s="1"/>
    </row>
    <row r="11103" spans="6:14" x14ac:dyDescent="0.3">
      <c r="F11103" s="1"/>
    </row>
    <row r="11104" spans="6:14" x14ac:dyDescent="0.3">
      <c r="F11104" s="1"/>
    </row>
    <row r="11106" spans="6:14" x14ac:dyDescent="0.3">
      <c r="F11106" s="1"/>
    </row>
    <row r="11107" spans="6:14" x14ac:dyDescent="0.3">
      <c r="F11107" s="1"/>
      <c r="L11107" s="1"/>
    </row>
    <row r="11108" spans="6:14" x14ac:dyDescent="0.3">
      <c r="F11108" s="1"/>
    </row>
    <row r="11109" spans="6:14" x14ac:dyDescent="0.3">
      <c r="F11109" s="1"/>
      <c r="N11109" s="1"/>
    </row>
    <row r="11111" spans="6:14" x14ac:dyDescent="0.3">
      <c r="F11111" s="1"/>
    </row>
    <row r="11113" spans="6:14" x14ac:dyDescent="0.3">
      <c r="F11113" s="1"/>
      <c r="N11113" s="1"/>
    </row>
    <row r="11114" spans="6:14" x14ac:dyDescent="0.3">
      <c r="F11114" s="1"/>
    </row>
    <row r="11116" spans="6:14" x14ac:dyDescent="0.3">
      <c r="F11116" s="1"/>
    </row>
    <row r="11117" spans="6:14" x14ac:dyDescent="0.3">
      <c r="F11117" s="1"/>
    </row>
    <row r="11118" spans="6:14" x14ac:dyDescent="0.3">
      <c r="F11118" s="1"/>
    </row>
    <row r="11119" spans="6:14" x14ac:dyDescent="0.3">
      <c r="F11119" s="1"/>
    </row>
    <row r="11120" spans="6:14" x14ac:dyDescent="0.3">
      <c r="F11120" s="1"/>
    </row>
    <row r="11122" spans="6:14" x14ac:dyDescent="0.3">
      <c r="F11122" s="1"/>
    </row>
    <row r="11123" spans="6:14" x14ac:dyDescent="0.3">
      <c r="F11123" s="1"/>
      <c r="M11123" s="1"/>
      <c r="N11123" s="1"/>
    </row>
    <row r="11124" spans="6:14" x14ac:dyDescent="0.3">
      <c r="F11124" s="1"/>
      <c r="N11124" s="1"/>
    </row>
    <row r="11125" spans="6:14" x14ac:dyDescent="0.3">
      <c r="F11125" s="1"/>
    </row>
    <row r="11126" spans="6:14" x14ac:dyDescent="0.3">
      <c r="F11126" s="1"/>
      <c r="M11126" s="1"/>
    </row>
    <row r="11127" spans="6:14" x14ac:dyDescent="0.3">
      <c r="F11127" s="1"/>
      <c r="M11127" s="1"/>
    </row>
    <row r="11129" spans="6:14" x14ac:dyDescent="0.3">
      <c r="F11129" s="1"/>
    </row>
    <row r="11130" spans="6:14" x14ac:dyDescent="0.3">
      <c r="F11130" s="1"/>
    </row>
    <row r="11131" spans="6:14" x14ac:dyDescent="0.3">
      <c r="F11131" s="1"/>
    </row>
    <row r="11132" spans="6:14" x14ac:dyDescent="0.3">
      <c r="F11132" s="1"/>
    </row>
    <row r="11133" spans="6:14" x14ac:dyDescent="0.3">
      <c r="F11133" s="1"/>
    </row>
    <row r="11134" spans="6:14" x14ac:dyDescent="0.3">
      <c r="F11134" s="1"/>
    </row>
    <row r="11135" spans="6:14" x14ac:dyDescent="0.3">
      <c r="F11135" s="1"/>
    </row>
    <row r="11136" spans="6:14" x14ac:dyDescent="0.3">
      <c r="F11136" s="1"/>
    </row>
    <row r="11137" spans="6:15" x14ac:dyDescent="0.3">
      <c r="F11137" s="1"/>
    </row>
    <row r="11138" spans="6:15" x14ac:dyDescent="0.3">
      <c r="N11138" s="1"/>
      <c r="O11138" s="1"/>
    </row>
    <row r="11139" spans="6:15" x14ac:dyDescent="0.3">
      <c r="F11139" s="1"/>
    </row>
    <row r="11140" spans="6:15" x14ac:dyDescent="0.3">
      <c r="F11140" s="1"/>
    </row>
    <row r="11141" spans="6:15" x14ac:dyDescent="0.3">
      <c r="F11141" s="1"/>
    </row>
    <row r="11142" spans="6:15" x14ac:dyDescent="0.3">
      <c r="F11142" s="1"/>
    </row>
    <row r="11143" spans="6:15" x14ac:dyDescent="0.3">
      <c r="F11143" s="1"/>
    </row>
    <row r="11144" spans="6:15" x14ac:dyDescent="0.3">
      <c r="F11144" s="1"/>
    </row>
    <row r="11145" spans="6:15" x14ac:dyDescent="0.3">
      <c r="F11145" s="1"/>
    </row>
    <row r="11147" spans="6:15" x14ac:dyDescent="0.3">
      <c r="F11147" s="1"/>
    </row>
    <row r="11149" spans="6:15" x14ac:dyDescent="0.3">
      <c r="F11149" s="1"/>
    </row>
    <row r="11150" spans="6:15" x14ac:dyDescent="0.3">
      <c r="F11150" s="1"/>
    </row>
    <row r="11151" spans="6:15" x14ac:dyDescent="0.3">
      <c r="F11151" s="1"/>
      <c r="L11151" s="1"/>
      <c r="M11151" s="1"/>
      <c r="N11151" s="1"/>
    </row>
    <row r="11152" spans="6:15" x14ac:dyDescent="0.3">
      <c r="F11152" s="1"/>
    </row>
    <row r="11153" spans="6:15" x14ac:dyDescent="0.3">
      <c r="F11153" s="1"/>
    </row>
    <row r="11154" spans="6:15" x14ac:dyDescent="0.3">
      <c r="L11154" s="1"/>
    </row>
    <row r="11155" spans="6:15" x14ac:dyDescent="0.3">
      <c r="F11155" s="1"/>
    </row>
    <row r="11156" spans="6:15" x14ac:dyDescent="0.3">
      <c r="F11156" s="1"/>
    </row>
    <row r="11157" spans="6:15" x14ac:dyDescent="0.3">
      <c r="F11157" s="1"/>
    </row>
    <row r="11158" spans="6:15" x14ac:dyDescent="0.3">
      <c r="F11158" s="1"/>
    </row>
    <row r="11159" spans="6:15" x14ac:dyDescent="0.3">
      <c r="F11159" s="1"/>
    </row>
    <row r="11160" spans="6:15" x14ac:dyDescent="0.3">
      <c r="F11160" s="1"/>
    </row>
    <row r="11162" spans="6:15" x14ac:dyDescent="0.3">
      <c r="F11162" s="1"/>
      <c r="L11162" s="1"/>
      <c r="M11162" s="1"/>
      <c r="N11162" s="1"/>
      <c r="O11162" s="1"/>
    </row>
    <row r="11163" spans="6:15" x14ac:dyDescent="0.3">
      <c r="F11163" s="1"/>
    </row>
    <row r="11164" spans="6:15" x14ac:dyDescent="0.3">
      <c r="F11164" s="1"/>
    </row>
    <row r="11165" spans="6:15" x14ac:dyDescent="0.3">
      <c r="F11165" s="1"/>
    </row>
    <row r="11166" spans="6:15" x14ac:dyDescent="0.3">
      <c r="F11166" s="1"/>
      <c r="N11166" s="1"/>
    </row>
    <row r="11167" spans="6:15" x14ac:dyDescent="0.3">
      <c r="F11167" s="1"/>
    </row>
    <row r="11168" spans="6:15" x14ac:dyDescent="0.3">
      <c r="F11168" s="1"/>
    </row>
    <row r="11169" spans="6:15" x14ac:dyDescent="0.3">
      <c r="F11169" s="1"/>
    </row>
    <row r="11170" spans="6:15" x14ac:dyDescent="0.3">
      <c r="F11170" s="1"/>
    </row>
    <row r="11171" spans="6:15" x14ac:dyDescent="0.3">
      <c r="F11171" s="1"/>
      <c r="M11171" s="1"/>
    </row>
    <row r="11172" spans="6:15" x14ac:dyDescent="0.3">
      <c r="F11172" s="1"/>
    </row>
    <row r="11173" spans="6:15" x14ac:dyDescent="0.3">
      <c r="F11173" s="1"/>
    </row>
    <row r="11174" spans="6:15" x14ac:dyDescent="0.3">
      <c r="F11174" s="1"/>
    </row>
    <row r="11175" spans="6:15" x14ac:dyDescent="0.3">
      <c r="F11175" s="1"/>
    </row>
    <row r="11176" spans="6:15" x14ac:dyDescent="0.3">
      <c r="F11176" s="1"/>
      <c r="L11176" s="1"/>
      <c r="M11176" s="1"/>
      <c r="N11176" s="1"/>
      <c r="O11176" s="1"/>
    </row>
    <row r="11177" spans="6:15" x14ac:dyDescent="0.3">
      <c r="F11177" s="1"/>
      <c r="N11177" s="1"/>
    </row>
    <row r="11178" spans="6:15" x14ac:dyDescent="0.3">
      <c r="F11178" s="1"/>
    </row>
    <row r="11179" spans="6:15" x14ac:dyDescent="0.3">
      <c r="F11179" s="1"/>
    </row>
    <row r="11180" spans="6:15" x14ac:dyDescent="0.3">
      <c r="F11180" s="1"/>
      <c r="M11180" s="1"/>
      <c r="N11180" s="1"/>
    </row>
    <row r="11181" spans="6:15" x14ac:dyDescent="0.3">
      <c r="F11181" s="1"/>
      <c r="L11181" s="1"/>
    </row>
    <row r="11184" spans="6:15" x14ac:dyDescent="0.3">
      <c r="F11184" s="1"/>
    </row>
    <row r="11185" spans="6:15" x14ac:dyDescent="0.3">
      <c r="F11185" s="1"/>
    </row>
    <row r="11186" spans="6:15" x14ac:dyDescent="0.3">
      <c r="F11186" s="1"/>
    </row>
    <row r="11187" spans="6:15" x14ac:dyDescent="0.3">
      <c r="F11187" s="1"/>
    </row>
    <row r="11189" spans="6:15" x14ac:dyDescent="0.3">
      <c r="F11189" s="1"/>
    </row>
    <row r="11190" spans="6:15" x14ac:dyDescent="0.3">
      <c r="F11190" s="1"/>
    </row>
    <row r="11191" spans="6:15" x14ac:dyDescent="0.3">
      <c r="F11191" s="1"/>
    </row>
    <row r="11193" spans="6:15" x14ac:dyDescent="0.3">
      <c r="F11193" s="1"/>
      <c r="M11193" s="1"/>
    </row>
    <row r="11194" spans="6:15" x14ac:dyDescent="0.3">
      <c r="F11194" s="1"/>
    </row>
    <row r="11196" spans="6:15" x14ac:dyDescent="0.3">
      <c r="F11196" s="1"/>
    </row>
    <row r="11197" spans="6:15" x14ac:dyDescent="0.3">
      <c r="F11197" s="1"/>
      <c r="N11197" s="1"/>
      <c r="O11197" s="1"/>
    </row>
    <row r="11198" spans="6:15" x14ac:dyDescent="0.3">
      <c r="F11198" s="1"/>
    </row>
    <row r="11199" spans="6:15" x14ac:dyDescent="0.3">
      <c r="F11199" s="1"/>
    </row>
    <row r="11200" spans="6:15" x14ac:dyDescent="0.3">
      <c r="F11200" s="1"/>
    </row>
    <row r="11201" spans="6:15" x14ac:dyDescent="0.3">
      <c r="F11201" s="1"/>
    </row>
    <row r="11202" spans="6:15" x14ac:dyDescent="0.3">
      <c r="F11202" s="1"/>
    </row>
    <row r="11203" spans="6:15" x14ac:dyDescent="0.3">
      <c r="F11203" s="1"/>
    </row>
    <row r="11204" spans="6:15" x14ac:dyDescent="0.3">
      <c r="F11204" s="1"/>
    </row>
    <row r="11205" spans="6:15" x14ac:dyDescent="0.3">
      <c r="F11205" s="1"/>
      <c r="M11205" s="1"/>
    </row>
    <row r="11206" spans="6:15" x14ac:dyDescent="0.3">
      <c r="F11206" s="1"/>
    </row>
    <row r="11207" spans="6:15" x14ac:dyDescent="0.3">
      <c r="M11207" s="1"/>
      <c r="O11207" s="1"/>
    </row>
    <row r="11208" spans="6:15" x14ac:dyDescent="0.3">
      <c r="F11208" s="1"/>
    </row>
    <row r="11209" spans="6:15" x14ac:dyDescent="0.3">
      <c r="F11209" s="1"/>
    </row>
    <row r="11210" spans="6:15" x14ac:dyDescent="0.3">
      <c r="L11210" s="1"/>
      <c r="M11210" s="1"/>
      <c r="N11210" s="1"/>
    </row>
    <row r="11211" spans="6:15" x14ac:dyDescent="0.3">
      <c r="F11211" s="1"/>
    </row>
    <row r="11212" spans="6:15" x14ac:dyDescent="0.3">
      <c r="F11212" s="1"/>
    </row>
    <row r="11213" spans="6:15" x14ac:dyDescent="0.3">
      <c r="F11213" s="1"/>
    </row>
    <row r="11214" spans="6:15" x14ac:dyDescent="0.3">
      <c r="F11214" s="1"/>
    </row>
    <row r="11215" spans="6:15" x14ac:dyDescent="0.3">
      <c r="L11215" s="1"/>
      <c r="M11215" s="1"/>
    </row>
    <row r="11216" spans="6:15" x14ac:dyDescent="0.3">
      <c r="F11216" s="1"/>
    </row>
    <row r="11217" spans="6:13" x14ac:dyDescent="0.3">
      <c r="F11217" s="1"/>
    </row>
    <row r="11218" spans="6:13" x14ac:dyDescent="0.3">
      <c r="F11218" s="1"/>
    </row>
    <row r="11219" spans="6:13" x14ac:dyDescent="0.3">
      <c r="F11219" s="1"/>
      <c r="L11219" s="1"/>
    </row>
    <row r="11220" spans="6:13" x14ac:dyDescent="0.3">
      <c r="F11220" s="1"/>
    </row>
    <row r="11221" spans="6:13" x14ac:dyDescent="0.3">
      <c r="F11221" s="1"/>
      <c r="L11221" s="1"/>
      <c r="M11221" s="1"/>
    </row>
    <row r="11222" spans="6:13" x14ac:dyDescent="0.3">
      <c r="F11222" s="1"/>
    </row>
    <row r="11223" spans="6:13" x14ac:dyDescent="0.3">
      <c r="F11223" s="1"/>
    </row>
    <row r="11224" spans="6:13" x14ac:dyDescent="0.3">
      <c r="F11224" s="1"/>
    </row>
    <row r="11225" spans="6:13" x14ac:dyDescent="0.3">
      <c r="F11225" s="1"/>
    </row>
    <row r="11227" spans="6:13" x14ac:dyDescent="0.3">
      <c r="F11227" s="1"/>
    </row>
    <row r="11228" spans="6:13" x14ac:dyDescent="0.3">
      <c r="F11228" s="1"/>
    </row>
    <row r="11229" spans="6:13" x14ac:dyDescent="0.3">
      <c r="F11229" s="1"/>
    </row>
    <row r="11230" spans="6:13" x14ac:dyDescent="0.3">
      <c r="F11230" s="1"/>
    </row>
    <row r="11231" spans="6:13" x14ac:dyDescent="0.3">
      <c r="F11231" s="1"/>
    </row>
    <row r="11233" spans="6:14" x14ac:dyDescent="0.3">
      <c r="F11233" s="1"/>
    </row>
    <row r="11234" spans="6:14" x14ac:dyDescent="0.3">
      <c r="F11234" s="1"/>
    </row>
    <row r="11235" spans="6:14" x14ac:dyDescent="0.3">
      <c r="F11235" s="1"/>
    </row>
    <row r="11236" spans="6:14" x14ac:dyDescent="0.3">
      <c r="F11236" s="1"/>
    </row>
    <row r="11237" spans="6:14" x14ac:dyDescent="0.3">
      <c r="F11237" s="1"/>
    </row>
    <row r="11239" spans="6:14" x14ac:dyDescent="0.3">
      <c r="F11239" s="1"/>
    </row>
    <row r="11240" spans="6:14" x14ac:dyDescent="0.3">
      <c r="F11240" s="1"/>
    </row>
    <row r="11241" spans="6:14" x14ac:dyDescent="0.3">
      <c r="F11241" s="1"/>
      <c r="N11241" s="1"/>
    </row>
    <row r="11242" spans="6:14" x14ac:dyDescent="0.3">
      <c r="F11242" s="1"/>
    </row>
    <row r="11243" spans="6:14" x14ac:dyDescent="0.3">
      <c r="F11243" s="1"/>
    </row>
    <row r="11245" spans="6:14" x14ac:dyDescent="0.3">
      <c r="F11245" s="1"/>
    </row>
    <row r="11247" spans="6:14" x14ac:dyDescent="0.3">
      <c r="F11247" s="1"/>
    </row>
    <row r="11248" spans="6:14" x14ac:dyDescent="0.3">
      <c r="F11248" s="1"/>
    </row>
    <row r="11249" spans="6:15" x14ac:dyDescent="0.3">
      <c r="F11249" s="1"/>
    </row>
    <row r="11250" spans="6:15" x14ac:dyDescent="0.3">
      <c r="F11250" s="1"/>
    </row>
    <row r="11251" spans="6:15" x14ac:dyDescent="0.3">
      <c r="F11251" s="1"/>
    </row>
    <row r="11252" spans="6:15" x14ac:dyDescent="0.3">
      <c r="F11252" s="1"/>
    </row>
    <row r="11253" spans="6:15" x14ac:dyDescent="0.3">
      <c r="F11253" s="1"/>
    </row>
    <row r="11254" spans="6:15" x14ac:dyDescent="0.3">
      <c r="F11254" s="1"/>
      <c r="L11254" s="1"/>
      <c r="N11254" s="1"/>
      <c r="O11254" s="1"/>
    </row>
    <row r="11256" spans="6:15" x14ac:dyDescent="0.3">
      <c r="F11256" s="1"/>
    </row>
    <row r="11257" spans="6:15" x14ac:dyDescent="0.3">
      <c r="F11257" s="1"/>
    </row>
    <row r="11258" spans="6:15" x14ac:dyDescent="0.3">
      <c r="F11258" s="1"/>
    </row>
    <row r="11259" spans="6:15" x14ac:dyDescent="0.3">
      <c r="F11259" s="1"/>
    </row>
    <row r="11260" spans="6:15" x14ac:dyDescent="0.3">
      <c r="F11260" s="1"/>
    </row>
    <row r="11262" spans="6:15" x14ac:dyDescent="0.3">
      <c r="F11262" s="1"/>
      <c r="N11262" s="1"/>
      <c r="O11262" s="1"/>
    </row>
    <row r="11263" spans="6:15" x14ac:dyDescent="0.3">
      <c r="F11263" s="1"/>
    </row>
    <row r="11264" spans="6:15" x14ac:dyDescent="0.3">
      <c r="F11264" s="1"/>
    </row>
    <row r="11266" spans="6:14" x14ac:dyDescent="0.3">
      <c r="F11266" s="1"/>
    </row>
    <row r="11267" spans="6:14" x14ac:dyDescent="0.3">
      <c r="F11267" s="1"/>
    </row>
    <row r="11268" spans="6:14" x14ac:dyDescent="0.3">
      <c r="F11268" s="1"/>
    </row>
    <row r="11270" spans="6:14" x14ac:dyDescent="0.3">
      <c r="F11270" s="1"/>
    </row>
    <row r="11271" spans="6:14" x14ac:dyDescent="0.3">
      <c r="F11271" s="1"/>
    </row>
    <row r="11272" spans="6:14" x14ac:dyDescent="0.3">
      <c r="F11272" s="1"/>
    </row>
    <row r="11274" spans="6:14" x14ac:dyDescent="0.3">
      <c r="F11274" s="1"/>
      <c r="L11274" s="1"/>
      <c r="N11274" s="1"/>
    </row>
    <row r="11275" spans="6:14" x14ac:dyDescent="0.3">
      <c r="F11275" s="1"/>
    </row>
    <row r="11276" spans="6:14" x14ac:dyDescent="0.3">
      <c r="F11276" s="1"/>
    </row>
    <row r="11277" spans="6:14" x14ac:dyDescent="0.3">
      <c r="F11277" s="1"/>
    </row>
    <row r="11278" spans="6:14" x14ac:dyDescent="0.3">
      <c r="F11278" s="1"/>
    </row>
    <row r="11279" spans="6:14" x14ac:dyDescent="0.3">
      <c r="F11279" s="1"/>
    </row>
    <row r="11280" spans="6:14" x14ac:dyDescent="0.3">
      <c r="F11280" s="1"/>
    </row>
    <row r="11281" spans="6:15" x14ac:dyDescent="0.3">
      <c r="M11281" s="1"/>
    </row>
    <row r="11282" spans="6:15" x14ac:dyDescent="0.3">
      <c r="F11282" s="1"/>
    </row>
    <row r="11283" spans="6:15" x14ac:dyDescent="0.3">
      <c r="F11283" s="1"/>
    </row>
    <row r="11285" spans="6:15" x14ac:dyDescent="0.3">
      <c r="F11285" s="1"/>
    </row>
    <row r="11286" spans="6:15" x14ac:dyDescent="0.3">
      <c r="F11286" s="1"/>
    </row>
    <row r="11288" spans="6:15" x14ac:dyDescent="0.3">
      <c r="F11288" s="1"/>
    </row>
    <row r="11289" spans="6:15" x14ac:dyDescent="0.3">
      <c r="F11289" s="1"/>
    </row>
    <row r="11290" spans="6:15" x14ac:dyDescent="0.3">
      <c r="F11290" s="1"/>
    </row>
    <row r="11291" spans="6:15" x14ac:dyDescent="0.3">
      <c r="M11291" s="1"/>
      <c r="N11291" s="1"/>
      <c r="O11291" s="1"/>
    </row>
    <row r="11292" spans="6:15" x14ac:dyDescent="0.3">
      <c r="F11292" s="1"/>
    </row>
    <row r="11293" spans="6:15" x14ac:dyDescent="0.3">
      <c r="F11293" s="1"/>
    </row>
    <row r="11294" spans="6:15" x14ac:dyDescent="0.3">
      <c r="N11294" s="1"/>
    </row>
    <row r="11295" spans="6:15" x14ac:dyDescent="0.3">
      <c r="F11295" s="1"/>
    </row>
    <row r="11296" spans="6:15" x14ac:dyDescent="0.3">
      <c r="F11296" s="1"/>
      <c r="M11296" s="1"/>
      <c r="N11296" s="1"/>
    </row>
    <row r="11297" spans="6:14" x14ac:dyDescent="0.3">
      <c r="F11297" s="1"/>
      <c r="M11297" s="1"/>
      <c r="N11297" s="1"/>
    </row>
    <row r="11298" spans="6:14" x14ac:dyDescent="0.3">
      <c r="F11298" s="1"/>
    </row>
    <row r="11299" spans="6:14" x14ac:dyDescent="0.3">
      <c r="F11299" s="1"/>
    </row>
    <row r="11300" spans="6:14" x14ac:dyDescent="0.3">
      <c r="F11300" s="1"/>
    </row>
    <row r="11301" spans="6:14" x14ac:dyDescent="0.3">
      <c r="F11301" s="1"/>
    </row>
    <row r="11303" spans="6:14" x14ac:dyDescent="0.3">
      <c r="F11303" s="1"/>
    </row>
    <row r="11305" spans="6:14" x14ac:dyDescent="0.3">
      <c r="F11305" s="1"/>
    </row>
    <row r="11306" spans="6:14" x14ac:dyDescent="0.3">
      <c r="F11306" s="1"/>
    </row>
    <row r="11307" spans="6:14" x14ac:dyDescent="0.3">
      <c r="F11307" s="1"/>
    </row>
    <row r="11308" spans="6:14" x14ac:dyDescent="0.3">
      <c r="F11308" s="1"/>
    </row>
    <row r="11309" spans="6:14" x14ac:dyDescent="0.3">
      <c r="M11309" s="1"/>
    </row>
    <row r="11310" spans="6:14" x14ac:dyDescent="0.3">
      <c r="F11310" s="1"/>
    </row>
    <row r="11311" spans="6:14" x14ac:dyDescent="0.3">
      <c r="F11311" s="1"/>
      <c r="L11311" s="1"/>
    </row>
    <row r="11312" spans="6:14" x14ac:dyDescent="0.3">
      <c r="F11312" s="1"/>
    </row>
    <row r="11313" spans="6:14" x14ac:dyDescent="0.3">
      <c r="F11313" s="1"/>
    </row>
    <row r="11315" spans="6:14" x14ac:dyDescent="0.3">
      <c r="F11315" s="1"/>
    </row>
    <row r="11316" spans="6:14" x14ac:dyDescent="0.3">
      <c r="F11316" s="1"/>
    </row>
    <row r="11317" spans="6:14" x14ac:dyDescent="0.3">
      <c r="F11317" s="1"/>
    </row>
    <row r="11318" spans="6:14" x14ac:dyDescent="0.3">
      <c r="F11318" s="1"/>
    </row>
    <row r="11319" spans="6:14" x14ac:dyDescent="0.3">
      <c r="F11319" s="1"/>
    </row>
    <row r="11320" spans="6:14" x14ac:dyDescent="0.3">
      <c r="F11320" s="1"/>
    </row>
    <row r="11322" spans="6:14" x14ac:dyDescent="0.3">
      <c r="F11322" s="1"/>
      <c r="N11322" s="1"/>
    </row>
    <row r="11323" spans="6:14" x14ac:dyDescent="0.3">
      <c r="F11323" s="1"/>
    </row>
    <row r="11324" spans="6:14" x14ac:dyDescent="0.3">
      <c r="F11324" s="1"/>
    </row>
    <row r="11325" spans="6:14" x14ac:dyDescent="0.3">
      <c r="F11325" s="1"/>
    </row>
    <row r="11326" spans="6:14" x14ac:dyDescent="0.3">
      <c r="F11326" s="1"/>
    </row>
    <row r="11327" spans="6:14" x14ac:dyDescent="0.3">
      <c r="F11327" s="1"/>
      <c r="N11327" s="1"/>
    </row>
    <row r="11328" spans="6:14" x14ac:dyDescent="0.3">
      <c r="F11328" s="1"/>
    </row>
    <row r="11329" spans="6:15" x14ac:dyDescent="0.3">
      <c r="F11329" s="1"/>
    </row>
    <row r="11330" spans="6:15" x14ac:dyDescent="0.3">
      <c r="F11330" s="1"/>
    </row>
    <row r="11331" spans="6:15" x14ac:dyDescent="0.3">
      <c r="F11331" s="1"/>
    </row>
    <row r="11332" spans="6:15" x14ac:dyDescent="0.3">
      <c r="F11332" s="1"/>
    </row>
    <row r="11333" spans="6:15" x14ac:dyDescent="0.3">
      <c r="F11333" s="1"/>
      <c r="N11333" s="1"/>
      <c r="O11333" s="1"/>
    </row>
    <row r="11334" spans="6:15" x14ac:dyDescent="0.3">
      <c r="F11334" s="1"/>
    </row>
    <row r="11335" spans="6:15" x14ac:dyDescent="0.3">
      <c r="F11335" s="1"/>
    </row>
    <row r="11336" spans="6:15" x14ac:dyDescent="0.3">
      <c r="F11336" s="1"/>
    </row>
    <row r="11337" spans="6:15" x14ac:dyDescent="0.3">
      <c r="F11337" s="1"/>
    </row>
    <row r="11338" spans="6:15" x14ac:dyDescent="0.3">
      <c r="F11338" s="1"/>
    </row>
    <row r="11339" spans="6:15" x14ac:dyDescent="0.3">
      <c r="F11339" s="1"/>
    </row>
    <row r="11340" spans="6:15" x14ac:dyDescent="0.3">
      <c r="F11340" s="1"/>
    </row>
    <row r="11341" spans="6:15" x14ac:dyDescent="0.3">
      <c r="F11341" s="1"/>
    </row>
    <row r="11342" spans="6:15" x14ac:dyDescent="0.3">
      <c r="O11342" s="1"/>
    </row>
    <row r="11344" spans="6:15" x14ac:dyDescent="0.3">
      <c r="F11344" s="1"/>
    </row>
    <row r="11346" spans="6:15" x14ac:dyDescent="0.3">
      <c r="F11346" s="1"/>
    </row>
    <row r="11347" spans="6:15" x14ac:dyDescent="0.3">
      <c r="M11347" s="1"/>
    </row>
    <row r="11348" spans="6:15" x14ac:dyDescent="0.3">
      <c r="F11348" s="1"/>
    </row>
    <row r="11349" spans="6:15" x14ac:dyDescent="0.3">
      <c r="F11349" s="1"/>
    </row>
    <row r="11350" spans="6:15" x14ac:dyDescent="0.3">
      <c r="M11350" s="1"/>
      <c r="O11350" s="1"/>
    </row>
    <row r="11351" spans="6:15" x14ac:dyDescent="0.3">
      <c r="F11351" s="1"/>
    </row>
    <row r="11353" spans="6:15" x14ac:dyDescent="0.3">
      <c r="F11353" s="1"/>
    </row>
    <row r="11354" spans="6:15" x14ac:dyDescent="0.3">
      <c r="F11354" s="1"/>
    </row>
    <row r="11355" spans="6:15" x14ac:dyDescent="0.3">
      <c r="F11355" s="1"/>
    </row>
    <row r="11358" spans="6:15" x14ac:dyDescent="0.3">
      <c r="F11358" s="1"/>
    </row>
    <row r="11359" spans="6:15" x14ac:dyDescent="0.3">
      <c r="F11359" s="1"/>
    </row>
    <row r="11360" spans="6:15" x14ac:dyDescent="0.3">
      <c r="F11360" s="1"/>
    </row>
    <row r="11361" spans="6:6" x14ac:dyDescent="0.3">
      <c r="F11361" s="1"/>
    </row>
    <row r="11362" spans="6:6" x14ac:dyDescent="0.3">
      <c r="F11362" s="1"/>
    </row>
    <row r="11363" spans="6:6" x14ac:dyDescent="0.3">
      <c r="F11363" s="1"/>
    </row>
    <row r="11364" spans="6:6" x14ac:dyDescent="0.3">
      <c r="F11364" s="1"/>
    </row>
    <row r="11365" spans="6:6" x14ac:dyDescent="0.3">
      <c r="F11365" s="1"/>
    </row>
    <row r="11366" spans="6:6" x14ac:dyDescent="0.3">
      <c r="F11366" s="1"/>
    </row>
    <row r="11367" spans="6:6" x14ac:dyDescent="0.3">
      <c r="F11367" s="1"/>
    </row>
    <row r="11368" spans="6:6" x14ac:dyDescent="0.3">
      <c r="F11368" s="1"/>
    </row>
    <row r="11370" spans="6:6" x14ac:dyDescent="0.3">
      <c r="F11370" s="1"/>
    </row>
    <row r="11371" spans="6:6" x14ac:dyDescent="0.3">
      <c r="F11371" s="1"/>
    </row>
    <row r="11373" spans="6:6" x14ac:dyDescent="0.3">
      <c r="F11373" s="1"/>
    </row>
    <row r="11374" spans="6:6" x14ac:dyDescent="0.3">
      <c r="F11374" s="1"/>
    </row>
    <row r="11375" spans="6:6" x14ac:dyDescent="0.3">
      <c r="F11375" s="1"/>
    </row>
    <row r="11376" spans="6:6" x14ac:dyDescent="0.3">
      <c r="F11376" s="1"/>
    </row>
    <row r="11377" spans="6:15" x14ac:dyDescent="0.3">
      <c r="F11377" s="1"/>
    </row>
    <row r="11379" spans="6:15" x14ac:dyDescent="0.3">
      <c r="M11379" s="1"/>
      <c r="O11379" s="1"/>
    </row>
    <row r="11380" spans="6:15" x14ac:dyDescent="0.3">
      <c r="F11380" s="1"/>
    </row>
    <row r="11381" spans="6:15" x14ac:dyDescent="0.3">
      <c r="F11381" s="1"/>
      <c r="M11381" s="1"/>
    </row>
    <row r="11382" spans="6:15" x14ac:dyDescent="0.3">
      <c r="F11382" s="1"/>
    </row>
    <row r="11383" spans="6:15" x14ac:dyDescent="0.3">
      <c r="F11383" s="1"/>
    </row>
    <row r="11384" spans="6:15" x14ac:dyDescent="0.3">
      <c r="F11384" s="1"/>
    </row>
    <row r="11385" spans="6:15" x14ac:dyDescent="0.3">
      <c r="F11385" s="1"/>
    </row>
    <row r="11387" spans="6:15" x14ac:dyDescent="0.3">
      <c r="F11387" s="1"/>
    </row>
    <row r="11388" spans="6:15" x14ac:dyDescent="0.3">
      <c r="F11388" s="1"/>
    </row>
    <row r="11389" spans="6:15" x14ac:dyDescent="0.3">
      <c r="F11389" s="1"/>
    </row>
    <row r="11390" spans="6:15" x14ac:dyDescent="0.3">
      <c r="F11390" s="1"/>
    </row>
    <row r="11391" spans="6:15" x14ac:dyDescent="0.3">
      <c r="F11391" s="1"/>
    </row>
    <row r="11392" spans="6:15" x14ac:dyDescent="0.3">
      <c r="F11392" s="1"/>
    </row>
    <row r="11393" spans="6:15" x14ac:dyDescent="0.3">
      <c r="F11393" s="1"/>
    </row>
    <row r="11394" spans="6:15" x14ac:dyDescent="0.3">
      <c r="F11394" s="1"/>
    </row>
    <row r="11395" spans="6:15" x14ac:dyDescent="0.3">
      <c r="F11395" s="1"/>
    </row>
    <row r="11396" spans="6:15" x14ac:dyDescent="0.3">
      <c r="F11396" s="1"/>
    </row>
    <row r="11397" spans="6:15" x14ac:dyDescent="0.3">
      <c r="F11397" s="1"/>
    </row>
    <row r="11398" spans="6:15" x14ac:dyDescent="0.3">
      <c r="F11398" s="1"/>
    </row>
    <row r="11399" spans="6:15" x14ac:dyDescent="0.3">
      <c r="F11399" s="1"/>
    </row>
    <row r="11400" spans="6:15" x14ac:dyDescent="0.3">
      <c r="F11400" s="1"/>
    </row>
    <row r="11401" spans="6:15" x14ac:dyDescent="0.3">
      <c r="F11401" s="1"/>
    </row>
    <row r="11402" spans="6:15" x14ac:dyDescent="0.3">
      <c r="F11402" s="1"/>
    </row>
    <row r="11403" spans="6:15" x14ac:dyDescent="0.3">
      <c r="L11403" s="1"/>
      <c r="M11403" s="1"/>
      <c r="O11403" s="1"/>
    </row>
    <row r="11404" spans="6:15" x14ac:dyDescent="0.3">
      <c r="F11404" s="1"/>
    </row>
    <row r="11405" spans="6:15" x14ac:dyDescent="0.3">
      <c r="F11405" s="1"/>
    </row>
    <row r="11406" spans="6:15" x14ac:dyDescent="0.3">
      <c r="F11406" s="1"/>
    </row>
    <row r="11407" spans="6:15" x14ac:dyDescent="0.3">
      <c r="L11407" s="1"/>
      <c r="M11407" s="1"/>
      <c r="N11407" s="1"/>
      <c r="O11407" s="1"/>
    </row>
    <row r="11408" spans="6:15" x14ac:dyDescent="0.3">
      <c r="F11408" s="1"/>
    </row>
    <row r="11409" spans="6:14" x14ac:dyDescent="0.3">
      <c r="F11409" s="1"/>
    </row>
    <row r="11410" spans="6:14" x14ac:dyDescent="0.3">
      <c r="F11410" s="1"/>
    </row>
    <row r="11411" spans="6:14" x14ac:dyDescent="0.3">
      <c r="F11411" s="1"/>
    </row>
    <row r="11412" spans="6:14" x14ac:dyDescent="0.3">
      <c r="F11412" s="1"/>
    </row>
    <row r="11413" spans="6:14" x14ac:dyDescent="0.3">
      <c r="L11413" s="1"/>
      <c r="N11413" s="1"/>
    </row>
    <row r="11414" spans="6:14" x14ac:dyDescent="0.3">
      <c r="F11414" s="1"/>
    </row>
    <row r="11415" spans="6:14" x14ac:dyDescent="0.3">
      <c r="F11415" s="1"/>
    </row>
    <row r="11416" spans="6:14" x14ac:dyDescent="0.3">
      <c r="F11416" s="1"/>
    </row>
    <row r="11417" spans="6:14" x14ac:dyDescent="0.3">
      <c r="F11417" s="1"/>
    </row>
    <row r="11418" spans="6:14" x14ac:dyDescent="0.3">
      <c r="F11418" s="1"/>
    </row>
    <row r="11419" spans="6:14" x14ac:dyDescent="0.3">
      <c r="F11419" s="1"/>
    </row>
    <row r="11420" spans="6:14" x14ac:dyDescent="0.3">
      <c r="F11420" s="1"/>
    </row>
    <row r="11421" spans="6:14" x14ac:dyDescent="0.3">
      <c r="F11421" s="1"/>
      <c r="N11421" s="1"/>
    </row>
    <row r="11422" spans="6:14" x14ac:dyDescent="0.3">
      <c r="F11422" s="1"/>
    </row>
    <row r="11423" spans="6:14" x14ac:dyDescent="0.3">
      <c r="F11423" s="1"/>
    </row>
    <row r="11424" spans="6:14" x14ac:dyDescent="0.3">
      <c r="F11424" s="1"/>
    </row>
    <row r="11425" spans="6:15" x14ac:dyDescent="0.3">
      <c r="F11425" s="1"/>
    </row>
    <row r="11426" spans="6:15" x14ac:dyDescent="0.3">
      <c r="F11426" s="1"/>
    </row>
    <row r="11427" spans="6:15" x14ac:dyDescent="0.3">
      <c r="F11427" s="1"/>
    </row>
    <row r="11428" spans="6:15" x14ac:dyDescent="0.3">
      <c r="F11428" s="1"/>
    </row>
    <row r="11429" spans="6:15" x14ac:dyDescent="0.3">
      <c r="F11429" s="1"/>
    </row>
    <row r="11430" spans="6:15" x14ac:dyDescent="0.3">
      <c r="F11430" s="1"/>
    </row>
    <row r="11432" spans="6:15" x14ac:dyDescent="0.3">
      <c r="F11432" s="1"/>
    </row>
    <row r="11433" spans="6:15" x14ac:dyDescent="0.3">
      <c r="F11433" s="1"/>
    </row>
    <row r="11434" spans="6:15" x14ac:dyDescent="0.3">
      <c r="F11434" s="1"/>
    </row>
    <row r="11435" spans="6:15" x14ac:dyDescent="0.3">
      <c r="F11435" s="1"/>
    </row>
    <row r="11436" spans="6:15" x14ac:dyDescent="0.3">
      <c r="F11436" s="1"/>
    </row>
    <row r="11437" spans="6:15" x14ac:dyDescent="0.3">
      <c r="F11437" s="1"/>
    </row>
    <row r="11438" spans="6:15" x14ac:dyDescent="0.3">
      <c r="F11438" s="1"/>
    </row>
    <row r="11439" spans="6:15" x14ac:dyDescent="0.3">
      <c r="F11439" s="1"/>
    </row>
    <row r="11440" spans="6:15" x14ac:dyDescent="0.3">
      <c r="F11440" s="1"/>
      <c r="L11440" s="1"/>
      <c r="M11440" s="1"/>
      <c r="N11440" s="1"/>
      <c r="O11440" s="1"/>
    </row>
    <row r="11442" spans="6:6" x14ac:dyDescent="0.3">
      <c r="F11442" s="1"/>
    </row>
    <row r="11443" spans="6:6" x14ac:dyDescent="0.3">
      <c r="F11443" s="1"/>
    </row>
    <row r="11444" spans="6:6" x14ac:dyDescent="0.3">
      <c r="F11444" s="1"/>
    </row>
    <row r="11446" spans="6:6" x14ac:dyDescent="0.3">
      <c r="F11446" s="1"/>
    </row>
    <row r="11449" spans="6:6" x14ac:dyDescent="0.3">
      <c r="F11449" s="1"/>
    </row>
    <row r="11450" spans="6:6" x14ac:dyDescent="0.3">
      <c r="F11450" s="1"/>
    </row>
    <row r="11451" spans="6:6" x14ac:dyDescent="0.3">
      <c r="F11451" s="1"/>
    </row>
    <row r="11452" spans="6:6" x14ac:dyDescent="0.3">
      <c r="F11452" s="1"/>
    </row>
    <row r="11453" spans="6:6" x14ac:dyDescent="0.3">
      <c r="F11453" s="1"/>
    </row>
    <row r="11454" spans="6:6" x14ac:dyDescent="0.3">
      <c r="F11454" s="1"/>
    </row>
    <row r="11455" spans="6:6" x14ac:dyDescent="0.3">
      <c r="F11455" s="1"/>
    </row>
    <row r="11456" spans="6:6" x14ac:dyDescent="0.3">
      <c r="F11456" s="1"/>
    </row>
    <row r="11457" spans="6:14" x14ac:dyDescent="0.3">
      <c r="F11457" s="1"/>
    </row>
    <row r="11458" spans="6:14" x14ac:dyDescent="0.3">
      <c r="F11458" s="1"/>
    </row>
    <row r="11459" spans="6:14" x14ac:dyDescent="0.3">
      <c r="F11459" s="1"/>
    </row>
    <row r="11460" spans="6:14" x14ac:dyDescent="0.3">
      <c r="F11460" s="1"/>
    </row>
    <row r="11461" spans="6:14" x14ac:dyDescent="0.3">
      <c r="F11461" s="1"/>
    </row>
    <row r="11463" spans="6:14" x14ac:dyDescent="0.3">
      <c r="F11463" s="1"/>
    </row>
    <row r="11464" spans="6:14" x14ac:dyDescent="0.3">
      <c r="F11464" s="1"/>
    </row>
    <row r="11465" spans="6:14" x14ac:dyDescent="0.3">
      <c r="F11465" s="1"/>
    </row>
    <row r="11466" spans="6:14" x14ac:dyDescent="0.3">
      <c r="F11466" s="1"/>
    </row>
    <row r="11467" spans="6:14" x14ac:dyDescent="0.3">
      <c r="F11467" s="1"/>
    </row>
    <row r="11468" spans="6:14" x14ac:dyDescent="0.3">
      <c r="F11468" s="1"/>
    </row>
    <row r="11469" spans="6:14" x14ac:dyDescent="0.3">
      <c r="F11469" s="1"/>
    </row>
    <row r="11470" spans="6:14" x14ac:dyDescent="0.3">
      <c r="F11470" s="1"/>
      <c r="N11470" s="1"/>
    </row>
    <row r="11471" spans="6:14" x14ac:dyDescent="0.3">
      <c r="F11471" s="1"/>
    </row>
    <row r="11472" spans="6:14" x14ac:dyDescent="0.3">
      <c r="F11472" s="1"/>
    </row>
    <row r="11473" spans="6:14" x14ac:dyDescent="0.3">
      <c r="F11473" s="1"/>
    </row>
    <row r="11474" spans="6:14" x14ac:dyDescent="0.3">
      <c r="F11474" s="1"/>
    </row>
    <row r="11475" spans="6:14" x14ac:dyDescent="0.3">
      <c r="F11475" s="1"/>
    </row>
    <row r="11476" spans="6:14" x14ac:dyDescent="0.3">
      <c r="F11476" s="1"/>
    </row>
    <row r="11478" spans="6:14" x14ac:dyDescent="0.3">
      <c r="F11478" s="1"/>
      <c r="L11478" s="1"/>
    </row>
    <row r="11479" spans="6:14" x14ac:dyDescent="0.3">
      <c r="N11479" s="1"/>
    </row>
    <row r="11480" spans="6:14" x14ac:dyDescent="0.3">
      <c r="F11480" s="1"/>
    </row>
    <row r="11481" spans="6:14" x14ac:dyDescent="0.3">
      <c r="F11481" s="1"/>
    </row>
    <row r="11482" spans="6:14" x14ac:dyDescent="0.3">
      <c r="F11482" s="1"/>
    </row>
    <row r="11483" spans="6:14" x14ac:dyDescent="0.3">
      <c r="L11483" s="1"/>
      <c r="M11483" s="1"/>
    </row>
    <row r="11484" spans="6:14" x14ac:dyDescent="0.3">
      <c r="F11484" s="1"/>
    </row>
    <row r="11485" spans="6:14" x14ac:dyDescent="0.3">
      <c r="F11485" s="1"/>
    </row>
    <row r="11486" spans="6:14" x14ac:dyDescent="0.3">
      <c r="F11486" s="1"/>
    </row>
    <row r="11487" spans="6:14" x14ac:dyDescent="0.3">
      <c r="F11487" s="1"/>
    </row>
    <row r="11488" spans="6:14" x14ac:dyDescent="0.3">
      <c r="N11488" s="1"/>
    </row>
    <row r="11490" spans="6:14" x14ac:dyDescent="0.3">
      <c r="F11490" s="1"/>
    </row>
    <row r="11491" spans="6:14" x14ac:dyDescent="0.3">
      <c r="F11491" s="1"/>
    </row>
    <row r="11492" spans="6:14" x14ac:dyDescent="0.3">
      <c r="F11492" s="1"/>
      <c r="N11492" s="1"/>
    </row>
    <row r="11493" spans="6:14" x14ac:dyDescent="0.3">
      <c r="F11493" s="1"/>
    </row>
    <row r="11494" spans="6:14" x14ac:dyDescent="0.3">
      <c r="F11494" s="1"/>
    </row>
    <row r="11495" spans="6:14" x14ac:dyDescent="0.3">
      <c r="F11495" s="1"/>
    </row>
    <row r="11497" spans="6:14" x14ac:dyDescent="0.3">
      <c r="F11497" s="1"/>
    </row>
    <row r="11498" spans="6:14" x14ac:dyDescent="0.3">
      <c r="F11498" s="1"/>
    </row>
    <row r="11499" spans="6:14" x14ac:dyDescent="0.3">
      <c r="F11499" s="1"/>
    </row>
    <row r="11500" spans="6:14" x14ac:dyDescent="0.3">
      <c r="F11500" s="1"/>
    </row>
    <row r="11502" spans="6:14" x14ac:dyDescent="0.3">
      <c r="F11502" s="1"/>
    </row>
    <row r="11503" spans="6:14" x14ac:dyDescent="0.3">
      <c r="F11503" s="1"/>
    </row>
    <row r="11504" spans="6:14" x14ac:dyDescent="0.3">
      <c r="F11504" s="1"/>
    </row>
    <row r="11505" spans="6:14" x14ac:dyDescent="0.3">
      <c r="F11505" s="1"/>
    </row>
    <row r="11506" spans="6:14" x14ac:dyDescent="0.3">
      <c r="F11506" s="1"/>
    </row>
    <row r="11507" spans="6:14" x14ac:dyDescent="0.3">
      <c r="F11507" s="1"/>
    </row>
    <row r="11508" spans="6:14" x14ac:dyDescent="0.3">
      <c r="F11508" s="1"/>
    </row>
    <row r="11509" spans="6:14" x14ac:dyDescent="0.3">
      <c r="F11509" s="1"/>
      <c r="M11509" s="1"/>
    </row>
    <row r="11510" spans="6:14" x14ac:dyDescent="0.3">
      <c r="F11510" s="1"/>
    </row>
    <row r="11512" spans="6:14" x14ac:dyDescent="0.3">
      <c r="F11512" s="1"/>
    </row>
    <row r="11513" spans="6:14" x14ac:dyDescent="0.3">
      <c r="F11513" s="1"/>
    </row>
    <row r="11514" spans="6:14" x14ac:dyDescent="0.3">
      <c r="F11514" s="1"/>
    </row>
    <row r="11515" spans="6:14" x14ac:dyDescent="0.3">
      <c r="F11515" s="1"/>
    </row>
    <row r="11516" spans="6:14" x14ac:dyDescent="0.3">
      <c r="F11516" s="1"/>
    </row>
    <row r="11517" spans="6:14" x14ac:dyDescent="0.3">
      <c r="F11517" s="1"/>
    </row>
    <row r="11518" spans="6:14" x14ac:dyDescent="0.3">
      <c r="F11518" s="1"/>
      <c r="N11518" s="1"/>
    </row>
    <row r="11519" spans="6:14" x14ac:dyDescent="0.3">
      <c r="F11519" s="1"/>
    </row>
    <row r="11520" spans="6:14" x14ac:dyDescent="0.3">
      <c r="F11520" s="1"/>
      <c r="L11520" s="1"/>
      <c r="M11520" s="1"/>
    </row>
    <row r="11521" spans="6:15" x14ac:dyDescent="0.3">
      <c r="F11521" s="1"/>
    </row>
    <row r="11522" spans="6:15" x14ac:dyDescent="0.3">
      <c r="F11522" s="1"/>
    </row>
    <row r="11523" spans="6:15" x14ac:dyDescent="0.3">
      <c r="F11523" s="1"/>
    </row>
    <row r="11524" spans="6:15" x14ac:dyDescent="0.3">
      <c r="F11524" s="1"/>
    </row>
    <row r="11525" spans="6:15" x14ac:dyDescent="0.3">
      <c r="F11525" s="1"/>
      <c r="L11525" s="1"/>
      <c r="M11525" s="1"/>
      <c r="N11525" s="1"/>
      <c r="O11525" s="1"/>
    </row>
    <row r="11526" spans="6:15" x14ac:dyDescent="0.3">
      <c r="F11526" s="1"/>
      <c r="N11526" s="1"/>
    </row>
    <row r="11528" spans="6:15" x14ac:dyDescent="0.3">
      <c r="F11528" s="1"/>
    </row>
    <row r="11529" spans="6:15" x14ac:dyDescent="0.3">
      <c r="F11529" s="1"/>
    </row>
    <row r="11530" spans="6:15" x14ac:dyDescent="0.3">
      <c r="F11530" s="1"/>
    </row>
    <row r="11531" spans="6:15" x14ac:dyDescent="0.3">
      <c r="F11531" s="1"/>
    </row>
    <row r="11532" spans="6:15" x14ac:dyDescent="0.3">
      <c r="F11532" s="1"/>
    </row>
    <row r="11533" spans="6:15" x14ac:dyDescent="0.3">
      <c r="F11533" s="1"/>
    </row>
    <row r="11534" spans="6:15" x14ac:dyDescent="0.3">
      <c r="M11534" s="1"/>
      <c r="O11534" s="1"/>
    </row>
    <row r="11535" spans="6:15" x14ac:dyDescent="0.3">
      <c r="F11535" s="1"/>
    </row>
    <row r="11536" spans="6:15" x14ac:dyDescent="0.3">
      <c r="F11536" s="1"/>
    </row>
    <row r="11537" spans="6:15" x14ac:dyDescent="0.3">
      <c r="L11537" s="1"/>
      <c r="M11537" s="1"/>
      <c r="O11537" s="1"/>
    </row>
    <row r="11538" spans="6:15" x14ac:dyDescent="0.3">
      <c r="L11538" s="1"/>
      <c r="O11538" s="1"/>
    </row>
    <row r="11539" spans="6:15" x14ac:dyDescent="0.3">
      <c r="F11539" s="1"/>
    </row>
    <row r="11540" spans="6:15" x14ac:dyDescent="0.3">
      <c r="F11540" s="1"/>
    </row>
    <row r="11541" spans="6:15" x14ac:dyDescent="0.3">
      <c r="F11541" s="1"/>
    </row>
    <row r="11542" spans="6:15" x14ac:dyDescent="0.3">
      <c r="F11542" s="1"/>
      <c r="M11542" s="1"/>
    </row>
    <row r="11543" spans="6:15" x14ac:dyDescent="0.3">
      <c r="F11543" s="1"/>
    </row>
    <row r="11544" spans="6:15" x14ac:dyDescent="0.3">
      <c r="F11544" s="1"/>
    </row>
    <row r="11545" spans="6:15" x14ac:dyDescent="0.3">
      <c r="F11545" s="1"/>
    </row>
    <row r="11547" spans="6:15" x14ac:dyDescent="0.3">
      <c r="F11547" s="1"/>
    </row>
    <row r="11548" spans="6:15" x14ac:dyDescent="0.3">
      <c r="F11548" s="1"/>
    </row>
    <row r="11549" spans="6:15" x14ac:dyDescent="0.3">
      <c r="F11549" s="1"/>
    </row>
    <row r="11551" spans="6:15" x14ac:dyDescent="0.3">
      <c r="F11551" s="1"/>
    </row>
    <row r="11552" spans="6:15" x14ac:dyDescent="0.3">
      <c r="F11552" s="1"/>
    </row>
    <row r="11553" spans="6:15" x14ac:dyDescent="0.3">
      <c r="F11553" s="1"/>
    </row>
    <row r="11554" spans="6:15" x14ac:dyDescent="0.3">
      <c r="F11554" s="1"/>
    </row>
    <row r="11555" spans="6:15" x14ac:dyDescent="0.3">
      <c r="F11555" s="1"/>
    </row>
    <row r="11556" spans="6:15" x14ac:dyDescent="0.3">
      <c r="F11556" s="1"/>
    </row>
    <row r="11557" spans="6:15" x14ac:dyDescent="0.3">
      <c r="F11557" s="1"/>
    </row>
    <row r="11558" spans="6:15" x14ac:dyDescent="0.3">
      <c r="F11558" s="1"/>
    </row>
    <row r="11559" spans="6:15" x14ac:dyDescent="0.3">
      <c r="N11559" s="1"/>
      <c r="O11559" s="1"/>
    </row>
    <row r="11560" spans="6:15" x14ac:dyDescent="0.3">
      <c r="F11560" s="1"/>
    </row>
    <row r="11561" spans="6:15" x14ac:dyDescent="0.3">
      <c r="F11561" s="1"/>
    </row>
    <row r="11562" spans="6:15" x14ac:dyDescent="0.3">
      <c r="F11562" s="1"/>
    </row>
    <row r="11563" spans="6:15" x14ac:dyDescent="0.3">
      <c r="F11563" s="1"/>
    </row>
    <row r="11564" spans="6:15" x14ac:dyDescent="0.3">
      <c r="F11564" s="1"/>
    </row>
    <row r="11565" spans="6:15" x14ac:dyDescent="0.3">
      <c r="F11565" s="1"/>
    </row>
    <row r="11567" spans="6:15" x14ac:dyDescent="0.3">
      <c r="F11567" s="1"/>
    </row>
    <row r="11568" spans="6:15" x14ac:dyDescent="0.3">
      <c r="F11568" s="1"/>
      <c r="M11568" s="1"/>
    </row>
    <row r="11570" spans="6:13" x14ac:dyDescent="0.3">
      <c r="F11570" s="1"/>
    </row>
    <row r="11572" spans="6:13" x14ac:dyDescent="0.3">
      <c r="F11572" s="1"/>
    </row>
    <row r="11574" spans="6:13" x14ac:dyDescent="0.3">
      <c r="F11574" s="1"/>
    </row>
    <row r="11575" spans="6:13" x14ac:dyDescent="0.3">
      <c r="F11575" s="1"/>
    </row>
    <row r="11576" spans="6:13" x14ac:dyDescent="0.3">
      <c r="F11576" s="1"/>
    </row>
    <row r="11577" spans="6:13" x14ac:dyDescent="0.3">
      <c r="F11577" s="1"/>
      <c r="M11577" s="1"/>
    </row>
    <row r="11578" spans="6:13" x14ac:dyDescent="0.3">
      <c r="F11578" s="1"/>
    </row>
    <row r="11579" spans="6:13" x14ac:dyDescent="0.3">
      <c r="F11579" s="1"/>
    </row>
    <row r="11580" spans="6:13" x14ac:dyDescent="0.3">
      <c r="F11580" s="1"/>
    </row>
    <row r="11581" spans="6:13" x14ac:dyDescent="0.3">
      <c r="F11581" s="1"/>
      <c r="L11581" s="1"/>
    </row>
    <row r="11582" spans="6:13" x14ac:dyDescent="0.3">
      <c r="F11582" s="1"/>
    </row>
    <row r="11583" spans="6:13" x14ac:dyDescent="0.3">
      <c r="F11583" s="1"/>
    </row>
    <row r="11584" spans="6:13" x14ac:dyDescent="0.3">
      <c r="F11584" s="1"/>
      <c r="L11584" s="1"/>
      <c r="M11584" s="1"/>
    </row>
    <row r="11585" spans="6:14" x14ac:dyDescent="0.3">
      <c r="F11585" s="1"/>
    </row>
    <row r="11586" spans="6:14" x14ac:dyDescent="0.3">
      <c r="F11586" s="1"/>
    </row>
    <row r="11587" spans="6:14" x14ac:dyDescent="0.3">
      <c r="F11587" s="1"/>
    </row>
    <row r="11588" spans="6:14" x14ac:dyDescent="0.3">
      <c r="F11588" s="1"/>
    </row>
    <row r="11589" spans="6:14" x14ac:dyDescent="0.3">
      <c r="F11589" s="1"/>
      <c r="N11589" s="1"/>
    </row>
    <row r="11590" spans="6:14" x14ac:dyDescent="0.3">
      <c r="F11590" s="1"/>
    </row>
    <row r="11591" spans="6:14" x14ac:dyDescent="0.3">
      <c r="F11591" s="1"/>
    </row>
    <row r="11592" spans="6:14" x14ac:dyDescent="0.3">
      <c r="F11592" s="1"/>
    </row>
    <row r="11593" spans="6:14" x14ac:dyDescent="0.3">
      <c r="F11593" s="1"/>
    </row>
    <row r="11594" spans="6:14" x14ac:dyDescent="0.3">
      <c r="F11594" s="1"/>
    </row>
    <row r="11595" spans="6:14" x14ac:dyDescent="0.3">
      <c r="F11595" s="1"/>
    </row>
    <row r="11596" spans="6:14" x14ac:dyDescent="0.3">
      <c r="F11596" s="1"/>
    </row>
    <row r="11597" spans="6:14" x14ac:dyDescent="0.3">
      <c r="F11597" s="1"/>
    </row>
    <row r="11598" spans="6:14" x14ac:dyDescent="0.3">
      <c r="F11598" s="1"/>
    </row>
    <row r="11599" spans="6:14" x14ac:dyDescent="0.3">
      <c r="F11599" s="1"/>
    </row>
    <row r="11602" spans="6:13" x14ac:dyDescent="0.3">
      <c r="F11602" s="1"/>
    </row>
    <row r="11603" spans="6:13" x14ac:dyDescent="0.3">
      <c r="F11603" s="1"/>
    </row>
    <row r="11604" spans="6:13" x14ac:dyDescent="0.3">
      <c r="F11604" s="1"/>
    </row>
    <row r="11605" spans="6:13" x14ac:dyDescent="0.3">
      <c r="F11605" s="1"/>
    </row>
    <row r="11606" spans="6:13" x14ac:dyDescent="0.3">
      <c r="F11606" s="1"/>
    </row>
    <row r="11607" spans="6:13" x14ac:dyDescent="0.3">
      <c r="F11607" s="1"/>
    </row>
    <row r="11609" spans="6:13" x14ac:dyDescent="0.3">
      <c r="F11609" s="1"/>
    </row>
    <row r="11610" spans="6:13" x14ac:dyDescent="0.3">
      <c r="M11610" s="1"/>
    </row>
    <row r="11611" spans="6:13" x14ac:dyDescent="0.3">
      <c r="F11611" s="1"/>
    </row>
    <row r="11612" spans="6:13" x14ac:dyDescent="0.3">
      <c r="F11612" s="1"/>
    </row>
    <row r="11614" spans="6:13" x14ac:dyDescent="0.3">
      <c r="F11614" s="1"/>
    </row>
    <row r="11615" spans="6:13" x14ac:dyDescent="0.3">
      <c r="F11615" s="1"/>
    </row>
    <row r="11616" spans="6:13" x14ac:dyDescent="0.3">
      <c r="F11616" s="1"/>
    </row>
    <row r="11617" spans="6:14" x14ac:dyDescent="0.3">
      <c r="F11617" s="1"/>
    </row>
    <row r="11618" spans="6:14" x14ac:dyDescent="0.3">
      <c r="L11618" s="1"/>
    </row>
    <row r="11619" spans="6:14" x14ac:dyDescent="0.3">
      <c r="F11619" s="1"/>
    </row>
    <row r="11620" spans="6:14" x14ac:dyDescent="0.3">
      <c r="F11620" s="1"/>
    </row>
    <row r="11621" spans="6:14" x14ac:dyDescent="0.3">
      <c r="F11621" s="1"/>
    </row>
    <row r="11622" spans="6:14" x14ac:dyDescent="0.3">
      <c r="N11622" s="1"/>
    </row>
    <row r="11623" spans="6:14" x14ac:dyDescent="0.3">
      <c r="F11623" s="1"/>
    </row>
    <row r="11624" spans="6:14" x14ac:dyDescent="0.3">
      <c r="F11624" s="1"/>
    </row>
    <row r="11625" spans="6:14" x14ac:dyDescent="0.3">
      <c r="F11625" s="1"/>
    </row>
    <row r="11626" spans="6:14" x14ac:dyDescent="0.3">
      <c r="F11626" s="1"/>
    </row>
    <row r="11627" spans="6:14" x14ac:dyDescent="0.3">
      <c r="F11627" s="1"/>
    </row>
    <row r="11628" spans="6:14" x14ac:dyDescent="0.3">
      <c r="F11628" s="1"/>
    </row>
    <row r="11629" spans="6:14" x14ac:dyDescent="0.3">
      <c r="F11629" s="1"/>
    </row>
    <row r="11630" spans="6:14" x14ac:dyDescent="0.3">
      <c r="F11630" s="1"/>
    </row>
    <row r="11631" spans="6:14" x14ac:dyDescent="0.3">
      <c r="F11631" s="1"/>
    </row>
    <row r="11632" spans="6:14" x14ac:dyDescent="0.3">
      <c r="F11632" s="1"/>
    </row>
    <row r="11633" spans="6:15" x14ac:dyDescent="0.3">
      <c r="F11633" s="1"/>
    </row>
    <row r="11635" spans="6:15" x14ac:dyDescent="0.3">
      <c r="F11635" s="1"/>
    </row>
    <row r="11636" spans="6:15" x14ac:dyDescent="0.3">
      <c r="F11636" s="1"/>
      <c r="L11636" s="1"/>
      <c r="M11636" s="1"/>
      <c r="O11636" s="1"/>
    </row>
    <row r="11637" spans="6:15" x14ac:dyDescent="0.3">
      <c r="F11637" s="1"/>
    </row>
    <row r="11640" spans="6:15" x14ac:dyDescent="0.3">
      <c r="F11640" s="1"/>
    </row>
    <row r="11642" spans="6:15" x14ac:dyDescent="0.3">
      <c r="F11642" s="1"/>
    </row>
    <row r="11644" spans="6:15" x14ac:dyDescent="0.3">
      <c r="F11644" s="1"/>
    </row>
    <row r="11645" spans="6:15" x14ac:dyDescent="0.3">
      <c r="F11645" s="1"/>
    </row>
    <row r="11646" spans="6:15" x14ac:dyDescent="0.3">
      <c r="F11646" s="1"/>
    </row>
    <row r="11647" spans="6:15" x14ac:dyDescent="0.3">
      <c r="F11647" s="1"/>
    </row>
    <row r="11648" spans="6:15" x14ac:dyDescent="0.3">
      <c r="F11648" s="1"/>
    </row>
    <row r="11649" spans="6:15" x14ac:dyDescent="0.3">
      <c r="F11649" s="1"/>
    </row>
    <row r="11650" spans="6:15" x14ac:dyDescent="0.3">
      <c r="F11650" s="1"/>
      <c r="N11650" s="1"/>
    </row>
    <row r="11652" spans="6:15" x14ac:dyDescent="0.3">
      <c r="F11652" s="1"/>
    </row>
    <row r="11653" spans="6:15" x14ac:dyDescent="0.3">
      <c r="F11653" s="1"/>
    </row>
    <row r="11654" spans="6:15" x14ac:dyDescent="0.3">
      <c r="F11654" s="1"/>
    </row>
    <row r="11655" spans="6:15" x14ac:dyDescent="0.3">
      <c r="F11655" s="1"/>
      <c r="L11655" s="1"/>
      <c r="O11655" s="1"/>
    </row>
    <row r="11656" spans="6:15" x14ac:dyDescent="0.3">
      <c r="F11656" s="1"/>
    </row>
    <row r="11657" spans="6:15" x14ac:dyDescent="0.3">
      <c r="F11657" s="1"/>
    </row>
    <row r="11658" spans="6:15" x14ac:dyDescent="0.3">
      <c r="F11658" s="1"/>
    </row>
    <row r="11659" spans="6:15" x14ac:dyDescent="0.3">
      <c r="F11659" s="1"/>
    </row>
    <row r="11660" spans="6:15" x14ac:dyDescent="0.3">
      <c r="F11660" s="1"/>
      <c r="N11660" s="1"/>
    </row>
    <row r="11661" spans="6:15" x14ac:dyDescent="0.3">
      <c r="F11661" s="1"/>
      <c r="O11661" s="1"/>
    </row>
    <row r="11663" spans="6:15" x14ac:dyDescent="0.3">
      <c r="F11663" s="1"/>
    </row>
    <row r="11664" spans="6:15" x14ac:dyDescent="0.3">
      <c r="F11664" s="1"/>
    </row>
    <row r="11665" spans="6:14" x14ac:dyDescent="0.3">
      <c r="F11665" s="1"/>
    </row>
    <row r="11666" spans="6:14" x14ac:dyDescent="0.3">
      <c r="F11666" s="1"/>
    </row>
    <row r="11667" spans="6:14" x14ac:dyDescent="0.3">
      <c r="F11667" s="1"/>
    </row>
    <row r="11668" spans="6:14" x14ac:dyDescent="0.3">
      <c r="F11668" s="1"/>
    </row>
    <row r="11669" spans="6:14" x14ac:dyDescent="0.3">
      <c r="F11669" s="1"/>
    </row>
    <row r="11670" spans="6:14" x14ac:dyDescent="0.3">
      <c r="F11670" s="1"/>
    </row>
    <row r="11672" spans="6:14" x14ac:dyDescent="0.3">
      <c r="F11672" s="1"/>
    </row>
    <row r="11673" spans="6:14" x14ac:dyDescent="0.3">
      <c r="F11673" s="1"/>
    </row>
    <row r="11674" spans="6:14" x14ac:dyDescent="0.3">
      <c r="F11674" s="1"/>
    </row>
    <row r="11675" spans="6:14" x14ac:dyDescent="0.3">
      <c r="F11675" s="1"/>
    </row>
    <row r="11676" spans="6:14" x14ac:dyDescent="0.3">
      <c r="F11676" s="1"/>
    </row>
    <row r="11677" spans="6:14" x14ac:dyDescent="0.3">
      <c r="F11677" s="1"/>
      <c r="N11677" s="1"/>
    </row>
    <row r="11678" spans="6:14" x14ac:dyDescent="0.3">
      <c r="F11678" s="1"/>
    </row>
    <row r="11679" spans="6:14" x14ac:dyDescent="0.3">
      <c r="F11679" s="1"/>
    </row>
    <row r="11680" spans="6:14" x14ac:dyDescent="0.3">
      <c r="F11680" s="1"/>
    </row>
    <row r="11682" spans="6:13" x14ac:dyDescent="0.3">
      <c r="F11682" s="1"/>
    </row>
    <row r="11683" spans="6:13" x14ac:dyDescent="0.3">
      <c r="F11683" s="1"/>
    </row>
    <row r="11684" spans="6:13" x14ac:dyDescent="0.3">
      <c r="F11684" s="1"/>
    </row>
    <row r="11685" spans="6:13" x14ac:dyDescent="0.3">
      <c r="F11685" s="1"/>
      <c r="L11685" s="1"/>
      <c r="M11685" s="1"/>
    </row>
    <row r="11686" spans="6:13" x14ac:dyDescent="0.3">
      <c r="F11686" s="1"/>
    </row>
    <row r="11687" spans="6:13" x14ac:dyDescent="0.3">
      <c r="M11687" s="1"/>
    </row>
    <row r="11688" spans="6:13" x14ac:dyDescent="0.3">
      <c r="F11688" s="1"/>
    </row>
    <row r="11689" spans="6:13" x14ac:dyDescent="0.3">
      <c r="F11689" s="1"/>
    </row>
    <row r="11690" spans="6:13" x14ac:dyDescent="0.3">
      <c r="F11690" s="1"/>
    </row>
    <row r="11691" spans="6:13" x14ac:dyDescent="0.3">
      <c r="L11691" s="1"/>
    </row>
    <row r="11692" spans="6:13" x14ac:dyDescent="0.3">
      <c r="F11692" s="1"/>
    </row>
    <row r="11693" spans="6:13" x14ac:dyDescent="0.3">
      <c r="F11693" s="1"/>
    </row>
    <row r="11694" spans="6:13" x14ac:dyDescent="0.3">
      <c r="F11694" s="1"/>
    </row>
    <row r="11695" spans="6:13" x14ac:dyDescent="0.3">
      <c r="F11695" s="1"/>
    </row>
    <row r="11696" spans="6:13" x14ac:dyDescent="0.3">
      <c r="F11696" s="1"/>
    </row>
    <row r="11697" spans="6:13" x14ac:dyDescent="0.3">
      <c r="F11697" s="1"/>
    </row>
    <row r="11698" spans="6:13" x14ac:dyDescent="0.3">
      <c r="F11698" s="1"/>
    </row>
    <row r="11699" spans="6:13" x14ac:dyDescent="0.3">
      <c r="F11699" s="1"/>
    </row>
    <row r="11700" spans="6:13" x14ac:dyDescent="0.3">
      <c r="F11700" s="1"/>
    </row>
    <row r="11701" spans="6:13" x14ac:dyDescent="0.3">
      <c r="F11701" s="1"/>
    </row>
    <row r="11702" spans="6:13" x14ac:dyDescent="0.3">
      <c r="M11702" s="1"/>
    </row>
    <row r="11703" spans="6:13" x14ac:dyDescent="0.3">
      <c r="F11703" s="1"/>
    </row>
    <row r="11704" spans="6:13" x14ac:dyDescent="0.3">
      <c r="F11704" s="1"/>
    </row>
    <row r="11705" spans="6:13" x14ac:dyDescent="0.3">
      <c r="F11705" s="1"/>
    </row>
    <row r="11706" spans="6:13" x14ac:dyDescent="0.3">
      <c r="F11706" s="1"/>
    </row>
    <row r="11707" spans="6:13" x14ac:dyDescent="0.3">
      <c r="F11707" s="1"/>
    </row>
    <row r="11708" spans="6:13" x14ac:dyDescent="0.3">
      <c r="F11708" s="1"/>
    </row>
    <row r="11709" spans="6:13" x14ac:dyDescent="0.3">
      <c r="F11709" s="1"/>
    </row>
    <row r="11711" spans="6:13" x14ac:dyDescent="0.3">
      <c r="F11711" s="1"/>
    </row>
    <row r="11713" spans="6:12" x14ac:dyDescent="0.3">
      <c r="F11713" s="1"/>
    </row>
    <row r="11714" spans="6:12" x14ac:dyDescent="0.3">
      <c r="F11714" s="1"/>
    </row>
    <row r="11715" spans="6:12" x14ac:dyDescent="0.3">
      <c r="F11715" s="1"/>
    </row>
    <row r="11716" spans="6:12" x14ac:dyDescent="0.3">
      <c r="F11716" s="1"/>
    </row>
    <row r="11717" spans="6:12" x14ac:dyDescent="0.3">
      <c r="F11717" s="1"/>
    </row>
    <row r="11718" spans="6:12" x14ac:dyDescent="0.3">
      <c r="F11718" s="1"/>
    </row>
    <row r="11719" spans="6:12" x14ac:dyDescent="0.3">
      <c r="F11719" s="1"/>
    </row>
    <row r="11720" spans="6:12" x14ac:dyDescent="0.3">
      <c r="F11720" s="1"/>
      <c r="L11720" s="1"/>
    </row>
    <row r="11721" spans="6:12" x14ac:dyDescent="0.3">
      <c r="F11721" s="1"/>
    </row>
    <row r="11722" spans="6:12" x14ac:dyDescent="0.3">
      <c r="F11722" s="1"/>
    </row>
    <row r="11724" spans="6:12" x14ac:dyDescent="0.3">
      <c r="L11724" s="1"/>
    </row>
    <row r="11727" spans="6:12" x14ac:dyDescent="0.3">
      <c r="F11727" s="1"/>
    </row>
    <row r="11728" spans="6:12" x14ac:dyDescent="0.3">
      <c r="F11728" s="1"/>
    </row>
    <row r="11729" spans="6:12" x14ac:dyDescent="0.3">
      <c r="F11729" s="1"/>
    </row>
    <row r="11730" spans="6:12" x14ac:dyDescent="0.3">
      <c r="F11730" s="1"/>
    </row>
    <row r="11731" spans="6:12" x14ac:dyDescent="0.3">
      <c r="F11731" s="1"/>
    </row>
    <row r="11732" spans="6:12" x14ac:dyDescent="0.3">
      <c r="F11732" s="1"/>
    </row>
    <row r="11733" spans="6:12" x14ac:dyDescent="0.3">
      <c r="F11733" s="1"/>
    </row>
    <row r="11734" spans="6:12" x14ac:dyDescent="0.3">
      <c r="F11734" s="1"/>
    </row>
    <row r="11735" spans="6:12" x14ac:dyDescent="0.3">
      <c r="F11735" s="1"/>
    </row>
    <row r="11736" spans="6:12" x14ac:dyDescent="0.3">
      <c r="L11736" s="1"/>
    </row>
    <row r="11738" spans="6:12" x14ac:dyDescent="0.3">
      <c r="F11738" s="1"/>
    </row>
    <row r="11739" spans="6:12" x14ac:dyDescent="0.3">
      <c r="F11739" s="1"/>
    </row>
    <row r="11740" spans="6:12" x14ac:dyDescent="0.3">
      <c r="F11740" s="1"/>
    </row>
    <row r="11741" spans="6:12" x14ac:dyDescent="0.3">
      <c r="F11741" s="1"/>
    </row>
    <row r="11742" spans="6:12" x14ac:dyDescent="0.3">
      <c r="F11742" s="1"/>
    </row>
    <row r="11743" spans="6:12" x14ac:dyDescent="0.3">
      <c r="F11743" s="1"/>
    </row>
    <row r="11744" spans="6:12" x14ac:dyDescent="0.3">
      <c r="F11744" s="1"/>
    </row>
    <row r="11745" spans="6:14" x14ac:dyDescent="0.3">
      <c r="F11745" s="1"/>
    </row>
    <row r="11746" spans="6:14" x14ac:dyDescent="0.3">
      <c r="F11746" s="1"/>
    </row>
    <row r="11747" spans="6:14" x14ac:dyDescent="0.3">
      <c r="F11747" s="1"/>
    </row>
    <row r="11748" spans="6:14" x14ac:dyDescent="0.3">
      <c r="F11748" s="1"/>
    </row>
    <row r="11749" spans="6:14" x14ac:dyDescent="0.3">
      <c r="F11749" s="1"/>
    </row>
    <row r="11750" spans="6:14" x14ac:dyDescent="0.3">
      <c r="F11750" s="1"/>
    </row>
    <row r="11751" spans="6:14" x14ac:dyDescent="0.3">
      <c r="F11751" s="1"/>
    </row>
    <row r="11752" spans="6:14" x14ac:dyDescent="0.3">
      <c r="F11752" s="1"/>
    </row>
    <row r="11753" spans="6:14" x14ac:dyDescent="0.3">
      <c r="L11753" s="1"/>
      <c r="N11753" s="1"/>
    </row>
    <row r="11754" spans="6:14" x14ac:dyDescent="0.3">
      <c r="F11754" s="1"/>
    </row>
    <row r="11755" spans="6:14" x14ac:dyDescent="0.3">
      <c r="F11755" s="1"/>
    </row>
    <row r="11756" spans="6:14" x14ac:dyDescent="0.3">
      <c r="F11756" s="1"/>
    </row>
    <row r="11757" spans="6:14" x14ac:dyDescent="0.3">
      <c r="F11757" s="1"/>
    </row>
    <row r="11758" spans="6:14" x14ac:dyDescent="0.3">
      <c r="F11758" s="1"/>
    </row>
    <row r="11759" spans="6:14" x14ac:dyDescent="0.3">
      <c r="F11759" s="1"/>
    </row>
    <row r="11760" spans="6:14" x14ac:dyDescent="0.3">
      <c r="F11760" s="1"/>
    </row>
    <row r="11761" spans="6:6" x14ac:dyDescent="0.3">
      <c r="F11761" s="1"/>
    </row>
    <row r="11762" spans="6:6" x14ac:dyDescent="0.3">
      <c r="F11762" s="1"/>
    </row>
    <row r="11763" spans="6:6" x14ac:dyDescent="0.3">
      <c r="F11763" s="1"/>
    </row>
    <row r="11764" spans="6:6" x14ac:dyDescent="0.3">
      <c r="F11764" s="1"/>
    </row>
    <row r="11765" spans="6:6" x14ac:dyDescent="0.3">
      <c r="F11765" s="1"/>
    </row>
    <row r="11766" spans="6:6" x14ac:dyDescent="0.3">
      <c r="F11766" s="1"/>
    </row>
    <row r="11767" spans="6:6" x14ac:dyDescent="0.3">
      <c r="F11767" s="1"/>
    </row>
    <row r="11768" spans="6:6" x14ac:dyDescent="0.3">
      <c r="F11768" s="1"/>
    </row>
    <row r="11770" spans="6:6" x14ac:dyDescent="0.3">
      <c r="F11770" s="1"/>
    </row>
    <row r="11771" spans="6:6" x14ac:dyDescent="0.3">
      <c r="F11771" s="1"/>
    </row>
    <row r="11772" spans="6:6" x14ac:dyDescent="0.3">
      <c r="F11772" s="1"/>
    </row>
    <row r="11774" spans="6:6" x14ac:dyDescent="0.3">
      <c r="F11774" s="1"/>
    </row>
    <row r="11775" spans="6:6" x14ac:dyDescent="0.3">
      <c r="F11775" s="1"/>
    </row>
    <row r="11776" spans="6:6" x14ac:dyDescent="0.3">
      <c r="F11776" s="1"/>
    </row>
    <row r="11777" spans="6:15" x14ac:dyDescent="0.3">
      <c r="F11777" s="1"/>
    </row>
    <row r="11778" spans="6:15" x14ac:dyDescent="0.3">
      <c r="F11778" s="1"/>
    </row>
    <row r="11779" spans="6:15" x14ac:dyDescent="0.3">
      <c r="F11779" s="1"/>
    </row>
    <row r="11780" spans="6:15" x14ac:dyDescent="0.3">
      <c r="F11780" s="1"/>
    </row>
    <row r="11781" spans="6:15" x14ac:dyDescent="0.3">
      <c r="F11781" s="1"/>
    </row>
    <row r="11782" spans="6:15" x14ac:dyDescent="0.3">
      <c r="O11782" s="1"/>
    </row>
    <row r="11784" spans="6:15" x14ac:dyDescent="0.3">
      <c r="F11784" s="1"/>
    </row>
    <row r="11785" spans="6:15" x14ac:dyDescent="0.3">
      <c r="F11785" s="1"/>
    </row>
    <row r="11786" spans="6:15" x14ac:dyDescent="0.3">
      <c r="F11786" s="1"/>
    </row>
    <row r="11787" spans="6:15" x14ac:dyDescent="0.3">
      <c r="F11787" s="1"/>
    </row>
    <row r="11788" spans="6:15" x14ac:dyDescent="0.3">
      <c r="F11788" s="1"/>
    </row>
    <row r="11789" spans="6:15" x14ac:dyDescent="0.3">
      <c r="F11789" s="1"/>
    </row>
    <row r="11790" spans="6:15" x14ac:dyDescent="0.3">
      <c r="F11790" s="1"/>
      <c r="L11790" s="1"/>
      <c r="N11790" s="1"/>
      <c r="O11790" s="1"/>
    </row>
    <row r="11791" spans="6:15" x14ac:dyDescent="0.3">
      <c r="F11791" s="1"/>
    </row>
    <row r="11792" spans="6:15" x14ac:dyDescent="0.3">
      <c r="F11792" s="1"/>
    </row>
    <row r="11793" spans="6:15" x14ac:dyDescent="0.3">
      <c r="F11793" s="1"/>
    </row>
    <row r="11794" spans="6:15" x14ac:dyDescent="0.3">
      <c r="F11794" s="1"/>
    </row>
    <row r="11795" spans="6:15" x14ac:dyDescent="0.3">
      <c r="F11795" s="1"/>
    </row>
    <row r="11796" spans="6:15" x14ac:dyDescent="0.3">
      <c r="M11796" s="1"/>
    </row>
    <row r="11797" spans="6:15" x14ac:dyDescent="0.3">
      <c r="F11797" s="1"/>
    </row>
    <row r="11798" spans="6:15" x14ac:dyDescent="0.3">
      <c r="F11798" s="1"/>
    </row>
    <row r="11799" spans="6:15" x14ac:dyDescent="0.3">
      <c r="F11799" s="1"/>
    </row>
    <row r="11800" spans="6:15" x14ac:dyDescent="0.3">
      <c r="F11800" s="1"/>
    </row>
    <row r="11801" spans="6:15" x14ac:dyDescent="0.3">
      <c r="F11801" s="1"/>
    </row>
    <row r="11803" spans="6:15" x14ac:dyDescent="0.3">
      <c r="F11803" s="1"/>
    </row>
    <row r="11804" spans="6:15" x14ac:dyDescent="0.3">
      <c r="L11804" s="1"/>
      <c r="M11804" s="1"/>
      <c r="N11804" s="1"/>
      <c r="O11804" s="1"/>
    </row>
    <row r="11805" spans="6:15" x14ac:dyDescent="0.3">
      <c r="F11805" s="1"/>
    </row>
    <row r="11806" spans="6:15" x14ac:dyDescent="0.3">
      <c r="F11806" s="1"/>
    </row>
    <row r="11807" spans="6:15" x14ac:dyDescent="0.3">
      <c r="F11807" s="1"/>
    </row>
    <row r="11808" spans="6:15" x14ac:dyDescent="0.3">
      <c r="F11808" s="1"/>
      <c r="L11808" s="1"/>
      <c r="M11808" s="1"/>
      <c r="O11808" s="1"/>
    </row>
    <row r="11809" spans="6:15" x14ac:dyDescent="0.3">
      <c r="F11809" s="1"/>
    </row>
    <row r="11810" spans="6:15" x14ac:dyDescent="0.3">
      <c r="F11810" s="1"/>
    </row>
    <row r="11811" spans="6:15" x14ac:dyDescent="0.3">
      <c r="F11811" s="1"/>
    </row>
    <row r="11812" spans="6:15" x14ac:dyDescent="0.3">
      <c r="F11812" s="1"/>
    </row>
    <row r="11813" spans="6:15" x14ac:dyDescent="0.3">
      <c r="F11813" s="1"/>
    </row>
    <row r="11814" spans="6:15" x14ac:dyDescent="0.3">
      <c r="F11814" s="1"/>
    </row>
    <row r="11815" spans="6:15" x14ac:dyDescent="0.3">
      <c r="F11815" s="1"/>
      <c r="N11815" s="1"/>
    </row>
    <row r="11816" spans="6:15" x14ac:dyDescent="0.3">
      <c r="F11816" s="1"/>
    </row>
    <row r="11817" spans="6:15" x14ac:dyDescent="0.3">
      <c r="F11817" s="1"/>
    </row>
    <row r="11818" spans="6:15" x14ac:dyDescent="0.3">
      <c r="F11818" s="1"/>
    </row>
    <row r="11819" spans="6:15" x14ac:dyDescent="0.3">
      <c r="F11819" s="1"/>
      <c r="N11819" s="1"/>
      <c r="O11819" s="1"/>
    </row>
    <row r="11820" spans="6:15" x14ac:dyDescent="0.3">
      <c r="F11820" s="1"/>
    </row>
    <row r="11821" spans="6:15" x14ac:dyDescent="0.3">
      <c r="F11821" s="1"/>
    </row>
    <row r="11822" spans="6:15" x14ac:dyDescent="0.3">
      <c r="F11822" s="1"/>
    </row>
    <row r="11823" spans="6:15" x14ac:dyDescent="0.3">
      <c r="F11823" s="1"/>
      <c r="L11823" s="1"/>
      <c r="N11823" s="1"/>
    </row>
    <row r="11824" spans="6:15" x14ac:dyDescent="0.3">
      <c r="F11824" s="1"/>
    </row>
    <row r="11825" spans="6:15" x14ac:dyDescent="0.3">
      <c r="F11825" s="1"/>
    </row>
    <row r="11826" spans="6:15" x14ac:dyDescent="0.3">
      <c r="F11826" s="1"/>
    </row>
    <row r="11827" spans="6:15" x14ac:dyDescent="0.3">
      <c r="F11827" s="1"/>
    </row>
    <row r="11828" spans="6:15" x14ac:dyDescent="0.3">
      <c r="F11828" s="1"/>
    </row>
    <row r="11829" spans="6:15" x14ac:dyDescent="0.3">
      <c r="F11829" s="1"/>
    </row>
    <row r="11830" spans="6:15" x14ac:dyDescent="0.3">
      <c r="L11830" s="1"/>
      <c r="M11830" s="1"/>
      <c r="N11830" s="1"/>
    </row>
    <row r="11831" spans="6:15" x14ac:dyDescent="0.3">
      <c r="F11831" s="1"/>
    </row>
    <row r="11832" spans="6:15" x14ac:dyDescent="0.3">
      <c r="F11832" s="1"/>
      <c r="L11832" s="1"/>
      <c r="N11832" s="1"/>
      <c r="O11832" s="1"/>
    </row>
    <row r="11833" spans="6:15" x14ac:dyDescent="0.3">
      <c r="F11833" s="1"/>
    </row>
    <row r="11834" spans="6:15" x14ac:dyDescent="0.3">
      <c r="F11834" s="1"/>
    </row>
    <row r="11835" spans="6:15" x14ac:dyDescent="0.3">
      <c r="F11835" s="1"/>
    </row>
    <row r="11836" spans="6:15" x14ac:dyDescent="0.3">
      <c r="M11836" s="1"/>
      <c r="N11836" s="1"/>
    </row>
    <row r="11837" spans="6:15" x14ac:dyDescent="0.3">
      <c r="F11837" s="1"/>
    </row>
    <row r="11839" spans="6:15" x14ac:dyDescent="0.3">
      <c r="F11839" s="1"/>
    </row>
    <row r="11840" spans="6:15" x14ac:dyDescent="0.3">
      <c r="F11840" s="1"/>
    </row>
    <row r="11842" spans="6:6" x14ac:dyDescent="0.3">
      <c r="F11842" s="1"/>
    </row>
    <row r="11843" spans="6:6" x14ac:dyDescent="0.3">
      <c r="F11843" s="1"/>
    </row>
    <row r="11844" spans="6:6" x14ac:dyDescent="0.3">
      <c r="F11844" s="1"/>
    </row>
    <row r="11845" spans="6:6" x14ac:dyDescent="0.3">
      <c r="F11845" s="1"/>
    </row>
    <row r="11846" spans="6:6" x14ac:dyDescent="0.3">
      <c r="F11846" s="1"/>
    </row>
    <row r="11847" spans="6:6" x14ac:dyDescent="0.3">
      <c r="F11847" s="1"/>
    </row>
    <row r="11848" spans="6:6" x14ac:dyDescent="0.3">
      <c r="F11848" s="1"/>
    </row>
    <row r="11849" spans="6:6" x14ac:dyDescent="0.3">
      <c r="F11849" s="1"/>
    </row>
    <row r="11850" spans="6:6" x14ac:dyDescent="0.3">
      <c r="F11850" s="1"/>
    </row>
    <row r="11851" spans="6:6" x14ac:dyDescent="0.3">
      <c r="F11851" s="1"/>
    </row>
    <row r="11853" spans="6:6" x14ac:dyDescent="0.3">
      <c r="F11853" s="1"/>
    </row>
    <row r="11854" spans="6:6" x14ac:dyDescent="0.3">
      <c r="F11854" s="1"/>
    </row>
    <row r="11855" spans="6:6" x14ac:dyDescent="0.3">
      <c r="F11855" s="1"/>
    </row>
    <row r="11856" spans="6:6" x14ac:dyDescent="0.3">
      <c r="F11856" s="1"/>
    </row>
    <row r="11857" spans="6:15" x14ac:dyDescent="0.3">
      <c r="F11857" s="1"/>
    </row>
    <row r="11858" spans="6:15" x14ac:dyDescent="0.3">
      <c r="F11858" s="1"/>
    </row>
    <row r="11860" spans="6:15" x14ac:dyDescent="0.3">
      <c r="F11860" s="1"/>
    </row>
    <row r="11861" spans="6:15" x14ac:dyDescent="0.3">
      <c r="F11861" s="1"/>
    </row>
    <row r="11863" spans="6:15" x14ac:dyDescent="0.3">
      <c r="F11863" s="1"/>
    </row>
    <row r="11864" spans="6:15" x14ac:dyDescent="0.3">
      <c r="F11864" s="1"/>
    </row>
    <row r="11865" spans="6:15" x14ac:dyDescent="0.3">
      <c r="F11865" s="1"/>
    </row>
    <row r="11868" spans="6:15" x14ac:dyDescent="0.3">
      <c r="F11868" s="1"/>
    </row>
    <row r="11869" spans="6:15" x14ac:dyDescent="0.3">
      <c r="F11869" s="1"/>
      <c r="L11869" s="1"/>
      <c r="M11869" s="1"/>
      <c r="N11869" s="1"/>
      <c r="O11869" s="1"/>
    </row>
    <row r="11870" spans="6:15" x14ac:dyDescent="0.3">
      <c r="F11870" s="1"/>
    </row>
    <row r="11871" spans="6:15" x14ac:dyDescent="0.3">
      <c r="F11871" s="1"/>
    </row>
    <row r="11872" spans="6:15" x14ac:dyDescent="0.3">
      <c r="F11872" s="1"/>
    </row>
    <row r="11873" spans="6:12" x14ac:dyDescent="0.3">
      <c r="F11873" s="1"/>
    </row>
    <row r="11874" spans="6:12" x14ac:dyDescent="0.3">
      <c r="F11874" s="1"/>
    </row>
    <row r="11875" spans="6:12" x14ac:dyDescent="0.3">
      <c r="F11875" s="1"/>
    </row>
    <row r="11876" spans="6:12" x14ac:dyDescent="0.3">
      <c r="F11876" s="1"/>
      <c r="L11876" s="1"/>
    </row>
    <row r="11878" spans="6:12" x14ac:dyDescent="0.3">
      <c r="F11878" s="1"/>
    </row>
    <row r="11880" spans="6:12" x14ac:dyDescent="0.3">
      <c r="F11880" s="1"/>
    </row>
    <row r="11881" spans="6:12" x14ac:dyDescent="0.3">
      <c r="F11881" s="1"/>
    </row>
    <row r="11882" spans="6:12" x14ac:dyDescent="0.3">
      <c r="F11882" s="1"/>
    </row>
    <row r="11884" spans="6:12" x14ac:dyDescent="0.3">
      <c r="F11884" s="1"/>
    </row>
    <row r="11885" spans="6:12" x14ac:dyDescent="0.3">
      <c r="F11885" s="1"/>
    </row>
    <row r="11886" spans="6:12" x14ac:dyDescent="0.3">
      <c r="F11886" s="1"/>
    </row>
    <row r="11887" spans="6:12" x14ac:dyDescent="0.3">
      <c r="F11887" s="1"/>
    </row>
    <row r="11888" spans="6:12" x14ac:dyDescent="0.3">
      <c r="F11888" s="1"/>
      <c r="L11888" s="1"/>
    </row>
    <row r="11889" spans="6:15" x14ac:dyDescent="0.3">
      <c r="F11889" s="1"/>
    </row>
    <row r="11891" spans="6:15" x14ac:dyDescent="0.3">
      <c r="F11891" s="1"/>
    </row>
    <row r="11892" spans="6:15" x14ac:dyDescent="0.3">
      <c r="F11892" s="1"/>
    </row>
    <row r="11893" spans="6:15" x14ac:dyDescent="0.3">
      <c r="F11893" s="1"/>
    </row>
    <row r="11894" spans="6:15" x14ac:dyDescent="0.3">
      <c r="F11894" s="1"/>
    </row>
    <row r="11895" spans="6:15" x14ac:dyDescent="0.3">
      <c r="F11895" s="1"/>
    </row>
    <row r="11896" spans="6:15" x14ac:dyDescent="0.3">
      <c r="F11896" s="1"/>
    </row>
    <row r="11897" spans="6:15" x14ac:dyDescent="0.3">
      <c r="F11897" s="1"/>
    </row>
    <row r="11899" spans="6:15" x14ac:dyDescent="0.3">
      <c r="F11899" s="1"/>
    </row>
    <row r="11900" spans="6:15" x14ac:dyDescent="0.3">
      <c r="L11900" s="1"/>
      <c r="N11900" s="1"/>
      <c r="O11900" s="1"/>
    </row>
    <row r="11901" spans="6:15" x14ac:dyDescent="0.3">
      <c r="F11901" s="1"/>
    </row>
    <row r="11902" spans="6:15" x14ac:dyDescent="0.3">
      <c r="F11902" s="1"/>
    </row>
    <row r="11903" spans="6:15" x14ac:dyDescent="0.3">
      <c r="F11903" s="1"/>
    </row>
    <row r="11904" spans="6:15" x14ac:dyDescent="0.3">
      <c r="F11904" s="1"/>
    </row>
    <row r="11905" spans="6:12" x14ac:dyDescent="0.3">
      <c r="F11905" s="1"/>
    </row>
    <row r="11907" spans="6:12" x14ac:dyDescent="0.3">
      <c r="F11907" s="1"/>
      <c r="L11907" s="1"/>
    </row>
    <row r="11908" spans="6:12" x14ac:dyDescent="0.3">
      <c r="F11908" s="1"/>
    </row>
    <row r="11910" spans="6:12" x14ac:dyDescent="0.3">
      <c r="F11910" s="1"/>
    </row>
    <row r="11912" spans="6:12" x14ac:dyDescent="0.3">
      <c r="F11912" s="1"/>
    </row>
    <row r="11913" spans="6:12" x14ac:dyDescent="0.3">
      <c r="F11913" s="1"/>
    </row>
    <row r="11915" spans="6:12" x14ac:dyDescent="0.3">
      <c r="F11915" s="1"/>
    </row>
    <row r="11917" spans="6:12" x14ac:dyDescent="0.3">
      <c r="F11917" s="1"/>
    </row>
    <row r="11918" spans="6:12" x14ac:dyDescent="0.3">
      <c r="F11918" s="1"/>
    </row>
    <row r="11919" spans="6:12" x14ac:dyDescent="0.3">
      <c r="F11919" s="1"/>
    </row>
    <row r="11920" spans="6:12" x14ac:dyDescent="0.3">
      <c r="F11920" s="1"/>
    </row>
    <row r="11921" spans="6:6" x14ac:dyDescent="0.3">
      <c r="F11921" s="1"/>
    </row>
    <row r="11923" spans="6:6" x14ac:dyDescent="0.3">
      <c r="F11923" s="1"/>
    </row>
    <row r="11924" spans="6:6" x14ac:dyDescent="0.3">
      <c r="F11924" s="1"/>
    </row>
    <row r="11925" spans="6:6" x14ac:dyDescent="0.3">
      <c r="F11925" s="1"/>
    </row>
    <row r="11926" spans="6:6" x14ac:dyDescent="0.3">
      <c r="F11926" s="1"/>
    </row>
    <row r="11927" spans="6:6" x14ac:dyDescent="0.3">
      <c r="F11927" s="1"/>
    </row>
    <row r="11928" spans="6:6" x14ac:dyDescent="0.3">
      <c r="F11928" s="1"/>
    </row>
    <row r="11930" spans="6:6" x14ac:dyDescent="0.3">
      <c r="F11930" s="1"/>
    </row>
    <row r="11931" spans="6:6" x14ac:dyDescent="0.3">
      <c r="F11931" s="1"/>
    </row>
    <row r="11932" spans="6:6" x14ac:dyDescent="0.3">
      <c r="F11932" s="1"/>
    </row>
    <row r="11933" spans="6:6" x14ac:dyDescent="0.3">
      <c r="F11933" s="1"/>
    </row>
    <row r="11934" spans="6:6" x14ac:dyDescent="0.3">
      <c r="F11934" s="1"/>
    </row>
    <row r="11935" spans="6:6" x14ac:dyDescent="0.3">
      <c r="F11935" s="1"/>
    </row>
    <row r="11936" spans="6:6" x14ac:dyDescent="0.3">
      <c r="F11936" s="1"/>
    </row>
    <row r="11937" spans="6:15" x14ac:dyDescent="0.3">
      <c r="F11937" s="1"/>
    </row>
    <row r="11938" spans="6:15" x14ac:dyDescent="0.3">
      <c r="F11938" s="1"/>
    </row>
    <row r="11939" spans="6:15" x14ac:dyDescent="0.3">
      <c r="F11939" s="1"/>
    </row>
    <row r="11941" spans="6:15" x14ac:dyDescent="0.3">
      <c r="F11941" s="1"/>
    </row>
    <row r="11942" spans="6:15" x14ac:dyDescent="0.3">
      <c r="F11942" s="1"/>
    </row>
    <row r="11943" spans="6:15" x14ac:dyDescent="0.3">
      <c r="F11943" s="1"/>
    </row>
    <row r="11944" spans="6:15" x14ac:dyDescent="0.3">
      <c r="F11944" s="1"/>
    </row>
    <row r="11945" spans="6:15" x14ac:dyDescent="0.3">
      <c r="F11945" s="1"/>
    </row>
    <row r="11947" spans="6:15" x14ac:dyDescent="0.3">
      <c r="F11947" s="1"/>
    </row>
    <row r="11948" spans="6:15" x14ac:dyDescent="0.3">
      <c r="F11948" s="1"/>
      <c r="L11948" s="1"/>
      <c r="N11948" s="1"/>
    </row>
    <row r="11949" spans="6:15" x14ac:dyDescent="0.3">
      <c r="F11949" s="1"/>
    </row>
    <row r="11950" spans="6:15" x14ac:dyDescent="0.3">
      <c r="L11950" s="1"/>
      <c r="M11950" s="1"/>
      <c r="N11950" s="1"/>
      <c r="O11950" s="1"/>
    </row>
    <row r="11951" spans="6:15" x14ac:dyDescent="0.3">
      <c r="L11951" s="1"/>
      <c r="N11951" s="1"/>
    </row>
    <row r="11952" spans="6:15" x14ac:dyDescent="0.3">
      <c r="F11952" s="1"/>
    </row>
    <row r="11953" spans="6:15" x14ac:dyDescent="0.3">
      <c r="F11953" s="1"/>
    </row>
    <row r="11954" spans="6:15" x14ac:dyDescent="0.3">
      <c r="F11954" s="1"/>
    </row>
    <row r="11955" spans="6:15" x14ac:dyDescent="0.3">
      <c r="F11955" s="1"/>
    </row>
    <row r="11956" spans="6:15" x14ac:dyDescent="0.3">
      <c r="F11956" s="1"/>
    </row>
    <row r="11957" spans="6:15" x14ac:dyDescent="0.3">
      <c r="F11957" s="1"/>
    </row>
    <row r="11958" spans="6:15" x14ac:dyDescent="0.3">
      <c r="M11958" s="1"/>
      <c r="O11958" s="1"/>
    </row>
    <row r="11959" spans="6:15" x14ac:dyDescent="0.3">
      <c r="F11959" s="1"/>
    </row>
    <row r="11960" spans="6:15" x14ac:dyDescent="0.3">
      <c r="F11960" s="1"/>
    </row>
    <row r="11961" spans="6:15" x14ac:dyDescent="0.3">
      <c r="F11961" s="1"/>
      <c r="N11961" s="1"/>
    </row>
    <row r="11962" spans="6:15" x14ac:dyDescent="0.3">
      <c r="F11962" s="1"/>
    </row>
    <row r="11963" spans="6:15" x14ac:dyDescent="0.3">
      <c r="F11963" s="1"/>
    </row>
    <row r="11964" spans="6:15" x14ac:dyDescent="0.3">
      <c r="F11964" s="1"/>
    </row>
    <row r="11965" spans="6:15" x14ac:dyDescent="0.3">
      <c r="F11965" s="1"/>
      <c r="M11965" s="1"/>
      <c r="O11965" s="1"/>
    </row>
    <row r="11968" spans="6:15" x14ac:dyDescent="0.3">
      <c r="F11968" s="1"/>
    </row>
    <row r="11969" spans="6:6" x14ac:dyDescent="0.3">
      <c r="F11969" s="1"/>
    </row>
    <row r="11970" spans="6:6" x14ac:dyDescent="0.3">
      <c r="F11970" s="1"/>
    </row>
    <row r="11971" spans="6:6" x14ac:dyDescent="0.3">
      <c r="F11971" s="1"/>
    </row>
    <row r="11973" spans="6:6" x14ac:dyDescent="0.3">
      <c r="F11973" s="1"/>
    </row>
    <row r="11974" spans="6:6" x14ac:dyDescent="0.3">
      <c r="F11974" s="1"/>
    </row>
    <row r="11975" spans="6:6" x14ac:dyDescent="0.3">
      <c r="F11975" s="1"/>
    </row>
    <row r="11976" spans="6:6" x14ac:dyDescent="0.3">
      <c r="F11976" s="1"/>
    </row>
    <row r="11977" spans="6:6" x14ac:dyDescent="0.3">
      <c r="F11977" s="1"/>
    </row>
    <row r="11978" spans="6:6" x14ac:dyDescent="0.3">
      <c r="F11978" s="1"/>
    </row>
    <row r="11979" spans="6:6" x14ac:dyDescent="0.3">
      <c r="F11979" s="1"/>
    </row>
    <row r="11980" spans="6:6" x14ac:dyDescent="0.3">
      <c r="F11980" s="1"/>
    </row>
    <row r="11981" spans="6:6" x14ac:dyDescent="0.3">
      <c r="F11981" s="1"/>
    </row>
    <row r="11982" spans="6:6" x14ac:dyDescent="0.3">
      <c r="F11982" s="1"/>
    </row>
    <row r="11983" spans="6:6" x14ac:dyDescent="0.3">
      <c r="F11983" s="1"/>
    </row>
    <row r="11984" spans="6:6" x14ac:dyDescent="0.3">
      <c r="F11984" s="1"/>
    </row>
    <row r="11986" spans="6:13" x14ac:dyDescent="0.3">
      <c r="F11986" s="1"/>
      <c r="M11986" s="1"/>
    </row>
    <row r="11987" spans="6:13" x14ac:dyDescent="0.3">
      <c r="F11987" s="1"/>
    </row>
    <row r="11988" spans="6:13" x14ac:dyDescent="0.3">
      <c r="F11988" s="1"/>
    </row>
    <row r="11989" spans="6:13" x14ac:dyDescent="0.3">
      <c r="F11989" s="1"/>
    </row>
    <row r="11990" spans="6:13" x14ac:dyDescent="0.3">
      <c r="F11990" s="1"/>
    </row>
    <row r="11993" spans="6:13" x14ac:dyDescent="0.3">
      <c r="F11993" s="1"/>
    </row>
    <row r="11994" spans="6:13" x14ac:dyDescent="0.3">
      <c r="F11994" s="1"/>
    </row>
    <row r="11995" spans="6:13" x14ac:dyDescent="0.3">
      <c r="F11995" s="1"/>
    </row>
    <row r="11996" spans="6:13" x14ac:dyDescent="0.3">
      <c r="F11996" s="1"/>
    </row>
    <row r="11997" spans="6:13" x14ac:dyDescent="0.3">
      <c r="F11997" s="1"/>
    </row>
    <row r="11999" spans="6:13" x14ac:dyDescent="0.3">
      <c r="F11999" s="1"/>
    </row>
    <row r="12000" spans="6:13" x14ac:dyDescent="0.3">
      <c r="F12000" s="1"/>
    </row>
    <row r="12001" spans="6:15" x14ac:dyDescent="0.3">
      <c r="F12001" s="1"/>
      <c r="M12001" s="1"/>
    </row>
    <row r="12002" spans="6:15" x14ac:dyDescent="0.3">
      <c r="F12002" s="1"/>
    </row>
    <row r="12004" spans="6:15" x14ac:dyDescent="0.3">
      <c r="F12004" s="1"/>
    </row>
    <row r="12005" spans="6:15" x14ac:dyDescent="0.3">
      <c r="F12005" s="1"/>
    </row>
    <row r="12006" spans="6:15" x14ac:dyDescent="0.3">
      <c r="F12006" s="1"/>
    </row>
    <row r="12007" spans="6:15" x14ac:dyDescent="0.3">
      <c r="L12007" s="1"/>
      <c r="O12007" s="1"/>
    </row>
    <row r="12008" spans="6:15" x14ac:dyDescent="0.3">
      <c r="F12008" s="1"/>
    </row>
    <row r="12009" spans="6:15" x14ac:dyDescent="0.3">
      <c r="F12009" s="1"/>
    </row>
    <row r="12010" spans="6:15" x14ac:dyDescent="0.3">
      <c r="F12010" s="1"/>
      <c r="L12010" s="1"/>
      <c r="M12010" s="1"/>
      <c r="O12010" s="1"/>
    </row>
    <row r="12011" spans="6:15" x14ac:dyDescent="0.3">
      <c r="F12011" s="1"/>
    </row>
    <row r="12012" spans="6:15" x14ac:dyDescent="0.3">
      <c r="F12012" s="1"/>
      <c r="N12012" s="1"/>
    </row>
    <row r="12013" spans="6:15" x14ac:dyDescent="0.3">
      <c r="F12013" s="1"/>
    </row>
    <row r="12014" spans="6:15" x14ac:dyDescent="0.3">
      <c r="F12014" s="1"/>
    </row>
    <row r="12015" spans="6:15" x14ac:dyDescent="0.3">
      <c r="F12015" s="1"/>
    </row>
    <row r="12016" spans="6:15" x14ac:dyDescent="0.3">
      <c r="F12016" s="1"/>
    </row>
    <row r="12017" spans="6:15" x14ac:dyDescent="0.3">
      <c r="F12017" s="1"/>
    </row>
    <row r="12019" spans="6:15" x14ac:dyDescent="0.3">
      <c r="F12019" s="1"/>
      <c r="N12019" s="1"/>
    </row>
    <row r="12020" spans="6:15" x14ac:dyDescent="0.3">
      <c r="F12020" s="1"/>
      <c r="M12020" s="1"/>
    </row>
    <row r="12021" spans="6:15" x14ac:dyDescent="0.3">
      <c r="F12021" s="1"/>
    </row>
    <row r="12022" spans="6:15" x14ac:dyDescent="0.3">
      <c r="F12022" s="1"/>
    </row>
    <row r="12023" spans="6:15" x14ac:dyDescent="0.3">
      <c r="M12023" s="1"/>
    </row>
    <row r="12024" spans="6:15" x14ac:dyDescent="0.3">
      <c r="F12024" s="1"/>
    </row>
    <row r="12025" spans="6:15" x14ac:dyDescent="0.3">
      <c r="F12025" s="1"/>
    </row>
    <row r="12026" spans="6:15" x14ac:dyDescent="0.3">
      <c r="F12026" s="1"/>
    </row>
    <row r="12027" spans="6:15" x14ac:dyDescent="0.3">
      <c r="F12027" s="1"/>
    </row>
    <row r="12028" spans="6:15" x14ac:dyDescent="0.3">
      <c r="L12028" s="1"/>
      <c r="M12028" s="1"/>
    </row>
    <row r="12029" spans="6:15" x14ac:dyDescent="0.3">
      <c r="L12029" s="1"/>
      <c r="M12029" s="1"/>
      <c r="N12029" s="1"/>
      <c r="O12029" s="1"/>
    </row>
    <row r="12030" spans="6:15" x14ac:dyDescent="0.3">
      <c r="F12030" s="1"/>
    </row>
    <row r="12031" spans="6:15" x14ac:dyDescent="0.3">
      <c r="F12031" s="1"/>
    </row>
    <row r="12032" spans="6:15" x14ac:dyDescent="0.3">
      <c r="M12032" s="1"/>
    </row>
    <row r="12033" spans="6:6" x14ac:dyDescent="0.3">
      <c r="F12033" s="1"/>
    </row>
    <row r="12035" spans="6:6" x14ac:dyDescent="0.3">
      <c r="F12035" s="1"/>
    </row>
    <row r="12036" spans="6:6" x14ac:dyDescent="0.3">
      <c r="F12036" s="1"/>
    </row>
    <row r="12037" spans="6:6" x14ac:dyDescent="0.3">
      <c r="F12037" s="1"/>
    </row>
    <row r="12038" spans="6:6" x14ac:dyDescent="0.3">
      <c r="F12038" s="1"/>
    </row>
    <row r="12039" spans="6:6" x14ac:dyDescent="0.3">
      <c r="F12039" s="1"/>
    </row>
    <row r="12041" spans="6:6" x14ac:dyDescent="0.3">
      <c r="F12041" s="1"/>
    </row>
    <row r="12042" spans="6:6" x14ac:dyDescent="0.3">
      <c r="F12042" s="1"/>
    </row>
    <row r="12043" spans="6:6" x14ac:dyDescent="0.3">
      <c r="F12043" s="1"/>
    </row>
    <row r="12044" spans="6:6" x14ac:dyDescent="0.3">
      <c r="F12044" s="1"/>
    </row>
    <row r="12045" spans="6:6" x14ac:dyDescent="0.3">
      <c r="F12045" s="1"/>
    </row>
    <row r="12046" spans="6:6" x14ac:dyDescent="0.3">
      <c r="F12046" s="1"/>
    </row>
    <row r="12047" spans="6:6" x14ac:dyDescent="0.3">
      <c r="F12047" s="1"/>
    </row>
    <row r="12048" spans="6:6" x14ac:dyDescent="0.3">
      <c r="F12048" s="1"/>
    </row>
    <row r="12049" spans="6:15" x14ac:dyDescent="0.3">
      <c r="F12049" s="1"/>
    </row>
    <row r="12050" spans="6:15" x14ac:dyDescent="0.3">
      <c r="F12050" s="1"/>
    </row>
    <row r="12051" spans="6:15" x14ac:dyDescent="0.3">
      <c r="F12051" s="1"/>
    </row>
    <row r="12052" spans="6:15" x14ac:dyDescent="0.3">
      <c r="F12052" s="1"/>
    </row>
    <row r="12053" spans="6:15" x14ac:dyDescent="0.3">
      <c r="F12053" s="1"/>
    </row>
    <row r="12054" spans="6:15" x14ac:dyDescent="0.3">
      <c r="F12054" s="1"/>
    </row>
    <row r="12057" spans="6:15" x14ac:dyDescent="0.3">
      <c r="F12057" s="1"/>
    </row>
    <row r="12058" spans="6:15" x14ac:dyDescent="0.3">
      <c r="F12058" s="1"/>
    </row>
    <row r="12059" spans="6:15" x14ac:dyDescent="0.3">
      <c r="F12059" s="1"/>
    </row>
    <row r="12061" spans="6:15" x14ac:dyDescent="0.3">
      <c r="F12061" s="1"/>
      <c r="L12061" s="1"/>
      <c r="M12061" s="1"/>
      <c r="N12061" s="1"/>
      <c r="O12061" s="1"/>
    </row>
    <row r="12062" spans="6:15" x14ac:dyDescent="0.3">
      <c r="F12062" s="1"/>
    </row>
    <row r="12064" spans="6:15" x14ac:dyDescent="0.3">
      <c r="F12064" s="1"/>
    </row>
    <row r="12065" spans="6:13" x14ac:dyDescent="0.3">
      <c r="F12065" s="1"/>
    </row>
    <row r="12066" spans="6:13" x14ac:dyDescent="0.3">
      <c r="F12066" s="1"/>
    </row>
    <row r="12067" spans="6:13" x14ac:dyDescent="0.3">
      <c r="F12067" s="1"/>
    </row>
    <row r="12068" spans="6:13" x14ac:dyDescent="0.3">
      <c r="F12068" s="1"/>
    </row>
    <row r="12069" spans="6:13" x14ac:dyDescent="0.3">
      <c r="F12069" s="1"/>
    </row>
    <row r="12070" spans="6:13" x14ac:dyDescent="0.3">
      <c r="F12070" s="1"/>
      <c r="M12070" s="1"/>
    </row>
    <row r="12072" spans="6:13" x14ac:dyDescent="0.3">
      <c r="F12072" s="1"/>
    </row>
    <row r="12074" spans="6:13" x14ac:dyDescent="0.3">
      <c r="F12074" s="1"/>
    </row>
    <row r="12075" spans="6:13" x14ac:dyDescent="0.3">
      <c r="F12075" s="1"/>
      <c r="M12075" s="1"/>
    </row>
    <row r="12077" spans="6:13" x14ac:dyDescent="0.3">
      <c r="F12077" s="1"/>
    </row>
    <row r="12078" spans="6:13" x14ac:dyDescent="0.3">
      <c r="F12078" s="1"/>
    </row>
    <row r="12079" spans="6:13" x14ac:dyDescent="0.3">
      <c r="F12079" s="1"/>
    </row>
    <row r="12080" spans="6:13" x14ac:dyDescent="0.3">
      <c r="F12080" s="1"/>
    </row>
    <row r="12081" spans="6:14" x14ac:dyDescent="0.3">
      <c r="F12081" s="1"/>
    </row>
    <row r="12082" spans="6:14" x14ac:dyDescent="0.3">
      <c r="F12082" s="1"/>
    </row>
    <row r="12083" spans="6:14" x14ac:dyDescent="0.3">
      <c r="F12083" s="1"/>
    </row>
    <row r="12084" spans="6:14" x14ac:dyDescent="0.3">
      <c r="F12084" s="1"/>
    </row>
    <row r="12085" spans="6:14" x14ac:dyDescent="0.3">
      <c r="F12085" s="1"/>
    </row>
    <row r="12086" spans="6:14" x14ac:dyDescent="0.3">
      <c r="F12086" s="1"/>
    </row>
    <row r="12087" spans="6:14" x14ac:dyDescent="0.3">
      <c r="F12087" s="1"/>
    </row>
    <row r="12088" spans="6:14" x14ac:dyDescent="0.3">
      <c r="F12088" s="1"/>
    </row>
    <row r="12089" spans="6:14" x14ac:dyDescent="0.3">
      <c r="F12089" s="1"/>
    </row>
    <row r="12091" spans="6:14" x14ac:dyDescent="0.3">
      <c r="F12091" s="1"/>
    </row>
    <row r="12092" spans="6:14" x14ac:dyDescent="0.3">
      <c r="F12092" s="1"/>
    </row>
    <row r="12093" spans="6:14" x14ac:dyDescent="0.3">
      <c r="L12093" s="1"/>
      <c r="N12093" s="1"/>
    </row>
    <row r="12094" spans="6:14" x14ac:dyDescent="0.3">
      <c r="F12094" s="1"/>
    </row>
    <row r="12095" spans="6:14" x14ac:dyDescent="0.3">
      <c r="F12095" s="1"/>
    </row>
    <row r="12096" spans="6:14" x14ac:dyDescent="0.3">
      <c r="M12096" s="1"/>
    </row>
    <row r="12097" spans="6:13" x14ac:dyDescent="0.3">
      <c r="F12097" s="1"/>
    </row>
    <row r="12098" spans="6:13" x14ac:dyDescent="0.3">
      <c r="F12098" s="1"/>
    </row>
    <row r="12099" spans="6:13" x14ac:dyDescent="0.3">
      <c r="F12099" s="1"/>
    </row>
    <row r="12100" spans="6:13" x14ac:dyDescent="0.3">
      <c r="F12100" s="1"/>
    </row>
    <row r="12101" spans="6:13" x14ac:dyDescent="0.3">
      <c r="F12101" s="1"/>
      <c r="M12101" s="1"/>
    </row>
    <row r="12102" spans="6:13" x14ac:dyDescent="0.3">
      <c r="F12102" s="1"/>
    </row>
    <row r="12103" spans="6:13" x14ac:dyDescent="0.3">
      <c r="F12103" s="1"/>
    </row>
    <row r="12104" spans="6:13" x14ac:dyDescent="0.3">
      <c r="F12104" s="1"/>
    </row>
    <row r="12105" spans="6:13" x14ac:dyDescent="0.3">
      <c r="F12105" s="1"/>
    </row>
    <row r="12106" spans="6:13" x14ac:dyDescent="0.3">
      <c r="F12106" s="1"/>
    </row>
    <row r="12107" spans="6:13" x14ac:dyDescent="0.3">
      <c r="F12107" s="1"/>
    </row>
    <row r="12108" spans="6:13" x14ac:dyDescent="0.3">
      <c r="F12108" s="1"/>
    </row>
    <row r="12109" spans="6:13" x14ac:dyDescent="0.3">
      <c r="F12109" s="1"/>
    </row>
    <row r="12110" spans="6:13" x14ac:dyDescent="0.3">
      <c r="F12110" s="1"/>
    </row>
    <row r="12111" spans="6:13" x14ac:dyDescent="0.3">
      <c r="F12111" s="1"/>
    </row>
    <row r="12113" spans="6:15" x14ac:dyDescent="0.3">
      <c r="F12113" s="1"/>
    </row>
    <row r="12114" spans="6:15" x14ac:dyDescent="0.3">
      <c r="F12114" s="1"/>
    </row>
    <row r="12115" spans="6:15" x14ac:dyDescent="0.3">
      <c r="F12115" s="1"/>
    </row>
    <row r="12116" spans="6:15" x14ac:dyDescent="0.3">
      <c r="F12116" s="1"/>
    </row>
    <row r="12117" spans="6:15" x14ac:dyDescent="0.3">
      <c r="F12117" s="1"/>
    </row>
    <row r="12119" spans="6:15" x14ac:dyDescent="0.3">
      <c r="F12119" s="1"/>
    </row>
    <row r="12120" spans="6:15" x14ac:dyDescent="0.3">
      <c r="M12120" s="1"/>
      <c r="N12120" s="1"/>
      <c r="O12120" s="1"/>
    </row>
    <row r="12121" spans="6:15" x14ac:dyDescent="0.3">
      <c r="F12121" s="1"/>
    </row>
    <row r="12122" spans="6:15" x14ac:dyDescent="0.3">
      <c r="F12122" s="1"/>
    </row>
    <row r="12123" spans="6:15" x14ac:dyDescent="0.3">
      <c r="F12123" s="1"/>
    </row>
    <row r="12124" spans="6:15" x14ac:dyDescent="0.3">
      <c r="F12124" s="1"/>
    </row>
    <row r="12125" spans="6:15" x14ac:dyDescent="0.3">
      <c r="F12125" s="1"/>
    </row>
    <row r="12126" spans="6:15" x14ac:dyDescent="0.3">
      <c r="F12126" s="1"/>
    </row>
    <row r="12127" spans="6:15" x14ac:dyDescent="0.3">
      <c r="F12127" s="1"/>
    </row>
    <row r="12128" spans="6:15" x14ac:dyDescent="0.3">
      <c r="F12128" s="1"/>
    </row>
    <row r="12129" spans="6:15" x14ac:dyDescent="0.3">
      <c r="F12129" s="1"/>
    </row>
    <row r="12130" spans="6:15" x14ac:dyDescent="0.3">
      <c r="F12130" s="1"/>
    </row>
    <row r="12132" spans="6:15" x14ac:dyDescent="0.3">
      <c r="F12132" s="1"/>
      <c r="L12132" s="1"/>
    </row>
    <row r="12133" spans="6:15" x14ac:dyDescent="0.3">
      <c r="F12133" s="1"/>
    </row>
    <row r="12134" spans="6:15" x14ac:dyDescent="0.3">
      <c r="F12134" s="1"/>
    </row>
    <row r="12135" spans="6:15" x14ac:dyDescent="0.3">
      <c r="F12135" s="1"/>
    </row>
    <row r="12136" spans="6:15" x14ac:dyDescent="0.3">
      <c r="F12136" s="1"/>
    </row>
    <row r="12137" spans="6:15" x14ac:dyDescent="0.3">
      <c r="F12137" s="1"/>
    </row>
    <row r="12138" spans="6:15" x14ac:dyDescent="0.3">
      <c r="F12138" s="1"/>
    </row>
    <row r="12140" spans="6:15" x14ac:dyDescent="0.3">
      <c r="F12140" s="1"/>
    </row>
    <row r="12141" spans="6:15" x14ac:dyDescent="0.3">
      <c r="F12141" s="1"/>
    </row>
    <row r="12142" spans="6:15" x14ac:dyDescent="0.3">
      <c r="F12142" s="1"/>
    </row>
    <row r="12143" spans="6:15" x14ac:dyDescent="0.3">
      <c r="F12143" s="1"/>
    </row>
    <row r="12144" spans="6:15" x14ac:dyDescent="0.3">
      <c r="L12144" s="1"/>
      <c r="M12144" s="1"/>
      <c r="O12144" s="1"/>
    </row>
    <row r="12145" spans="6:6" x14ac:dyDescent="0.3">
      <c r="F12145" s="1"/>
    </row>
    <row r="12146" spans="6:6" x14ac:dyDescent="0.3">
      <c r="F12146" s="1"/>
    </row>
    <row r="12147" spans="6:6" x14ac:dyDescent="0.3">
      <c r="F12147" s="1"/>
    </row>
    <row r="12148" spans="6:6" x14ac:dyDescent="0.3">
      <c r="F12148" s="1"/>
    </row>
    <row r="12150" spans="6:6" x14ac:dyDescent="0.3">
      <c r="F12150" s="1"/>
    </row>
    <row r="12151" spans="6:6" x14ac:dyDescent="0.3">
      <c r="F12151" s="1"/>
    </row>
    <row r="12153" spans="6:6" x14ac:dyDescent="0.3">
      <c r="F12153" s="1"/>
    </row>
    <row r="12154" spans="6:6" x14ac:dyDescent="0.3">
      <c r="F12154" s="1"/>
    </row>
    <row r="12155" spans="6:6" x14ac:dyDescent="0.3">
      <c r="F12155" s="1"/>
    </row>
    <row r="12156" spans="6:6" x14ac:dyDescent="0.3">
      <c r="F12156" s="1"/>
    </row>
    <row r="12157" spans="6:6" x14ac:dyDescent="0.3">
      <c r="F12157" s="1"/>
    </row>
    <row r="12158" spans="6:6" x14ac:dyDescent="0.3">
      <c r="F12158" s="1"/>
    </row>
    <row r="12160" spans="6:6" x14ac:dyDescent="0.3">
      <c r="F12160" s="1"/>
    </row>
    <row r="12161" spans="6:12" x14ac:dyDescent="0.3">
      <c r="F12161" s="1"/>
    </row>
    <row r="12162" spans="6:12" x14ac:dyDescent="0.3">
      <c r="F12162" s="1"/>
    </row>
    <row r="12163" spans="6:12" x14ac:dyDescent="0.3">
      <c r="F12163" s="1"/>
    </row>
    <row r="12164" spans="6:12" x14ac:dyDescent="0.3">
      <c r="F12164" s="1"/>
    </row>
    <row r="12165" spans="6:12" x14ac:dyDescent="0.3">
      <c r="F12165" s="1"/>
    </row>
    <row r="12166" spans="6:12" x14ac:dyDescent="0.3">
      <c r="F12166" s="1"/>
    </row>
    <row r="12167" spans="6:12" x14ac:dyDescent="0.3">
      <c r="F12167" s="1"/>
    </row>
    <row r="12168" spans="6:12" x14ac:dyDescent="0.3">
      <c r="F12168" s="1"/>
    </row>
    <row r="12169" spans="6:12" x14ac:dyDescent="0.3">
      <c r="F12169" s="1"/>
      <c r="L12169" s="1"/>
    </row>
    <row r="12170" spans="6:12" x14ac:dyDescent="0.3">
      <c r="F12170" s="1"/>
    </row>
    <row r="12171" spans="6:12" x14ac:dyDescent="0.3">
      <c r="F12171" s="1"/>
    </row>
    <row r="12172" spans="6:12" x14ac:dyDescent="0.3">
      <c r="F12172" s="1"/>
    </row>
    <row r="12173" spans="6:12" x14ac:dyDescent="0.3">
      <c r="F12173" s="1"/>
    </row>
    <row r="12174" spans="6:12" x14ac:dyDescent="0.3">
      <c r="F12174" s="1"/>
    </row>
    <row r="12175" spans="6:12" x14ac:dyDescent="0.3">
      <c r="F12175" s="1"/>
    </row>
    <row r="12176" spans="6:12" x14ac:dyDescent="0.3">
      <c r="F12176" s="1"/>
    </row>
    <row r="12177" spans="6:6" x14ac:dyDescent="0.3">
      <c r="F12177" s="1"/>
    </row>
    <row r="12178" spans="6:6" x14ac:dyDescent="0.3">
      <c r="F12178" s="1"/>
    </row>
    <row r="12179" spans="6:6" x14ac:dyDescent="0.3">
      <c r="F12179" s="1"/>
    </row>
    <row r="12180" spans="6:6" x14ac:dyDescent="0.3">
      <c r="F12180" s="1"/>
    </row>
    <row r="12181" spans="6:6" x14ac:dyDescent="0.3">
      <c r="F12181" s="1"/>
    </row>
    <row r="12183" spans="6:6" x14ac:dyDescent="0.3">
      <c r="F12183" s="1"/>
    </row>
    <row r="12184" spans="6:6" x14ac:dyDescent="0.3">
      <c r="F12184" s="1"/>
    </row>
    <row r="12185" spans="6:6" x14ac:dyDescent="0.3">
      <c r="F12185" s="1"/>
    </row>
    <row r="12187" spans="6:6" x14ac:dyDescent="0.3">
      <c r="F12187" s="1"/>
    </row>
    <row r="12188" spans="6:6" x14ac:dyDescent="0.3">
      <c r="F12188" s="1"/>
    </row>
    <row r="12189" spans="6:6" x14ac:dyDescent="0.3">
      <c r="F12189" s="1"/>
    </row>
    <row r="12190" spans="6:6" x14ac:dyDescent="0.3">
      <c r="F12190" s="1"/>
    </row>
    <row r="12191" spans="6:6" x14ac:dyDescent="0.3">
      <c r="F12191" s="1"/>
    </row>
    <row r="12192" spans="6:6" x14ac:dyDescent="0.3">
      <c r="F12192" s="1"/>
    </row>
    <row r="12193" spans="6:14" x14ac:dyDescent="0.3">
      <c r="F12193" s="1"/>
    </row>
    <row r="12194" spans="6:14" x14ac:dyDescent="0.3">
      <c r="F12194" s="1"/>
    </row>
    <row r="12195" spans="6:14" x14ac:dyDescent="0.3">
      <c r="F12195" s="1"/>
    </row>
    <row r="12196" spans="6:14" x14ac:dyDescent="0.3">
      <c r="F12196" s="1"/>
    </row>
    <row r="12197" spans="6:14" x14ac:dyDescent="0.3">
      <c r="F12197" s="1"/>
      <c r="L12197" s="1"/>
    </row>
    <row r="12198" spans="6:14" x14ac:dyDescent="0.3">
      <c r="F12198" s="1"/>
      <c r="L12198" s="1"/>
    </row>
    <row r="12199" spans="6:14" x14ac:dyDescent="0.3">
      <c r="M12199" s="1"/>
    </row>
    <row r="12200" spans="6:14" x14ac:dyDescent="0.3">
      <c r="F12200" s="1"/>
      <c r="N12200" s="1"/>
    </row>
    <row r="12201" spans="6:14" x14ac:dyDescent="0.3">
      <c r="F12201" s="1"/>
    </row>
    <row r="12204" spans="6:14" x14ac:dyDescent="0.3">
      <c r="F12204" s="1"/>
    </row>
    <row r="12205" spans="6:14" x14ac:dyDescent="0.3">
      <c r="F12205" s="1"/>
    </row>
    <row r="12206" spans="6:14" x14ac:dyDescent="0.3">
      <c r="F12206" s="1"/>
    </row>
    <row r="12207" spans="6:14" x14ac:dyDescent="0.3">
      <c r="F12207" s="1"/>
    </row>
    <row r="12208" spans="6:14" x14ac:dyDescent="0.3">
      <c r="F12208" s="1"/>
    </row>
    <row r="12209" spans="6:12" x14ac:dyDescent="0.3">
      <c r="F12209" s="1"/>
    </row>
    <row r="12210" spans="6:12" x14ac:dyDescent="0.3">
      <c r="F12210" s="1"/>
    </row>
    <row r="12211" spans="6:12" x14ac:dyDescent="0.3">
      <c r="F12211" s="1"/>
    </row>
    <row r="12212" spans="6:12" x14ac:dyDescent="0.3">
      <c r="F12212" s="1"/>
    </row>
    <row r="12215" spans="6:12" x14ac:dyDescent="0.3">
      <c r="F12215" s="1"/>
    </row>
    <row r="12216" spans="6:12" x14ac:dyDescent="0.3">
      <c r="F12216" s="1"/>
      <c r="L12216" s="1"/>
    </row>
    <row r="12217" spans="6:12" x14ac:dyDescent="0.3">
      <c r="F12217" s="1"/>
    </row>
    <row r="12218" spans="6:12" x14ac:dyDescent="0.3">
      <c r="F12218" s="1"/>
    </row>
    <row r="12219" spans="6:12" x14ac:dyDescent="0.3">
      <c r="F12219" s="1"/>
    </row>
    <row r="12220" spans="6:12" x14ac:dyDescent="0.3">
      <c r="F12220" s="1"/>
    </row>
    <row r="12221" spans="6:12" x14ac:dyDescent="0.3">
      <c r="F12221" s="1"/>
    </row>
    <row r="12222" spans="6:12" x14ac:dyDescent="0.3">
      <c r="F12222" s="1"/>
    </row>
    <row r="12223" spans="6:12" x14ac:dyDescent="0.3">
      <c r="F12223" s="1"/>
    </row>
    <row r="12224" spans="6:12" x14ac:dyDescent="0.3">
      <c r="F12224" s="1"/>
    </row>
    <row r="12225" spans="6:6" x14ac:dyDescent="0.3">
      <c r="F12225" s="1"/>
    </row>
    <row r="12226" spans="6:6" x14ac:dyDescent="0.3">
      <c r="F12226" s="1"/>
    </row>
    <row r="12227" spans="6:6" x14ac:dyDescent="0.3">
      <c r="F12227" s="1"/>
    </row>
    <row r="12228" spans="6:6" x14ac:dyDescent="0.3">
      <c r="F12228" s="1"/>
    </row>
    <row r="12229" spans="6:6" x14ac:dyDescent="0.3">
      <c r="F12229" s="1"/>
    </row>
    <row r="12230" spans="6:6" x14ac:dyDescent="0.3">
      <c r="F12230" s="1"/>
    </row>
    <row r="12231" spans="6:6" x14ac:dyDescent="0.3">
      <c r="F12231" s="1"/>
    </row>
    <row r="12232" spans="6:6" x14ac:dyDescent="0.3">
      <c r="F12232" s="1"/>
    </row>
    <row r="12233" spans="6:6" x14ac:dyDescent="0.3">
      <c r="F12233" s="1"/>
    </row>
    <row r="12234" spans="6:6" x14ac:dyDescent="0.3">
      <c r="F12234" s="1"/>
    </row>
    <row r="12235" spans="6:6" x14ac:dyDescent="0.3">
      <c r="F12235" s="1"/>
    </row>
    <row r="12236" spans="6:6" x14ac:dyDescent="0.3">
      <c r="F12236" s="1"/>
    </row>
    <row r="12237" spans="6:6" x14ac:dyDescent="0.3">
      <c r="F12237" s="1"/>
    </row>
    <row r="12239" spans="6:6" x14ac:dyDescent="0.3">
      <c r="F12239" s="1"/>
    </row>
    <row r="12240" spans="6:6" x14ac:dyDescent="0.3">
      <c r="F12240" s="1"/>
    </row>
    <row r="12241" spans="6:14" x14ac:dyDescent="0.3">
      <c r="F12241" s="1"/>
      <c r="M12241" s="1"/>
      <c r="N12241" s="1"/>
    </row>
    <row r="12242" spans="6:14" x14ac:dyDescent="0.3">
      <c r="F12242" s="1"/>
    </row>
    <row r="12243" spans="6:14" x14ac:dyDescent="0.3">
      <c r="F12243" s="1"/>
    </row>
    <row r="12244" spans="6:14" x14ac:dyDescent="0.3">
      <c r="F12244" s="1"/>
    </row>
    <row r="12245" spans="6:14" x14ac:dyDescent="0.3">
      <c r="F12245" s="1"/>
    </row>
    <row r="12246" spans="6:14" x14ac:dyDescent="0.3">
      <c r="F12246" s="1"/>
      <c r="L12246" s="1"/>
    </row>
    <row r="12247" spans="6:14" x14ac:dyDescent="0.3">
      <c r="F12247" s="1"/>
    </row>
    <row r="12248" spans="6:14" x14ac:dyDescent="0.3">
      <c r="F12248" s="1"/>
    </row>
    <row r="12249" spans="6:14" x14ac:dyDescent="0.3">
      <c r="F12249" s="1"/>
      <c r="L12249" s="1"/>
      <c r="M12249" s="1"/>
    </row>
    <row r="12250" spans="6:14" x14ac:dyDescent="0.3">
      <c r="F12250" s="1"/>
    </row>
    <row r="12251" spans="6:14" x14ac:dyDescent="0.3">
      <c r="F12251" s="1"/>
    </row>
    <row r="12253" spans="6:14" x14ac:dyDescent="0.3">
      <c r="F12253" s="1"/>
    </row>
    <row r="12254" spans="6:14" x14ac:dyDescent="0.3">
      <c r="F12254" s="1"/>
    </row>
    <row r="12255" spans="6:14" x14ac:dyDescent="0.3">
      <c r="F12255" s="1"/>
    </row>
    <row r="12257" spans="6:15" x14ac:dyDescent="0.3">
      <c r="F12257" s="1"/>
    </row>
    <row r="12258" spans="6:15" x14ac:dyDescent="0.3">
      <c r="F12258" s="1"/>
    </row>
    <row r="12259" spans="6:15" x14ac:dyDescent="0.3">
      <c r="F12259" s="1"/>
      <c r="M12259" s="1"/>
      <c r="N12259" s="1"/>
    </row>
    <row r="12260" spans="6:15" x14ac:dyDescent="0.3">
      <c r="F12260" s="1"/>
      <c r="M12260" s="1"/>
    </row>
    <row r="12261" spans="6:15" x14ac:dyDescent="0.3">
      <c r="F12261" s="1"/>
    </row>
    <row r="12262" spans="6:15" x14ac:dyDescent="0.3">
      <c r="L12262" s="1"/>
      <c r="M12262" s="1"/>
      <c r="O12262" s="1"/>
    </row>
    <row r="12263" spans="6:15" x14ac:dyDescent="0.3">
      <c r="F12263" s="1"/>
    </row>
    <row r="12264" spans="6:15" x14ac:dyDescent="0.3">
      <c r="F12264" s="1"/>
    </row>
    <row r="12265" spans="6:15" x14ac:dyDescent="0.3">
      <c r="F12265" s="1"/>
    </row>
    <row r="12266" spans="6:15" x14ac:dyDescent="0.3">
      <c r="F12266" s="1"/>
    </row>
    <row r="12268" spans="6:15" x14ac:dyDescent="0.3">
      <c r="F12268" s="1"/>
    </row>
    <row r="12269" spans="6:15" x14ac:dyDescent="0.3">
      <c r="F12269" s="1"/>
    </row>
    <row r="12270" spans="6:15" x14ac:dyDescent="0.3">
      <c r="F12270" s="1"/>
    </row>
    <row r="12271" spans="6:15" x14ac:dyDescent="0.3">
      <c r="N12271" s="1"/>
    </row>
    <row r="12272" spans="6:15" x14ac:dyDescent="0.3">
      <c r="F12272" s="1"/>
    </row>
    <row r="12273" spans="6:14" x14ac:dyDescent="0.3">
      <c r="F12273" s="1"/>
    </row>
    <row r="12274" spans="6:14" x14ac:dyDescent="0.3">
      <c r="F12274" s="1"/>
    </row>
    <row r="12275" spans="6:14" x14ac:dyDescent="0.3">
      <c r="N12275" s="1"/>
    </row>
    <row r="12276" spans="6:14" x14ac:dyDescent="0.3">
      <c r="F12276" s="1"/>
    </row>
    <row r="12277" spans="6:14" x14ac:dyDescent="0.3">
      <c r="F12277" s="1"/>
      <c r="L12277" s="1"/>
    </row>
    <row r="12278" spans="6:14" x14ac:dyDescent="0.3">
      <c r="F12278" s="1"/>
    </row>
    <row r="12279" spans="6:14" x14ac:dyDescent="0.3">
      <c r="F12279" s="1"/>
    </row>
    <row r="12280" spans="6:14" x14ac:dyDescent="0.3">
      <c r="F12280" s="1"/>
    </row>
    <row r="12281" spans="6:14" x14ac:dyDescent="0.3">
      <c r="F12281" s="1"/>
      <c r="M12281" s="1"/>
    </row>
    <row r="12283" spans="6:14" x14ac:dyDescent="0.3">
      <c r="F12283" s="1"/>
    </row>
    <row r="12284" spans="6:14" x14ac:dyDescent="0.3">
      <c r="F12284" s="1"/>
    </row>
    <row r="12285" spans="6:14" x14ac:dyDescent="0.3">
      <c r="F12285" s="1"/>
    </row>
    <row r="12286" spans="6:14" x14ac:dyDescent="0.3">
      <c r="F12286" s="1"/>
    </row>
    <row r="12287" spans="6:14" x14ac:dyDescent="0.3">
      <c r="F12287" s="1"/>
    </row>
    <row r="12288" spans="6:14" x14ac:dyDescent="0.3">
      <c r="F12288" s="1"/>
    </row>
    <row r="12289" spans="6:6" x14ac:dyDescent="0.3">
      <c r="F12289" s="1"/>
    </row>
    <row r="12290" spans="6:6" x14ac:dyDescent="0.3">
      <c r="F12290" s="1"/>
    </row>
    <row r="12291" spans="6:6" x14ac:dyDescent="0.3">
      <c r="F12291" s="1"/>
    </row>
    <row r="12292" spans="6:6" x14ac:dyDescent="0.3">
      <c r="F12292" s="1"/>
    </row>
    <row r="12293" spans="6:6" x14ac:dyDescent="0.3">
      <c r="F12293" s="1"/>
    </row>
    <row r="12294" spans="6:6" x14ac:dyDescent="0.3">
      <c r="F12294" s="1"/>
    </row>
    <row r="12295" spans="6:6" x14ac:dyDescent="0.3">
      <c r="F12295" s="1"/>
    </row>
    <row r="12296" spans="6:6" x14ac:dyDescent="0.3">
      <c r="F12296" s="1"/>
    </row>
    <row r="12297" spans="6:6" x14ac:dyDescent="0.3">
      <c r="F12297" s="1"/>
    </row>
    <row r="12298" spans="6:6" x14ac:dyDescent="0.3">
      <c r="F12298" s="1"/>
    </row>
    <row r="12299" spans="6:6" x14ac:dyDescent="0.3">
      <c r="F12299" s="1"/>
    </row>
    <row r="12300" spans="6:6" x14ac:dyDescent="0.3">
      <c r="F12300" s="1"/>
    </row>
    <row r="12301" spans="6:6" x14ac:dyDescent="0.3">
      <c r="F12301" s="1"/>
    </row>
    <row r="12302" spans="6:6" x14ac:dyDescent="0.3">
      <c r="F12302" s="1"/>
    </row>
    <row r="12303" spans="6:6" x14ac:dyDescent="0.3">
      <c r="F12303" s="1"/>
    </row>
    <row r="12304" spans="6:6" x14ac:dyDescent="0.3">
      <c r="F12304" s="1"/>
    </row>
    <row r="12305" spans="6:15" x14ac:dyDescent="0.3">
      <c r="F12305" s="1"/>
    </row>
    <row r="12306" spans="6:15" x14ac:dyDescent="0.3">
      <c r="F12306" s="1"/>
    </row>
    <row r="12307" spans="6:15" x14ac:dyDescent="0.3">
      <c r="F12307" s="1"/>
    </row>
    <row r="12309" spans="6:15" x14ac:dyDescent="0.3">
      <c r="F12309" s="1"/>
    </row>
    <row r="12310" spans="6:15" x14ac:dyDescent="0.3">
      <c r="F12310" s="1"/>
    </row>
    <row r="12311" spans="6:15" x14ac:dyDescent="0.3">
      <c r="F12311" s="1"/>
    </row>
    <row r="12312" spans="6:15" x14ac:dyDescent="0.3">
      <c r="F12312" s="1"/>
    </row>
    <row r="12313" spans="6:15" x14ac:dyDescent="0.3">
      <c r="F12313" s="1"/>
    </row>
    <row r="12314" spans="6:15" x14ac:dyDescent="0.3">
      <c r="F12314" s="1"/>
    </row>
    <row r="12315" spans="6:15" x14ac:dyDescent="0.3">
      <c r="F12315" s="1"/>
    </row>
    <row r="12316" spans="6:15" x14ac:dyDescent="0.3">
      <c r="F12316" s="1"/>
    </row>
    <row r="12317" spans="6:15" x14ac:dyDescent="0.3">
      <c r="F12317" s="1"/>
    </row>
    <row r="12318" spans="6:15" x14ac:dyDescent="0.3">
      <c r="L12318" s="1"/>
      <c r="M12318" s="1"/>
      <c r="O12318" s="1"/>
    </row>
    <row r="12319" spans="6:15" x14ac:dyDescent="0.3">
      <c r="F12319" s="1"/>
    </row>
    <row r="12320" spans="6:15" x14ac:dyDescent="0.3">
      <c r="F12320" s="1"/>
    </row>
    <row r="12321" spans="6:14" x14ac:dyDescent="0.3">
      <c r="F12321" s="1"/>
    </row>
    <row r="12322" spans="6:14" x14ac:dyDescent="0.3">
      <c r="F12322" s="1"/>
    </row>
    <row r="12323" spans="6:14" x14ac:dyDescent="0.3">
      <c r="F12323" s="1"/>
      <c r="N12323" s="1"/>
    </row>
    <row r="12324" spans="6:14" x14ac:dyDescent="0.3">
      <c r="F12324" s="1"/>
    </row>
    <row r="12325" spans="6:14" x14ac:dyDescent="0.3">
      <c r="F12325" s="1"/>
    </row>
    <row r="12326" spans="6:14" x14ac:dyDescent="0.3">
      <c r="F12326" s="1"/>
    </row>
    <row r="12327" spans="6:14" x14ac:dyDescent="0.3">
      <c r="F12327" s="1"/>
    </row>
    <row r="12328" spans="6:14" x14ac:dyDescent="0.3">
      <c r="F12328" s="1"/>
      <c r="L12328" s="1"/>
    </row>
    <row r="12329" spans="6:14" x14ac:dyDescent="0.3">
      <c r="F12329" s="1"/>
    </row>
    <row r="12330" spans="6:14" x14ac:dyDescent="0.3">
      <c r="F12330" s="1"/>
    </row>
    <row r="12331" spans="6:14" x14ac:dyDescent="0.3">
      <c r="F12331" s="1"/>
    </row>
    <row r="12332" spans="6:14" x14ac:dyDescent="0.3">
      <c r="F12332" s="1"/>
    </row>
    <row r="12334" spans="6:14" x14ac:dyDescent="0.3">
      <c r="F12334" s="1"/>
    </row>
    <row r="12336" spans="6:14" x14ac:dyDescent="0.3">
      <c r="F12336" s="1"/>
    </row>
    <row r="12337" spans="6:15" x14ac:dyDescent="0.3">
      <c r="F12337" s="1"/>
      <c r="M12337" s="1"/>
      <c r="O12337" s="1"/>
    </row>
    <row r="12338" spans="6:15" x14ac:dyDescent="0.3">
      <c r="F12338" s="1"/>
    </row>
    <row r="12339" spans="6:15" x14ac:dyDescent="0.3">
      <c r="F12339" s="1"/>
    </row>
    <row r="12340" spans="6:15" x14ac:dyDescent="0.3">
      <c r="F12340" s="1"/>
    </row>
    <row r="12341" spans="6:15" x14ac:dyDescent="0.3">
      <c r="F12341" s="1"/>
    </row>
    <row r="12342" spans="6:15" x14ac:dyDescent="0.3">
      <c r="F12342" s="1"/>
    </row>
    <row r="12344" spans="6:15" x14ac:dyDescent="0.3">
      <c r="F12344" s="1"/>
    </row>
    <row r="12345" spans="6:15" x14ac:dyDescent="0.3">
      <c r="F12345" s="1"/>
      <c r="L12345" s="1"/>
      <c r="N12345" s="1"/>
      <c r="O12345" s="1"/>
    </row>
    <row r="12346" spans="6:15" x14ac:dyDescent="0.3">
      <c r="F12346" s="1"/>
      <c r="L12346" s="1"/>
      <c r="M12346" s="1"/>
      <c r="N12346" s="1"/>
    </row>
    <row r="12347" spans="6:15" x14ac:dyDescent="0.3">
      <c r="F12347" s="1"/>
    </row>
    <row r="12348" spans="6:15" x14ac:dyDescent="0.3">
      <c r="F12348" s="1"/>
    </row>
    <row r="12349" spans="6:15" x14ac:dyDescent="0.3">
      <c r="F12349" s="1"/>
      <c r="N12349" s="1"/>
    </row>
    <row r="12350" spans="6:15" x14ac:dyDescent="0.3">
      <c r="F12350" s="1"/>
    </row>
    <row r="12352" spans="6:15" x14ac:dyDescent="0.3">
      <c r="F12352" s="1"/>
    </row>
    <row r="12353" spans="6:15" x14ac:dyDescent="0.3">
      <c r="F12353" s="1"/>
    </row>
    <row r="12354" spans="6:15" x14ac:dyDescent="0.3">
      <c r="M12354" s="1"/>
      <c r="N12354" s="1"/>
    </row>
    <row r="12355" spans="6:15" x14ac:dyDescent="0.3">
      <c r="F12355" s="1"/>
    </row>
    <row r="12356" spans="6:15" x14ac:dyDescent="0.3">
      <c r="F12356" s="1"/>
      <c r="M12356" s="1"/>
      <c r="O12356" s="1"/>
    </row>
    <row r="12358" spans="6:15" x14ac:dyDescent="0.3">
      <c r="F12358" s="1"/>
    </row>
    <row r="12359" spans="6:15" x14ac:dyDescent="0.3">
      <c r="F12359" s="1"/>
    </row>
    <row r="12360" spans="6:15" x14ac:dyDescent="0.3">
      <c r="F12360" s="1"/>
    </row>
    <row r="12361" spans="6:15" x14ac:dyDescent="0.3">
      <c r="F12361" s="1"/>
      <c r="M12361" s="1"/>
      <c r="O12361" s="1"/>
    </row>
    <row r="12362" spans="6:15" x14ac:dyDescent="0.3">
      <c r="F12362" s="1"/>
    </row>
    <row r="12363" spans="6:15" x14ac:dyDescent="0.3">
      <c r="F12363" s="1"/>
    </row>
    <row r="12364" spans="6:15" x14ac:dyDescent="0.3">
      <c r="F12364" s="1"/>
    </row>
    <row r="12366" spans="6:15" x14ac:dyDescent="0.3">
      <c r="F12366" s="1"/>
    </row>
    <row r="12367" spans="6:15" x14ac:dyDescent="0.3">
      <c r="F12367" s="1"/>
    </row>
    <row r="12368" spans="6:15" x14ac:dyDescent="0.3">
      <c r="F12368" s="1"/>
    </row>
    <row r="12370" spans="6:13" x14ac:dyDescent="0.3">
      <c r="F12370" s="1"/>
    </row>
    <row r="12371" spans="6:13" x14ac:dyDescent="0.3">
      <c r="F12371" s="1"/>
    </row>
    <row r="12372" spans="6:13" x14ac:dyDescent="0.3">
      <c r="F12372" s="1"/>
    </row>
    <row r="12373" spans="6:13" x14ac:dyDescent="0.3">
      <c r="F12373" s="1"/>
    </row>
    <row r="12374" spans="6:13" x14ac:dyDescent="0.3">
      <c r="F12374" s="1"/>
    </row>
    <row r="12375" spans="6:13" x14ac:dyDescent="0.3">
      <c r="F12375" s="1"/>
      <c r="L12375" s="1"/>
    </row>
    <row r="12376" spans="6:13" x14ac:dyDescent="0.3">
      <c r="F12376" s="1"/>
    </row>
    <row r="12377" spans="6:13" x14ac:dyDescent="0.3">
      <c r="F12377" s="1"/>
    </row>
    <row r="12378" spans="6:13" x14ac:dyDescent="0.3">
      <c r="F12378" s="1"/>
    </row>
    <row r="12379" spans="6:13" x14ac:dyDescent="0.3">
      <c r="F12379" s="1"/>
    </row>
    <row r="12380" spans="6:13" x14ac:dyDescent="0.3">
      <c r="L12380" s="1"/>
      <c r="M12380" s="1"/>
    </row>
    <row r="12381" spans="6:13" x14ac:dyDescent="0.3">
      <c r="F12381" s="1"/>
    </row>
    <row r="12383" spans="6:13" x14ac:dyDescent="0.3">
      <c r="F12383" s="1"/>
    </row>
    <row r="12384" spans="6:13" x14ac:dyDescent="0.3">
      <c r="F12384" s="1"/>
    </row>
    <row r="12385" spans="6:14" x14ac:dyDescent="0.3">
      <c r="F12385" s="1"/>
    </row>
    <row r="12386" spans="6:14" x14ac:dyDescent="0.3">
      <c r="N12386" s="1"/>
    </row>
    <row r="12387" spans="6:14" x14ac:dyDescent="0.3">
      <c r="F12387" s="1"/>
    </row>
    <row r="12389" spans="6:14" x14ac:dyDescent="0.3">
      <c r="F12389" s="1"/>
    </row>
    <row r="12390" spans="6:14" x14ac:dyDescent="0.3">
      <c r="F12390" s="1"/>
    </row>
    <row r="12391" spans="6:14" x14ac:dyDescent="0.3">
      <c r="F12391" s="1"/>
    </row>
    <row r="12392" spans="6:14" x14ac:dyDescent="0.3">
      <c r="F12392" s="1"/>
    </row>
    <row r="12393" spans="6:14" x14ac:dyDescent="0.3">
      <c r="F12393" s="1"/>
    </row>
    <row r="12394" spans="6:14" x14ac:dyDescent="0.3">
      <c r="M12394" s="1"/>
    </row>
    <row r="12395" spans="6:14" x14ac:dyDescent="0.3">
      <c r="F12395" s="1"/>
    </row>
    <row r="12396" spans="6:14" x14ac:dyDescent="0.3">
      <c r="F12396" s="1"/>
    </row>
    <row r="12397" spans="6:14" x14ac:dyDescent="0.3">
      <c r="F12397" s="1"/>
    </row>
    <row r="12398" spans="6:14" x14ac:dyDescent="0.3">
      <c r="F12398" s="1"/>
    </row>
    <row r="12399" spans="6:14" x14ac:dyDescent="0.3">
      <c r="F12399" s="1"/>
    </row>
    <row r="12401" spans="6:14" x14ac:dyDescent="0.3">
      <c r="F12401" s="1"/>
    </row>
    <row r="12403" spans="6:14" x14ac:dyDescent="0.3">
      <c r="F12403" s="1"/>
    </row>
    <row r="12404" spans="6:14" x14ac:dyDescent="0.3">
      <c r="F12404" s="1"/>
    </row>
    <row r="12405" spans="6:14" x14ac:dyDescent="0.3">
      <c r="F12405" s="1"/>
    </row>
    <row r="12406" spans="6:14" x14ac:dyDescent="0.3">
      <c r="F12406" s="1"/>
    </row>
    <row r="12407" spans="6:14" x14ac:dyDescent="0.3">
      <c r="F12407" s="1"/>
    </row>
    <row r="12408" spans="6:14" x14ac:dyDescent="0.3">
      <c r="F12408" s="1"/>
    </row>
    <row r="12409" spans="6:14" x14ac:dyDescent="0.3">
      <c r="F12409" s="1"/>
    </row>
    <row r="12411" spans="6:14" x14ac:dyDescent="0.3">
      <c r="F12411" s="1"/>
      <c r="N12411" s="1"/>
    </row>
    <row r="12412" spans="6:14" x14ac:dyDescent="0.3">
      <c r="F12412" s="1"/>
    </row>
    <row r="12413" spans="6:14" x14ac:dyDescent="0.3">
      <c r="F12413" s="1"/>
    </row>
    <row r="12414" spans="6:14" x14ac:dyDescent="0.3">
      <c r="F12414" s="1"/>
    </row>
    <row r="12415" spans="6:14" x14ac:dyDescent="0.3">
      <c r="F12415" s="1"/>
    </row>
    <row r="12416" spans="6:14" x14ac:dyDescent="0.3">
      <c r="F12416" s="1"/>
    </row>
    <row r="12417" spans="6:6" x14ac:dyDescent="0.3">
      <c r="F12417" s="1"/>
    </row>
    <row r="12418" spans="6:6" x14ac:dyDescent="0.3">
      <c r="F12418" s="1"/>
    </row>
    <row r="12419" spans="6:6" x14ac:dyDescent="0.3">
      <c r="F12419" s="1"/>
    </row>
    <row r="12420" spans="6:6" x14ac:dyDescent="0.3">
      <c r="F12420" s="1"/>
    </row>
    <row r="12422" spans="6:6" x14ac:dyDescent="0.3">
      <c r="F12422" s="1"/>
    </row>
    <row r="12423" spans="6:6" x14ac:dyDescent="0.3">
      <c r="F12423" s="1"/>
    </row>
    <row r="12424" spans="6:6" x14ac:dyDescent="0.3">
      <c r="F12424" s="1"/>
    </row>
    <row r="12425" spans="6:6" x14ac:dyDescent="0.3">
      <c r="F12425" s="1"/>
    </row>
    <row r="12427" spans="6:6" x14ac:dyDescent="0.3">
      <c r="F12427" s="1"/>
    </row>
    <row r="12428" spans="6:6" x14ac:dyDescent="0.3">
      <c r="F12428" s="1"/>
    </row>
    <row r="12431" spans="6:6" x14ac:dyDescent="0.3">
      <c r="F12431" s="1"/>
    </row>
    <row r="12433" spans="6:13" x14ac:dyDescent="0.3">
      <c r="F12433" s="1"/>
    </row>
    <row r="12434" spans="6:13" x14ac:dyDescent="0.3">
      <c r="F12434" s="1"/>
    </row>
    <row r="12436" spans="6:13" x14ac:dyDescent="0.3">
      <c r="F12436" s="1"/>
    </row>
    <row r="12437" spans="6:13" x14ac:dyDescent="0.3">
      <c r="F12437" s="1"/>
    </row>
    <row r="12438" spans="6:13" x14ac:dyDescent="0.3">
      <c r="F12438" s="1"/>
    </row>
    <row r="12441" spans="6:13" x14ac:dyDescent="0.3">
      <c r="F12441" s="1"/>
    </row>
    <row r="12442" spans="6:13" x14ac:dyDescent="0.3">
      <c r="F12442" s="1"/>
    </row>
    <row r="12443" spans="6:13" x14ac:dyDescent="0.3">
      <c r="F12443" s="1"/>
      <c r="M12443" s="1"/>
    </row>
    <row r="12444" spans="6:13" x14ac:dyDescent="0.3">
      <c r="F12444" s="1"/>
    </row>
    <row r="12445" spans="6:13" x14ac:dyDescent="0.3">
      <c r="F12445" s="1"/>
    </row>
    <row r="12446" spans="6:13" x14ac:dyDescent="0.3">
      <c r="F12446" s="1"/>
    </row>
    <row r="12448" spans="6:13" x14ac:dyDescent="0.3">
      <c r="F12448" s="1"/>
    </row>
    <row r="12449" spans="6:15" x14ac:dyDescent="0.3">
      <c r="F12449" s="1"/>
    </row>
    <row r="12450" spans="6:15" x14ac:dyDescent="0.3">
      <c r="M12450" s="1"/>
      <c r="N12450" s="1"/>
    </row>
    <row r="12452" spans="6:15" x14ac:dyDescent="0.3">
      <c r="F12452" s="1"/>
    </row>
    <row r="12453" spans="6:15" x14ac:dyDescent="0.3">
      <c r="F12453" s="1"/>
    </row>
    <row r="12454" spans="6:15" x14ac:dyDescent="0.3">
      <c r="F12454" s="1"/>
    </row>
    <row r="12456" spans="6:15" x14ac:dyDescent="0.3">
      <c r="F12456" s="1"/>
    </row>
    <row r="12457" spans="6:15" x14ac:dyDescent="0.3">
      <c r="F12457" s="1"/>
    </row>
    <row r="12458" spans="6:15" x14ac:dyDescent="0.3">
      <c r="F12458" s="1"/>
    </row>
    <row r="12460" spans="6:15" x14ac:dyDescent="0.3">
      <c r="F12460" s="1"/>
    </row>
    <row r="12461" spans="6:15" x14ac:dyDescent="0.3">
      <c r="F12461" s="1"/>
    </row>
    <row r="12462" spans="6:15" x14ac:dyDescent="0.3">
      <c r="N12462" s="1"/>
    </row>
    <row r="12463" spans="6:15" x14ac:dyDescent="0.3">
      <c r="F12463" s="1"/>
    </row>
    <row r="12464" spans="6:15" x14ac:dyDescent="0.3">
      <c r="L12464" s="1"/>
      <c r="O12464" s="1"/>
    </row>
    <row r="12466" spans="6:13" x14ac:dyDescent="0.3">
      <c r="F12466" s="1"/>
    </row>
    <row r="12467" spans="6:13" x14ac:dyDescent="0.3">
      <c r="F12467" s="1"/>
    </row>
    <row r="12468" spans="6:13" x14ac:dyDescent="0.3">
      <c r="F12468" s="1"/>
    </row>
    <row r="12469" spans="6:13" x14ac:dyDescent="0.3">
      <c r="F12469" s="1"/>
    </row>
    <row r="12470" spans="6:13" x14ac:dyDescent="0.3">
      <c r="F12470" s="1"/>
    </row>
    <row r="12471" spans="6:13" x14ac:dyDescent="0.3">
      <c r="F12471" s="1"/>
    </row>
    <row r="12472" spans="6:13" x14ac:dyDescent="0.3">
      <c r="M12472" s="1"/>
    </row>
    <row r="12473" spans="6:13" x14ac:dyDescent="0.3">
      <c r="F12473" s="1"/>
    </row>
    <row r="12475" spans="6:13" x14ac:dyDescent="0.3">
      <c r="F12475" s="1"/>
    </row>
    <row r="12476" spans="6:13" x14ac:dyDescent="0.3">
      <c r="F12476" s="1"/>
    </row>
    <row r="12478" spans="6:13" x14ac:dyDescent="0.3">
      <c r="F12478" s="1"/>
    </row>
    <row r="12479" spans="6:13" x14ac:dyDescent="0.3">
      <c r="F12479" s="1"/>
    </row>
    <row r="12480" spans="6:13" x14ac:dyDescent="0.3">
      <c r="F12480" s="1"/>
    </row>
    <row r="12481" spans="6:15" x14ac:dyDescent="0.3">
      <c r="F12481" s="1"/>
    </row>
    <row r="12483" spans="6:15" x14ac:dyDescent="0.3">
      <c r="F12483" s="1"/>
    </row>
    <row r="12484" spans="6:15" x14ac:dyDescent="0.3">
      <c r="F12484" s="1"/>
    </row>
    <row r="12485" spans="6:15" x14ac:dyDescent="0.3">
      <c r="L12485" s="1"/>
      <c r="N12485" s="1"/>
      <c r="O12485" s="1"/>
    </row>
    <row r="12486" spans="6:15" x14ac:dyDescent="0.3">
      <c r="F12486" s="1"/>
    </row>
    <row r="12487" spans="6:15" x14ac:dyDescent="0.3">
      <c r="F12487" s="1"/>
      <c r="L12487" s="1"/>
      <c r="N12487" s="1"/>
      <c r="O12487" s="1"/>
    </row>
    <row r="12488" spans="6:15" x14ac:dyDescent="0.3">
      <c r="F12488" s="1"/>
    </row>
    <row r="12489" spans="6:15" x14ac:dyDescent="0.3">
      <c r="F12489" s="1"/>
    </row>
    <row r="12490" spans="6:15" x14ac:dyDescent="0.3">
      <c r="F12490" s="1"/>
    </row>
    <row r="12491" spans="6:15" x14ac:dyDescent="0.3">
      <c r="F12491" s="1"/>
    </row>
    <row r="12492" spans="6:15" x14ac:dyDescent="0.3">
      <c r="F12492" s="1"/>
    </row>
    <row r="12493" spans="6:15" x14ac:dyDescent="0.3">
      <c r="F12493" s="1"/>
      <c r="L12493" s="1"/>
      <c r="O12493" s="1"/>
    </row>
    <row r="12494" spans="6:15" x14ac:dyDescent="0.3">
      <c r="F12494" s="1"/>
    </row>
    <row r="12495" spans="6:15" x14ac:dyDescent="0.3">
      <c r="F12495" s="1"/>
    </row>
    <row r="12496" spans="6:15" x14ac:dyDescent="0.3">
      <c r="F12496" s="1"/>
    </row>
    <row r="12497" spans="6:15" x14ac:dyDescent="0.3">
      <c r="F12497" s="1"/>
    </row>
    <row r="12498" spans="6:15" x14ac:dyDescent="0.3">
      <c r="F12498" s="1"/>
      <c r="L12498" s="1"/>
      <c r="M12498" s="1"/>
      <c r="O12498" s="1"/>
    </row>
    <row r="12499" spans="6:15" x14ac:dyDescent="0.3">
      <c r="L12499" s="1"/>
      <c r="M12499" s="1"/>
    </row>
    <row r="12500" spans="6:15" x14ac:dyDescent="0.3">
      <c r="F12500" s="1"/>
    </row>
    <row r="12502" spans="6:15" x14ac:dyDescent="0.3">
      <c r="F12502" s="1"/>
    </row>
    <row r="12504" spans="6:15" x14ac:dyDescent="0.3">
      <c r="F12504" s="1"/>
    </row>
    <row r="12505" spans="6:15" x14ac:dyDescent="0.3">
      <c r="F12505" s="1"/>
      <c r="L12505" s="1"/>
      <c r="M12505" s="1"/>
      <c r="O12505" s="1"/>
    </row>
    <row r="12506" spans="6:15" x14ac:dyDescent="0.3">
      <c r="F12506" s="1"/>
    </row>
    <row r="12507" spans="6:15" x14ac:dyDescent="0.3">
      <c r="F12507" s="1"/>
    </row>
    <row r="12508" spans="6:15" x14ac:dyDescent="0.3">
      <c r="F12508" s="1"/>
    </row>
    <row r="12509" spans="6:15" x14ac:dyDescent="0.3">
      <c r="F12509" s="1"/>
    </row>
    <row r="12510" spans="6:15" x14ac:dyDescent="0.3">
      <c r="M12510" s="1"/>
      <c r="O12510" s="1"/>
    </row>
    <row r="12511" spans="6:15" x14ac:dyDescent="0.3">
      <c r="F12511" s="1"/>
    </row>
    <row r="12512" spans="6:15" x14ac:dyDescent="0.3">
      <c r="F12512" s="1"/>
    </row>
    <row r="12513" spans="6:14" x14ac:dyDescent="0.3">
      <c r="F12513" s="1"/>
    </row>
    <row r="12514" spans="6:14" x14ac:dyDescent="0.3">
      <c r="F12514" s="1"/>
    </row>
    <row r="12516" spans="6:14" x14ac:dyDescent="0.3">
      <c r="F12516" s="1"/>
    </row>
    <row r="12517" spans="6:14" x14ac:dyDescent="0.3">
      <c r="F12517" s="1"/>
    </row>
    <row r="12518" spans="6:14" x14ac:dyDescent="0.3">
      <c r="F12518" s="1"/>
    </row>
    <row r="12519" spans="6:14" x14ac:dyDescent="0.3">
      <c r="F12519" s="1"/>
    </row>
    <row r="12520" spans="6:14" x14ac:dyDescent="0.3">
      <c r="F12520" s="1"/>
    </row>
    <row r="12521" spans="6:14" x14ac:dyDescent="0.3">
      <c r="N12521" s="1"/>
    </row>
    <row r="12522" spans="6:14" x14ac:dyDescent="0.3">
      <c r="F12522" s="1"/>
    </row>
    <row r="12523" spans="6:14" x14ac:dyDescent="0.3">
      <c r="F12523" s="1"/>
    </row>
    <row r="12524" spans="6:14" x14ac:dyDescent="0.3">
      <c r="F12524" s="1"/>
    </row>
    <row r="12526" spans="6:14" x14ac:dyDescent="0.3">
      <c r="F12526" s="1"/>
    </row>
    <row r="12527" spans="6:14" x14ac:dyDescent="0.3">
      <c r="F12527" s="1"/>
    </row>
    <row r="12528" spans="6:14" x14ac:dyDescent="0.3">
      <c r="F12528" s="1"/>
    </row>
    <row r="12529" spans="6:15" x14ac:dyDescent="0.3">
      <c r="F12529" s="1"/>
    </row>
    <row r="12530" spans="6:15" x14ac:dyDescent="0.3">
      <c r="F12530" s="1"/>
    </row>
    <row r="12532" spans="6:15" x14ac:dyDescent="0.3">
      <c r="F12532" s="1"/>
    </row>
    <row r="12533" spans="6:15" x14ac:dyDescent="0.3">
      <c r="F12533" s="1"/>
    </row>
    <row r="12534" spans="6:15" x14ac:dyDescent="0.3">
      <c r="F12534" s="1"/>
    </row>
    <row r="12535" spans="6:15" x14ac:dyDescent="0.3">
      <c r="F12535" s="1"/>
    </row>
    <row r="12536" spans="6:15" x14ac:dyDescent="0.3">
      <c r="F12536" s="1"/>
      <c r="N12536" s="1"/>
    </row>
    <row r="12537" spans="6:15" x14ac:dyDescent="0.3">
      <c r="F12537" s="1"/>
    </row>
    <row r="12538" spans="6:15" x14ac:dyDescent="0.3">
      <c r="F12538" s="1"/>
    </row>
    <row r="12539" spans="6:15" x14ac:dyDescent="0.3">
      <c r="F12539" s="1"/>
      <c r="N12539" s="1"/>
      <c r="O12539" s="1"/>
    </row>
    <row r="12540" spans="6:15" x14ac:dyDescent="0.3">
      <c r="F12540" s="1"/>
    </row>
    <row r="12541" spans="6:15" x14ac:dyDescent="0.3">
      <c r="F12541" s="1"/>
    </row>
    <row r="12542" spans="6:15" x14ac:dyDescent="0.3">
      <c r="F12542" s="1"/>
    </row>
    <row r="12543" spans="6:15" x14ac:dyDescent="0.3">
      <c r="F12543" s="1"/>
    </row>
    <row r="12544" spans="6:15" x14ac:dyDescent="0.3">
      <c r="F12544" s="1"/>
    </row>
    <row r="12545" spans="6:12" x14ac:dyDescent="0.3">
      <c r="F12545" s="1"/>
    </row>
    <row r="12546" spans="6:12" x14ac:dyDescent="0.3">
      <c r="F12546" s="1"/>
    </row>
    <row r="12547" spans="6:12" x14ac:dyDescent="0.3">
      <c r="F12547" s="1"/>
    </row>
    <row r="12548" spans="6:12" x14ac:dyDescent="0.3">
      <c r="F12548" s="1"/>
    </row>
    <row r="12549" spans="6:12" x14ac:dyDescent="0.3">
      <c r="F12549" s="1"/>
    </row>
    <row r="12551" spans="6:12" x14ac:dyDescent="0.3">
      <c r="F12551" s="1"/>
    </row>
    <row r="12552" spans="6:12" x14ac:dyDescent="0.3">
      <c r="F12552" s="1"/>
      <c r="L12552" s="1"/>
    </row>
    <row r="12553" spans="6:12" x14ac:dyDescent="0.3">
      <c r="F12553" s="1"/>
    </row>
    <row r="12554" spans="6:12" x14ac:dyDescent="0.3">
      <c r="F12554" s="1"/>
    </row>
    <row r="12556" spans="6:12" x14ac:dyDescent="0.3">
      <c r="F12556" s="1"/>
    </row>
    <row r="12557" spans="6:12" x14ac:dyDescent="0.3">
      <c r="F12557" s="1"/>
    </row>
    <row r="12558" spans="6:12" x14ac:dyDescent="0.3">
      <c r="F12558" s="1"/>
    </row>
    <row r="12559" spans="6:12" x14ac:dyDescent="0.3">
      <c r="F12559" s="1"/>
      <c r="L12559" s="1"/>
    </row>
    <row r="12560" spans="6:12" x14ac:dyDescent="0.3">
      <c r="F12560" s="1"/>
    </row>
    <row r="12561" spans="6:13" x14ac:dyDescent="0.3">
      <c r="F12561" s="1"/>
    </row>
    <row r="12562" spans="6:13" x14ac:dyDescent="0.3">
      <c r="F12562" s="1"/>
    </row>
    <row r="12563" spans="6:13" x14ac:dyDescent="0.3">
      <c r="F12563" s="1"/>
    </row>
    <row r="12564" spans="6:13" x14ac:dyDescent="0.3">
      <c r="F12564" s="1"/>
    </row>
    <row r="12565" spans="6:13" x14ac:dyDescent="0.3">
      <c r="F12565" s="1"/>
    </row>
    <row r="12566" spans="6:13" x14ac:dyDescent="0.3">
      <c r="F12566" s="1"/>
    </row>
    <row r="12567" spans="6:13" x14ac:dyDescent="0.3">
      <c r="F12567" s="1"/>
    </row>
    <row r="12568" spans="6:13" x14ac:dyDescent="0.3">
      <c r="F12568" s="1"/>
    </row>
    <row r="12569" spans="6:13" x14ac:dyDescent="0.3">
      <c r="F12569" s="1"/>
    </row>
    <row r="12570" spans="6:13" x14ac:dyDescent="0.3">
      <c r="M12570" s="1"/>
    </row>
    <row r="12571" spans="6:13" x14ac:dyDescent="0.3">
      <c r="F12571" s="1"/>
    </row>
    <row r="12572" spans="6:13" x14ac:dyDescent="0.3">
      <c r="F12572" s="1"/>
    </row>
    <row r="12573" spans="6:13" x14ac:dyDescent="0.3">
      <c r="F12573" s="1"/>
    </row>
    <row r="12574" spans="6:13" x14ac:dyDescent="0.3">
      <c r="F12574" s="1"/>
    </row>
    <row r="12575" spans="6:13" x14ac:dyDescent="0.3">
      <c r="F12575" s="1"/>
    </row>
    <row r="12576" spans="6:13" x14ac:dyDescent="0.3">
      <c r="F12576" s="1"/>
    </row>
    <row r="12578" spans="6:14" x14ac:dyDescent="0.3">
      <c r="F12578" s="1"/>
    </row>
    <row r="12579" spans="6:14" x14ac:dyDescent="0.3">
      <c r="F12579" s="1"/>
    </row>
    <row r="12580" spans="6:14" x14ac:dyDescent="0.3">
      <c r="F12580" s="1"/>
    </row>
    <row r="12581" spans="6:14" x14ac:dyDescent="0.3">
      <c r="F12581" s="1"/>
    </row>
    <row r="12582" spans="6:14" x14ac:dyDescent="0.3">
      <c r="F12582" s="1"/>
      <c r="N12582" s="1"/>
    </row>
    <row r="12583" spans="6:14" x14ac:dyDescent="0.3">
      <c r="F12583" s="1"/>
    </row>
    <row r="12586" spans="6:14" x14ac:dyDescent="0.3">
      <c r="F12586" s="1"/>
      <c r="M12586" s="1"/>
    </row>
    <row r="12587" spans="6:14" x14ac:dyDescent="0.3">
      <c r="F12587" s="1"/>
    </row>
    <row r="12588" spans="6:14" x14ac:dyDescent="0.3">
      <c r="F12588" s="1"/>
    </row>
    <row r="12589" spans="6:14" x14ac:dyDescent="0.3">
      <c r="F12589" s="1"/>
    </row>
    <row r="12590" spans="6:14" x14ac:dyDescent="0.3">
      <c r="F12590" s="1"/>
    </row>
    <row r="12591" spans="6:14" x14ac:dyDescent="0.3">
      <c r="F12591" s="1"/>
      <c r="M12591" s="1"/>
    </row>
    <row r="12592" spans="6:14" x14ac:dyDescent="0.3">
      <c r="L12592" s="1"/>
    </row>
    <row r="12593" spans="6:15" x14ac:dyDescent="0.3">
      <c r="F12593" s="1"/>
    </row>
    <row r="12594" spans="6:15" x14ac:dyDescent="0.3">
      <c r="F12594" s="1"/>
    </row>
    <row r="12595" spans="6:15" x14ac:dyDescent="0.3">
      <c r="F12595" s="1"/>
    </row>
    <row r="12596" spans="6:15" x14ac:dyDescent="0.3">
      <c r="F12596" s="1"/>
    </row>
    <row r="12598" spans="6:15" x14ac:dyDescent="0.3">
      <c r="F12598" s="1"/>
      <c r="M12598" s="1"/>
    </row>
    <row r="12599" spans="6:15" x14ac:dyDescent="0.3">
      <c r="L12599" s="1"/>
      <c r="N12599" s="1"/>
      <c r="O12599" s="1"/>
    </row>
    <row r="12601" spans="6:15" x14ac:dyDescent="0.3">
      <c r="F12601" s="1"/>
    </row>
    <row r="12602" spans="6:15" x14ac:dyDescent="0.3">
      <c r="F12602" s="1"/>
    </row>
    <row r="12603" spans="6:15" x14ac:dyDescent="0.3">
      <c r="F12603" s="1"/>
    </row>
    <row r="12604" spans="6:15" x14ac:dyDescent="0.3">
      <c r="F12604" s="1"/>
    </row>
    <row r="12605" spans="6:15" x14ac:dyDescent="0.3">
      <c r="F12605" s="1"/>
    </row>
    <row r="12606" spans="6:15" x14ac:dyDescent="0.3">
      <c r="F12606" s="1"/>
    </row>
    <row r="12607" spans="6:15" x14ac:dyDescent="0.3">
      <c r="F12607" s="1"/>
    </row>
    <row r="12608" spans="6:15" x14ac:dyDescent="0.3">
      <c r="F12608" s="1"/>
    </row>
    <row r="12609" spans="6:15" x14ac:dyDescent="0.3">
      <c r="F12609" s="1"/>
    </row>
    <row r="12610" spans="6:15" x14ac:dyDescent="0.3">
      <c r="F12610" s="1"/>
      <c r="L12610" s="1"/>
    </row>
    <row r="12611" spans="6:15" x14ac:dyDescent="0.3">
      <c r="F12611" s="1"/>
    </row>
    <row r="12612" spans="6:15" x14ac:dyDescent="0.3">
      <c r="F12612" s="1"/>
    </row>
    <row r="12613" spans="6:15" x14ac:dyDescent="0.3">
      <c r="F12613" s="1"/>
    </row>
    <row r="12614" spans="6:15" x14ac:dyDescent="0.3">
      <c r="L12614" s="1"/>
    </row>
    <row r="12615" spans="6:15" x14ac:dyDescent="0.3">
      <c r="F12615" s="1"/>
    </row>
    <row r="12616" spans="6:15" x14ac:dyDescent="0.3">
      <c r="N12616" s="1"/>
      <c r="O12616" s="1"/>
    </row>
    <row r="12617" spans="6:15" x14ac:dyDescent="0.3">
      <c r="F12617" s="1"/>
    </row>
    <row r="12619" spans="6:15" x14ac:dyDescent="0.3">
      <c r="F12619" s="1"/>
    </row>
    <row r="12620" spans="6:15" x14ac:dyDescent="0.3">
      <c r="F12620" s="1"/>
    </row>
    <row r="12621" spans="6:15" x14ac:dyDescent="0.3">
      <c r="F12621" s="1"/>
      <c r="N12621" s="1"/>
    </row>
    <row r="12622" spans="6:15" x14ac:dyDescent="0.3">
      <c r="F12622" s="1"/>
      <c r="N12622" s="1"/>
    </row>
    <row r="12623" spans="6:15" x14ac:dyDescent="0.3">
      <c r="F12623" s="1"/>
    </row>
    <row r="12624" spans="6:15" x14ac:dyDescent="0.3">
      <c r="F12624" s="1"/>
    </row>
    <row r="12625" spans="6:15" x14ac:dyDescent="0.3">
      <c r="F12625" s="1"/>
    </row>
    <row r="12627" spans="6:15" x14ac:dyDescent="0.3">
      <c r="F12627" s="1"/>
    </row>
    <row r="12628" spans="6:15" x14ac:dyDescent="0.3">
      <c r="F12628" s="1"/>
    </row>
    <row r="12629" spans="6:15" x14ac:dyDescent="0.3">
      <c r="M12629" s="1"/>
    </row>
    <row r="12630" spans="6:15" x14ac:dyDescent="0.3">
      <c r="F12630" s="1"/>
    </row>
    <row r="12631" spans="6:15" x14ac:dyDescent="0.3">
      <c r="F12631" s="1"/>
    </row>
    <row r="12632" spans="6:15" x14ac:dyDescent="0.3">
      <c r="F12632" s="1"/>
    </row>
    <row r="12633" spans="6:15" x14ac:dyDescent="0.3">
      <c r="F12633" s="1"/>
    </row>
    <row r="12635" spans="6:15" x14ac:dyDescent="0.3">
      <c r="F12635" s="1"/>
    </row>
    <row r="12636" spans="6:15" x14ac:dyDescent="0.3">
      <c r="F12636" s="1"/>
      <c r="L12636" s="1"/>
      <c r="M12636" s="1"/>
      <c r="N12636" s="1"/>
      <c r="O12636" s="1"/>
    </row>
    <row r="12637" spans="6:15" x14ac:dyDescent="0.3">
      <c r="F12637" s="1"/>
    </row>
    <row r="12638" spans="6:15" x14ac:dyDescent="0.3">
      <c r="F12638" s="1"/>
    </row>
    <row r="12639" spans="6:15" x14ac:dyDescent="0.3">
      <c r="F12639" s="1"/>
    </row>
    <row r="12640" spans="6:15" x14ac:dyDescent="0.3">
      <c r="F12640" s="1"/>
    </row>
    <row r="12641" spans="6:15" x14ac:dyDescent="0.3">
      <c r="F12641" s="1"/>
    </row>
    <row r="12643" spans="6:15" x14ac:dyDescent="0.3">
      <c r="F12643" s="1"/>
      <c r="N12643" s="1"/>
    </row>
    <row r="12644" spans="6:15" x14ac:dyDescent="0.3">
      <c r="F12644" s="1"/>
    </row>
    <row r="12645" spans="6:15" x14ac:dyDescent="0.3">
      <c r="F12645" s="1"/>
      <c r="L12645" s="1"/>
      <c r="M12645" s="1"/>
      <c r="N12645" s="1"/>
      <c r="O12645" s="1"/>
    </row>
    <row r="12646" spans="6:15" x14ac:dyDescent="0.3">
      <c r="F12646" s="1"/>
    </row>
    <row r="12647" spans="6:15" x14ac:dyDescent="0.3">
      <c r="F12647" s="1"/>
    </row>
    <row r="12648" spans="6:15" x14ac:dyDescent="0.3">
      <c r="F12648" s="1"/>
    </row>
    <row r="12651" spans="6:15" x14ac:dyDescent="0.3">
      <c r="F12651" s="1"/>
    </row>
    <row r="12652" spans="6:15" x14ac:dyDescent="0.3">
      <c r="F12652" s="1"/>
      <c r="L12652" s="1"/>
      <c r="N12652" s="1"/>
    </row>
    <row r="12653" spans="6:15" x14ac:dyDescent="0.3">
      <c r="F12653" s="1"/>
    </row>
    <row r="12654" spans="6:15" x14ac:dyDescent="0.3">
      <c r="F12654" s="1"/>
    </row>
    <row r="12656" spans="6:15" x14ac:dyDescent="0.3">
      <c r="F12656" s="1"/>
    </row>
    <row r="12657" spans="6:6" x14ac:dyDescent="0.3">
      <c r="F12657" s="1"/>
    </row>
    <row r="12658" spans="6:6" x14ac:dyDescent="0.3">
      <c r="F12658" s="1"/>
    </row>
    <row r="12660" spans="6:6" x14ac:dyDescent="0.3">
      <c r="F12660" s="1"/>
    </row>
    <row r="12661" spans="6:6" x14ac:dyDescent="0.3">
      <c r="F12661" s="1"/>
    </row>
    <row r="12662" spans="6:6" x14ac:dyDescent="0.3">
      <c r="F12662" s="1"/>
    </row>
    <row r="12664" spans="6:6" x14ac:dyDescent="0.3">
      <c r="F12664" s="1"/>
    </row>
    <row r="12665" spans="6:6" x14ac:dyDescent="0.3">
      <c r="F12665" s="1"/>
    </row>
    <row r="12666" spans="6:6" x14ac:dyDescent="0.3">
      <c r="F12666" s="1"/>
    </row>
    <row r="12667" spans="6:6" x14ac:dyDescent="0.3">
      <c r="F12667" s="1"/>
    </row>
    <row r="12668" spans="6:6" x14ac:dyDescent="0.3">
      <c r="F12668" s="1"/>
    </row>
    <row r="12669" spans="6:6" x14ac:dyDescent="0.3">
      <c r="F12669" s="1"/>
    </row>
    <row r="12670" spans="6:6" x14ac:dyDescent="0.3">
      <c r="F12670" s="1"/>
    </row>
    <row r="12671" spans="6:6" x14ac:dyDescent="0.3">
      <c r="F12671" s="1"/>
    </row>
    <row r="12672" spans="6:6" x14ac:dyDescent="0.3">
      <c r="F12672" s="1"/>
    </row>
    <row r="12673" spans="6:15" x14ac:dyDescent="0.3">
      <c r="F12673" s="1"/>
      <c r="N12673" s="1"/>
    </row>
    <row r="12674" spans="6:15" x14ac:dyDescent="0.3">
      <c r="F12674" s="1"/>
    </row>
    <row r="12675" spans="6:15" x14ac:dyDescent="0.3">
      <c r="F12675" s="1"/>
    </row>
    <row r="12676" spans="6:15" x14ac:dyDescent="0.3">
      <c r="F12676" s="1"/>
      <c r="L12676" s="1"/>
    </row>
    <row r="12677" spans="6:15" x14ac:dyDescent="0.3">
      <c r="F12677" s="1"/>
    </row>
    <row r="12678" spans="6:15" x14ac:dyDescent="0.3">
      <c r="F12678" s="1"/>
    </row>
    <row r="12680" spans="6:15" x14ac:dyDescent="0.3">
      <c r="F12680" s="1"/>
      <c r="L12680" s="1"/>
    </row>
    <row r="12681" spans="6:15" x14ac:dyDescent="0.3">
      <c r="F12681" s="1"/>
    </row>
    <row r="12682" spans="6:15" x14ac:dyDescent="0.3">
      <c r="F12682" s="1"/>
    </row>
    <row r="12683" spans="6:15" x14ac:dyDescent="0.3">
      <c r="F12683" s="1"/>
    </row>
    <row r="12684" spans="6:15" x14ac:dyDescent="0.3">
      <c r="M12684" s="1"/>
    </row>
    <row r="12685" spans="6:15" x14ac:dyDescent="0.3">
      <c r="F12685" s="1"/>
    </row>
    <row r="12686" spans="6:15" x14ac:dyDescent="0.3">
      <c r="F12686" s="1"/>
      <c r="N12686" s="1"/>
      <c r="O12686" s="1"/>
    </row>
    <row r="12688" spans="6:15" x14ac:dyDescent="0.3">
      <c r="F12688" s="1"/>
    </row>
    <row r="12689" spans="6:15" x14ac:dyDescent="0.3">
      <c r="F12689" s="1"/>
    </row>
    <row r="12690" spans="6:15" x14ac:dyDescent="0.3">
      <c r="F12690" s="1"/>
    </row>
    <row r="12692" spans="6:15" x14ac:dyDescent="0.3">
      <c r="F12692" s="1"/>
    </row>
    <row r="12693" spans="6:15" x14ac:dyDescent="0.3">
      <c r="F12693" s="1"/>
    </row>
    <row r="12694" spans="6:15" x14ac:dyDescent="0.3">
      <c r="F12694" s="1"/>
    </row>
    <row r="12695" spans="6:15" x14ac:dyDescent="0.3">
      <c r="F12695" s="1"/>
    </row>
    <row r="12696" spans="6:15" x14ac:dyDescent="0.3">
      <c r="F12696" s="1"/>
      <c r="N12696" s="1"/>
      <c r="O12696" s="1"/>
    </row>
    <row r="12697" spans="6:15" x14ac:dyDescent="0.3">
      <c r="F12697" s="1"/>
    </row>
    <row r="12698" spans="6:15" x14ac:dyDescent="0.3">
      <c r="F12698" s="1"/>
      <c r="N12698" s="1"/>
    </row>
    <row r="12699" spans="6:15" x14ac:dyDescent="0.3">
      <c r="F12699" s="1"/>
    </row>
    <row r="12700" spans="6:15" x14ac:dyDescent="0.3">
      <c r="F12700" s="1"/>
    </row>
    <row r="12701" spans="6:15" x14ac:dyDescent="0.3">
      <c r="F12701" s="1"/>
    </row>
    <row r="12702" spans="6:15" x14ac:dyDescent="0.3">
      <c r="F12702" s="1"/>
    </row>
    <row r="12703" spans="6:15" x14ac:dyDescent="0.3">
      <c r="F12703" s="1"/>
    </row>
    <row r="12704" spans="6:15" x14ac:dyDescent="0.3">
      <c r="F12704" s="1"/>
    </row>
    <row r="12705" spans="6:14" x14ac:dyDescent="0.3">
      <c r="F12705" s="1"/>
    </row>
    <row r="12706" spans="6:14" x14ac:dyDescent="0.3">
      <c r="F12706" s="1"/>
    </row>
    <row r="12707" spans="6:14" x14ac:dyDescent="0.3">
      <c r="F12707" s="1"/>
    </row>
    <row r="12708" spans="6:14" x14ac:dyDescent="0.3">
      <c r="F12708" s="1"/>
    </row>
    <row r="12709" spans="6:14" x14ac:dyDescent="0.3">
      <c r="F12709" s="1"/>
    </row>
    <row r="12710" spans="6:14" x14ac:dyDescent="0.3">
      <c r="F12710" s="1"/>
    </row>
    <row r="12711" spans="6:14" x14ac:dyDescent="0.3">
      <c r="F12711" s="1"/>
    </row>
    <row r="12712" spans="6:14" x14ac:dyDescent="0.3">
      <c r="F12712" s="1"/>
    </row>
    <row r="12713" spans="6:14" x14ac:dyDescent="0.3">
      <c r="F12713" s="1"/>
    </row>
    <row r="12714" spans="6:14" x14ac:dyDescent="0.3">
      <c r="F12714" s="1"/>
    </row>
    <row r="12715" spans="6:14" x14ac:dyDescent="0.3">
      <c r="F12715" s="1"/>
    </row>
    <row r="12716" spans="6:14" x14ac:dyDescent="0.3">
      <c r="F12716" s="1"/>
    </row>
    <row r="12717" spans="6:14" x14ac:dyDescent="0.3">
      <c r="F12717" s="1"/>
    </row>
    <row r="12718" spans="6:14" x14ac:dyDescent="0.3">
      <c r="F12718" s="1"/>
    </row>
    <row r="12719" spans="6:14" x14ac:dyDescent="0.3">
      <c r="L12719" s="1"/>
      <c r="M12719" s="1"/>
      <c r="N12719" s="1"/>
    </row>
    <row r="12721" spans="6:6" x14ac:dyDescent="0.3">
      <c r="F12721" s="1"/>
    </row>
    <row r="12722" spans="6:6" x14ac:dyDescent="0.3">
      <c r="F12722" s="1"/>
    </row>
    <row r="12723" spans="6:6" x14ac:dyDescent="0.3">
      <c r="F12723" s="1"/>
    </row>
    <row r="12724" spans="6:6" x14ac:dyDescent="0.3">
      <c r="F12724" s="1"/>
    </row>
    <row r="12725" spans="6:6" x14ac:dyDescent="0.3">
      <c r="F12725" s="1"/>
    </row>
    <row r="12726" spans="6:6" x14ac:dyDescent="0.3">
      <c r="F12726" s="1"/>
    </row>
    <row r="12727" spans="6:6" x14ac:dyDescent="0.3">
      <c r="F12727" s="1"/>
    </row>
    <row r="12729" spans="6:6" x14ac:dyDescent="0.3">
      <c r="F12729" s="1"/>
    </row>
    <row r="12730" spans="6:6" x14ac:dyDescent="0.3">
      <c r="F12730" s="1"/>
    </row>
    <row r="12731" spans="6:6" x14ac:dyDescent="0.3">
      <c r="F12731" s="1"/>
    </row>
    <row r="12732" spans="6:6" x14ac:dyDescent="0.3">
      <c r="F12732" s="1"/>
    </row>
    <row r="12733" spans="6:6" x14ac:dyDescent="0.3">
      <c r="F12733" s="1"/>
    </row>
    <row r="12734" spans="6:6" x14ac:dyDescent="0.3">
      <c r="F12734" s="1"/>
    </row>
    <row r="12735" spans="6:6" x14ac:dyDescent="0.3">
      <c r="F12735" s="1"/>
    </row>
    <row r="12736" spans="6:6" x14ac:dyDescent="0.3">
      <c r="F12736" s="1"/>
    </row>
    <row r="12737" spans="6:14" x14ac:dyDescent="0.3">
      <c r="F12737" s="1"/>
    </row>
    <row r="12739" spans="6:14" x14ac:dyDescent="0.3">
      <c r="F12739" s="1"/>
    </row>
    <row r="12740" spans="6:14" x14ac:dyDescent="0.3">
      <c r="F12740" s="1"/>
    </row>
    <row r="12741" spans="6:14" x14ac:dyDescent="0.3">
      <c r="F12741" s="1"/>
      <c r="L12741" s="1"/>
    </row>
    <row r="12742" spans="6:14" x14ac:dyDescent="0.3">
      <c r="F12742" s="1"/>
    </row>
    <row r="12743" spans="6:14" x14ac:dyDescent="0.3">
      <c r="M12743" s="1"/>
      <c r="N12743" s="1"/>
    </row>
    <row r="12744" spans="6:14" x14ac:dyDescent="0.3">
      <c r="F12744" s="1"/>
    </row>
    <row r="12745" spans="6:14" x14ac:dyDescent="0.3">
      <c r="F12745" s="1"/>
    </row>
    <row r="12746" spans="6:14" x14ac:dyDescent="0.3">
      <c r="F12746" s="1"/>
    </row>
    <row r="12747" spans="6:14" x14ac:dyDescent="0.3">
      <c r="F12747" s="1"/>
    </row>
    <row r="12748" spans="6:14" x14ac:dyDescent="0.3">
      <c r="M12748" s="1"/>
    </row>
    <row r="12749" spans="6:14" x14ac:dyDescent="0.3">
      <c r="F12749" s="1"/>
    </row>
    <row r="12750" spans="6:14" x14ac:dyDescent="0.3">
      <c r="F12750" s="1"/>
    </row>
    <row r="12751" spans="6:14" x14ac:dyDescent="0.3">
      <c r="F12751" s="1"/>
    </row>
    <row r="12752" spans="6:14" x14ac:dyDescent="0.3">
      <c r="F12752" s="1"/>
    </row>
    <row r="12753" spans="6:6" x14ac:dyDescent="0.3">
      <c r="F12753" s="1"/>
    </row>
    <row r="12754" spans="6:6" x14ac:dyDescent="0.3">
      <c r="F12754" s="1"/>
    </row>
    <row r="12755" spans="6:6" x14ac:dyDescent="0.3">
      <c r="F12755" s="1"/>
    </row>
    <row r="12756" spans="6:6" x14ac:dyDescent="0.3">
      <c r="F12756" s="1"/>
    </row>
    <row r="12758" spans="6:6" x14ac:dyDescent="0.3">
      <c r="F12758" s="1"/>
    </row>
    <row r="12759" spans="6:6" x14ac:dyDescent="0.3">
      <c r="F12759" s="1"/>
    </row>
    <row r="12760" spans="6:6" x14ac:dyDescent="0.3">
      <c r="F12760" s="1"/>
    </row>
    <row r="12762" spans="6:6" x14ac:dyDescent="0.3">
      <c r="F12762" s="1"/>
    </row>
    <row r="12763" spans="6:6" x14ac:dyDescent="0.3">
      <c r="F12763" s="1"/>
    </row>
    <row r="12764" spans="6:6" x14ac:dyDescent="0.3">
      <c r="F12764" s="1"/>
    </row>
    <row r="12765" spans="6:6" x14ac:dyDescent="0.3">
      <c r="F12765" s="1"/>
    </row>
    <row r="12766" spans="6:6" x14ac:dyDescent="0.3">
      <c r="F12766" s="1"/>
    </row>
    <row r="12767" spans="6:6" x14ac:dyDescent="0.3">
      <c r="F12767" s="1"/>
    </row>
    <row r="12768" spans="6:6" x14ac:dyDescent="0.3">
      <c r="F12768" s="1"/>
    </row>
    <row r="12769" spans="6:14" x14ac:dyDescent="0.3">
      <c r="F12769" s="1"/>
    </row>
    <row r="12770" spans="6:14" x14ac:dyDescent="0.3">
      <c r="F12770" s="1"/>
    </row>
    <row r="12771" spans="6:14" x14ac:dyDescent="0.3">
      <c r="F12771" s="1"/>
    </row>
    <row r="12772" spans="6:14" x14ac:dyDescent="0.3">
      <c r="N12772" s="1"/>
    </row>
    <row r="12773" spans="6:14" x14ac:dyDescent="0.3">
      <c r="F12773" s="1"/>
    </row>
    <row r="12774" spans="6:14" x14ac:dyDescent="0.3">
      <c r="F12774" s="1"/>
    </row>
    <row r="12775" spans="6:14" x14ac:dyDescent="0.3">
      <c r="F12775" s="1"/>
    </row>
    <row r="12777" spans="6:14" x14ac:dyDescent="0.3">
      <c r="F12777" s="1"/>
    </row>
    <row r="12779" spans="6:14" x14ac:dyDescent="0.3">
      <c r="F12779" s="1"/>
    </row>
    <row r="12780" spans="6:14" x14ac:dyDescent="0.3">
      <c r="F12780" s="1"/>
    </row>
    <row r="12781" spans="6:14" x14ac:dyDescent="0.3">
      <c r="F12781" s="1"/>
    </row>
    <row r="12782" spans="6:14" x14ac:dyDescent="0.3">
      <c r="F12782" s="1"/>
    </row>
    <row r="12783" spans="6:14" x14ac:dyDescent="0.3">
      <c r="F12783" s="1"/>
    </row>
    <row r="12784" spans="6:14" x14ac:dyDescent="0.3">
      <c r="F12784" s="1"/>
    </row>
    <row r="12785" spans="6:13" x14ac:dyDescent="0.3">
      <c r="F12785" s="1"/>
    </row>
    <row r="12786" spans="6:13" x14ac:dyDescent="0.3">
      <c r="F12786" s="1"/>
    </row>
    <row r="12787" spans="6:13" x14ac:dyDescent="0.3">
      <c r="F12787" s="1"/>
    </row>
    <row r="12788" spans="6:13" x14ac:dyDescent="0.3">
      <c r="F12788" s="1"/>
    </row>
    <row r="12789" spans="6:13" x14ac:dyDescent="0.3">
      <c r="F12789" s="1"/>
    </row>
    <row r="12790" spans="6:13" x14ac:dyDescent="0.3">
      <c r="F12790" s="1"/>
    </row>
    <row r="12791" spans="6:13" x14ac:dyDescent="0.3">
      <c r="F12791" s="1"/>
    </row>
    <row r="12792" spans="6:13" x14ac:dyDescent="0.3">
      <c r="F12792" s="1"/>
    </row>
    <row r="12793" spans="6:13" x14ac:dyDescent="0.3">
      <c r="F12793" s="1"/>
    </row>
    <row r="12794" spans="6:13" x14ac:dyDescent="0.3">
      <c r="F12794" s="1"/>
    </row>
    <row r="12795" spans="6:13" x14ac:dyDescent="0.3">
      <c r="F12795" s="1"/>
    </row>
    <row r="12796" spans="6:13" x14ac:dyDescent="0.3">
      <c r="F12796" s="1"/>
    </row>
    <row r="12797" spans="6:13" x14ac:dyDescent="0.3">
      <c r="F12797" s="1"/>
    </row>
    <row r="12798" spans="6:13" x14ac:dyDescent="0.3">
      <c r="F12798" s="1"/>
    </row>
    <row r="12799" spans="6:13" x14ac:dyDescent="0.3">
      <c r="F12799" s="1"/>
      <c r="M12799" s="1"/>
    </row>
    <row r="12800" spans="6:13" x14ac:dyDescent="0.3">
      <c r="F12800" s="1"/>
    </row>
    <row r="12801" spans="6:15" x14ac:dyDescent="0.3">
      <c r="F12801" s="1"/>
    </row>
    <row r="12802" spans="6:15" x14ac:dyDescent="0.3">
      <c r="F12802" s="1"/>
    </row>
    <row r="12803" spans="6:15" x14ac:dyDescent="0.3">
      <c r="F12803" s="1"/>
    </row>
    <row r="12804" spans="6:15" x14ac:dyDescent="0.3">
      <c r="F12804" s="1"/>
    </row>
    <row r="12806" spans="6:15" x14ac:dyDescent="0.3">
      <c r="F12806" s="1"/>
    </row>
    <row r="12807" spans="6:15" x14ac:dyDescent="0.3">
      <c r="F12807" s="1"/>
    </row>
    <row r="12808" spans="6:15" x14ac:dyDescent="0.3">
      <c r="L12808" s="1"/>
      <c r="N12808" s="1"/>
      <c r="O12808" s="1"/>
    </row>
    <row r="12810" spans="6:15" x14ac:dyDescent="0.3">
      <c r="F12810" s="1"/>
    </row>
    <row r="12811" spans="6:15" x14ac:dyDescent="0.3">
      <c r="F12811" s="1"/>
    </row>
    <row r="12812" spans="6:15" x14ac:dyDescent="0.3">
      <c r="F12812" s="1"/>
    </row>
    <row r="12813" spans="6:15" x14ac:dyDescent="0.3">
      <c r="F12813" s="1"/>
    </row>
    <row r="12814" spans="6:15" x14ac:dyDescent="0.3">
      <c r="F12814" s="1"/>
    </row>
    <row r="12815" spans="6:15" x14ac:dyDescent="0.3">
      <c r="F12815" s="1"/>
    </row>
    <row r="12816" spans="6:15" x14ac:dyDescent="0.3">
      <c r="F12816" s="1"/>
    </row>
    <row r="12817" spans="6:15" x14ac:dyDescent="0.3">
      <c r="F12817" s="1"/>
    </row>
    <row r="12818" spans="6:15" x14ac:dyDescent="0.3">
      <c r="F12818" s="1"/>
    </row>
    <row r="12819" spans="6:15" x14ac:dyDescent="0.3">
      <c r="F12819" s="1"/>
      <c r="M12819" s="1"/>
    </row>
    <row r="12820" spans="6:15" x14ac:dyDescent="0.3">
      <c r="F12820" s="1"/>
    </row>
    <row r="12821" spans="6:15" x14ac:dyDescent="0.3">
      <c r="F12821" s="1"/>
    </row>
    <row r="12822" spans="6:15" x14ac:dyDescent="0.3">
      <c r="F12822" s="1"/>
    </row>
    <row r="12823" spans="6:15" x14ac:dyDescent="0.3">
      <c r="F12823" s="1"/>
    </row>
    <row r="12824" spans="6:15" x14ac:dyDescent="0.3">
      <c r="F12824" s="1"/>
      <c r="N12824" s="1"/>
    </row>
    <row r="12825" spans="6:15" x14ac:dyDescent="0.3">
      <c r="F12825" s="1"/>
      <c r="L12825" s="1"/>
      <c r="M12825" s="1"/>
      <c r="N12825" s="1"/>
    </row>
    <row r="12826" spans="6:15" x14ac:dyDescent="0.3">
      <c r="F12826" s="1"/>
    </row>
    <row r="12827" spans="6:15" x14ac:dyDescent="0.3">
      <c r="L12827" s="1"/>
      <c r="N12827" s="1"/>
      <c r="O12827" s="1"/>
    </row>
    <row r="12828" spans="6:15" x14ac:dyDescent="0.3">
      <c r="F12828" s="1"/>
    </row>
    <row r="12829" spans="6:15" x14ac:dyDescent="0.3">
      <c r="F12829" s="1"/>
    </row>
    <row r="12830" spans="6:15" x14ac:dyDescent="0.3">
      <c r="F12830" s="1"/>
      <c r="L12830" s="1"/>
      <c r="M12830" s="1"/>
    </row>
    <row r="12831" spans="6:15" x14ac:dyDescent="0.3">
      <c r="F12831" s="1"/>
    </row>
    <row r="12832" spans="6:15" x14ac:dyDescent="0.3">
      <c r="F12832" s="1"/>
      <c r="M12832" s="1"/>
    </row>
    <row r="12833" spans="6:13" x14ac:dyDescent="0.3">
      <c r="F12833" s="1"/>
      <c r="M12833" s="1"/>
    </row>
    <row r="12834" spans="6:13" x14ac:dyDescent="0.3">
      <c r="F12834" s="1"/>
    </row>
    <row r="12835" spans="6:13" x14ac:dyDescent="0.3">
      <c r="F12835" s="1"/>
    </row>
    <row r="12836" spans="6:13" x14ac:dyDescent="0.3">
      <c r="F12836" s="1"/>
    </row>
    <row r="12837" spans="6:13" x14ac:dyDescent="0.3">
      <c r="F12837" s="1"/>
    </row>
    <row r="12839" spans="6:13" x14ac:dyDescent="0.3">
      <c r="F12839" s="1"/>
    </row>
    <row r="12840" spans="6:13" x14ac:dyDescent="0.3">
      <c r="F12840" s="1"/>
    </row>
    <row r="12841" spans="6:13" x14ac:dyDescent="0.3">
      <c r="F12841" s="1"/>
    </row>
    <row r="12842" spans="6:13" x14ac:dyDescent="0.3">
      <c r="F12842" s="1"/>
    </row>
    <row r="12843" spans="6:13" x14ac:dyDescent="0.3">
      <c r="F12843" s="1"/>
    </row>
    <row r="12844" spans="6:13" x14ac:dyDescent="0.3">
      <c r="F12844" s="1"/>
    </row>
    <row r="12845" spans="6:13" x14ac:dyDescent="0.3">
      <c r="F12845" s="1"/>
    </row>
    <row r="12847" spans="6:13" x14ac:dyDescent="0.3">
      <c r="F12847" s="1"/>
    </row>
    <row r="12849" spans="6:15" x14ac:dyDescent="0.3">
      <c r="F12849" s="1"/>
    </row>
    <row r="12851" spans="6:15" x14ac:dyDescent="0.3">
      <c r="N12851" s="1"/>
      <c r="O12851" s="1"/>
    </row>
    <row r="12852" spans="6:15" x14ac:dyDescent="0.3">
      <c r="F12852" s="1"/>
    </row>
    <row r="12853" spans="6:15" x14ac:dyDescent="0.3">
      <c r="F12853" s="1"/>
    </row>
    <row r="12854" spans="6:15" x14ac:dyDescent="0.3">
      <c r="M12854" s="1"/>
    </row>
    <row r="12855" spans="6:15" x14ac:dyDescent="0.3">
      <c r="F12855" s="1"/>
    </row>
    <row r="12856" spans="6:15" x14ac:dyDescent="0.3">
      <c r="F12856" s="1"/>
    </row>
    <row r="12858" spans="6:15" x14ac:dyDescent="0.3">
      <c r="F12858" s="1"/>
      <c r="M12858" s="1"/>
    </row>
    <row r="12860" spans="6:15" x14ac:dyDescent="0.3">
      <c r="F12860" s="1"/>
    </row>
    <row r="12861" spans="6:15" x14ac:dyDescent="0.3">
      <c r="F12861" s="1"/>
    </row>
    <row r="12862" spans="6:15" x14ac:dyDescent="0.3">
      <c r="L12862" s="1"/>
      <c r="N12862" s="1"/>
      <c r="O12862" s="1"/>
    </row>
    <row r="12863" spans="6:15" x14ac:dyDescent="0.3">
      <c r="L12863" s="1"/>
      <c r="O12863" s="1"/>
    </row>
    <row r="12864" spans="6:15" x14ac:dyDescent="0.3">
      <c r="F12864" s="1"/>
    </row>
    <row r="12865" spans="6:6" x14ac:dyDescent="0.3">
      <c r="F12865" s="1"/>
    </row>
    <row r="12869" spans="6:6" x14ac:dyDescent="0.3">
      <c r="F12869" s="1"/>
    </row>
    <row r="12870" spans="6:6" x14ac:dyDescent="0.3">
      <c r="F12870" s="1"/>
    </row>
    <row r="12871" spans="6:6" x14ac:dyDescent="0.3">
      <c r="F12871" s="1"/>
    </row>
    <row r="12872" spans="6:6" x14ac:dyDescent="0.3">
      <c r="F12872" s="1"/>
    </row>
    <row r="12873" spans="6:6" x14ac:dyDescent="0.3">
      <c r="F12873" s="1"/>
    </row>
    <row r="12874" spans="6:6" x14ac:dyDescent="0.3">
      <c r="F12874" s="1"/>
    </row>
    <row r="12875" spans="6:6" x14ac:dyDescent="0.3">
      <c r="F12875" s="1"/>
    </row>
    <row r="12876" spans="6:6" x14ac:dyDescent="0.3">
      <c r="F12876" s="1"/>
    </row>
    <row r="12877" spans="6:6" x14ac:dyDescent="0.3">
      <c r="F12877" s="1"/>
    </row>
    <row r="12878" spans="6:6" x14ac:dyDescent="0.3">
      <c r="F12878" s="1"/>
    </row>
    <row r="12880" spans="6:6" x14ac:dyDescent="0.3">
      <c r="F12880" s="1"/>
    </row>
    <row r="12881" spans="6:12" x14ac:dyDescent="0.3">
      <c r="F12881" s="1"/>
    </row>
    <row r="12882" spans="6:12" x14ac:dyDescent="0.3">
      <c r="F12882" s="1"/>
    </row>
    <row r="12883" spans="6:12" x14ac:dyDescent="0.3">
      <c r="F12883" s="1"/>
    </row>
    <row r="12884" spans="6:12" x14ac:dyDescent="0.3">
      <c r="F12884" s="1"/>
    </row>
    <row r="12885" spans="6:12" x14ac:dyDescent="0.3">
      <c r="F12885" s="1"/>
    </row>
    <row r="12887" spans="6:12" x14ac:dyDescent="0.3">
      <c r="F12887" s="1"/>
    </row>
    <row r="12888" spans="6:12" x14ac:dyDescent="0.3">
      <c r="F12888" s="1"/>
    </row>
    <row r="12889" spans="6:12" x14ac:dyDescent="0.3">
      <c r="F12889" s="1"/>
      <c r="L12889" s="1"/>
    </row>
    <row r="12890" spans="6:12" x14ac:dyDescent="0.3">
      <c r="F12890" s="1"/>
    </row>
    <row r="12891" spans="6:12" x14ac:dyDescent="0.3">
      <c r="F12891" s="1"/>
    </row>
    <row r="12892" spans="6:12" x14ac:dyDescent="0.3">
      <c r="F12892" s="1"/>
    </row>
    <row r="12893" spans="6:12" x14ac:dyDescent="0.3">
      <c r="F12893" s="1"/>
    </row>
    <row r="12894" spans="6:12" x14ac:dyDescent="0.3">
      <c r="F12894" s="1"/>
    </row>
    <row r="12895" spans="6:12" x14ac:dyDescent="0.3">
      <c r="F12895" s="1"/>
    </row>
    <row r="12896" spans="6:12" x14ac:dyDescent="0.3">
      <c r="F12896" s="1"/>
    </row>
    <row r="12897" spans="6:15" x14ac:dyDescent="0.3">
      <c r="F12897" s="1"/>
    </row>
    <row r="12898" spans="6:15" x14ac:dyDescent="0.3">
      <c r="F12898" s="1"/>
    </row>
    <row r="12899" spans="6:15" x14ac:dyDescent="0.3">
      <c r="L12899" s="1"/>
    </row>
    <row r="12900" spans="6:15" x14ac:dyDescent="0.3">
      <c r="F12900" s="1"/>
    </row>
    <row r="12901" spans="6:15" x14ac:dyDescent="0.3">
      <c r="F12901" s="1"/>
    </row>
    <row r="12902" spans="6:15" x14ac:dyDescent="0.3">
      <c r="F12902" s="1"/>
    </row>
    <row r="12903" spans="6:15" x14ac:dyDescent="0.3">
      <c r="F12903" s="1"/>
    </row>
    <row r="12904" spans="6:15" x14ac:dyDescent="0.3">
      <c r="F12904" s="1"/>
      <c r="N12904" s="1"/>
    </row>
    <row r="12905" spans="6:15" x14ac:dyDescent="0.3">
      <c r="F12905" s="1"/>
      <c r="N12905" s="1"/>
      <c r="O12905" s="1"/>
    </row>
    <row r="12906" spans="6:15" x14ac:dyDescent="0.3">
      <c r="F12906" s="1"/>
    </row>
    <row r="12907" spans="6:15" x14ac:dyDescent="0.3">
      <c r="F12907" s="1"/>
    </row>
    <row r="12908" spans="6:15" x14ac:dyDescent="0.3">
      <c r="F12908" s="1"/>
    </row>
    <row r="12910" spans="6:15" x14ac:dyDescent="0.3">
      <c r="F12910" s="1"/>
    </row>
    <row r="12911" spans="6:15" x14ac:dyDescent="0.3">
      <c r="F12911" s="1"/>
    </row>
    <row r="12912" spans="6:15" x14ac:dyDescent="0.3">
      <c r="F12912" s="1"/>
    </row>
    <row r="12913" spans="6:6" x14ac:dyDescent="0.3">
      <c r="F12913" s="1"/>
    </row>
    <row r="12915" spans="6:6" x14ac:dyDescent="0.3">
      <c r="F12915" s="1"/>
    </row>
    <row r="12916" spans="6:6" x14ac:dyDescent="0.3">
      <c r="F12916" s="1"/>
    </row>
    <row r="12917" spans="6:6" x14ac:dyDescent="0.3">
      <c r="F12917" s="1"/>
    </row>
    <row r="12918" spans="6:6" x14ac:dyDescent="0.3">
      <c r="F12918" s="1"/>
    </row>
    <row r="12919" spans="6:6" x14ac:dyDescent="0.3">
      <c r="F12919" s="1"/>
    </row>
    <row r="12921" spans="6:6" x14ac:dyDescent="0.3">
      <c r="F12921" s="1"/>
    </row>
    <row r="12922" spans="6:6" x14ac:dyDescent="0.3">
      <c r="F12922" s="1"/>
    </row>
    <row r="12923" spans="6:6" x14ac:dyDescent="0.3">
      <c r="F12923" s="1"/>
    </row>
    <row r="12924" spans="6:6" x14ac:dyDescent="0.3">
      <c r="F12924" s="1"/>
    </row>
    <row r="12925" spans="6:6" x14ac:dyDescent="0.3">
      <c r="F12925" s="1"/>
    </row>
    <row r="12926" spans="6:6" x14ac:dyDescent="0.3">
      <c r="F12926" s="1"/>
    </row>
    <row r="12927" spans="6:6" x14ac:dyDescent="0.3">
      <c r="F12927" s="1"/>
    </row>
    <row r="12929" spans="6:15" x14ac:dyDescent="0.3">
      <c r="F12929" s="1"/>
    </row>
    <row r="12930" spans="6:15" x14ac:dyDescent="0.3">
      <c r="F12930" s="1"/>
    </row>
    <row r="12931" spans="6:15" x14ac:dyDescent="0.3">
      <c r="F12931" s="1"/>
    </row>
    <row r="12932" spans="6:15" x14ac:dyDescent="0.3">
      <c r="F12932" s="1"/>
    </row>
    <row r="12933" spans="6:15" x14ac:dyDescent="0.3">
      <c r="F12933" s="1"/>
      <c r="M12933" s="1"/>
    </row>
    <row r="12934" spans="6:15" x14ac:dyDescent="0.3">
      <c r="F12934" s="1"/>
    </row>
    <row r="12935" spans="6:15" x14ac:dyDescent="0.3">
      <c r="F12935" s="1"/>
    </row>
    <row r="12936" spans="6:15" x14ac:dyDescent="0.3">
      <c r="F12936" s="1"/>
    </row>
    <row r="12937" spans="6:15" x14ac:dyDescent="0.3">
      <c r="F12937" s="1"/>
    </row>
    <row r="12938" spans="6:15" x14ac:dyDescent="0.3">
      <c r="F12938" s="1"/>
    </row>
    <row r="12939" spans="6:15" x14ac:dyDescent="0.3">
      <c r="F12939" s="1"/>
      <c r="L12939" s="1"/>
    </row>
    <row r="12940" spans="6:15" x14ac:dyDescent="0.3">
      <c r="F12940" s="1"/>
    </row>
    <row r="12941" spans="6:15" x14ac:dyDescent="0.3">
      <c r="F12941" s="1"/>
    </row>
    <row r="12942" spans="6:15" x14ac:dyDescent="0.3">
      <c r="F12942" s="1"/>
      <c r="L12942" s="1"/>
    </row>
    <row r="12943" spans="6:15" x14ac:dyDescent="0.3">
      <c r="L12943" s="1"/>
      <c r="M12943" s="1"/>
      <c r="N12943" s="1"/>
      <c r="O12943" s="1"/>
    </row>
    <row r="12944" spans="6:15" x14ac:dyDescent="0.3">
      <c r="F12944" s="1"/>
    </row>
    <row r="12945" spans="6:15" x14ac:dyDescent="0.3">
      <c r="F12945" s="1"/>
    </row>
    <row r="12948" spans="6:15" x14ac:dyDescent="0.3">
      <c r="F12948" s="1"/>
    </row>
    <row r="12949" spans="6:15" x14ac:dyDescent="0.3">
      <c r="F12949" s="1"/>
    </row>
    <row r="12950" spans="6:15" x14ac:dyDescent="0.3">
      <c r="F12950" s="1"/>
      <c r="L12950" s="1"/>
      <c r="M12950" s="1"/>
    </row>
    <row r="12951" spans="6:15" x14ac:dyDescent="0.3">
      <c r="F12951" s="1"/>
    </row>
    <row r="12952" spans="6:15" x14ac:dyDescent="0.3">
      <c r="F12952" s="1"/>
    </row>
    <row r="12953" spans="6:15" x14ac:dyDescent="0.3">
      <c r="F12953" s="1"/>
    </row>
    <row r="12954" spans="6:15" x14ac:dyDescent="0.3">
      <c r="F12954" s="1"/>
    </row>
    <row r="12955" spans="6:15" x14ac:dyDescent="0.3">
      <c r="F12955" s="1"/>
    </row>
    <row r="12956" spans="6:15" x14ac:dyDescent="0.3">
      <c r="F12956" s="1"/>
      <c r="N12956" s="1"/>
      <c r="O12956" s="1"/>
    </row>
    <row r="12957" spans="6:15" x14ac:dyDescent="0.3">
      <c r="F12957" s="1"/>
    </row>
    <row r="12958" spans="6:15" x14ac:dyDescent="0.3">
      <c r="F12958" s="1"/>
      <c r="M12958" s="1"/>
    </row>
    <row r="12959" spans="6:15" x14ac:dyDescent="0.3">
      <c r="F12959" s="1"/>
    </row>
    <row r="12960" spans="6:15" x14ac:dyDescent="0.3">
      <c r="F12960" s="1"/>
    </row>
    <row r="12961" spans="6:14" x14ac:dyDescent="0.3">
      <c r="F12961" s="1"/>
    </row>
    <row r="12962" spans="6:14" x14ac:dyDescent="0.3">
      <c r="F12962" s="1"/>
    </row>
    <row r="12963" spans="6:14" x14ac:dyDescent="0.3">
      <c r="F12963" s="1"/>
    </row>
    <row r="12964" spans="6:14" x14ac:dyDescent="0.3">
      <c r="F12964" s="1"/>
    </row>
    <row r="12965" spans="6:14" x14ac:dyDescent="0.3">
      <c r="F12965" s="1"/>
    </row>
    <row r="12966" spans="6:14" x14ac:dyDescent="0.3">
      <c r="F12966" s="1"/>
    </row>
    <row r="12967" spans="6:14" x14ac:dyDescent="0.3">
      <c r="F12967" s="1"/>
    </row>
    <row r="12968" spans="6:14" x14ac:dyDescent="0.3">
      <c r="F12968" s="1"/>
    </row>
    <row r="12969" spans="6:14" x14ac:dyDescent="0.3">
      <c r="F12969" s="1"/>
    </row>
    <row r="12971" spans="6:14" x14ac:dyDescent="0.3">
      <c r="F12971" s="1"/>
      <c r="L12971" s="1"/>
      <c r="M12971" s="1"/>
      <c r="N12971" s="1"/>
    </row>
    <row r="12973" spans="6:14" x14ac:dyDescent="0.3">
      <c r="F12973" s="1"/>
    </row>
    <row r="12974" spans="6:14" x14ac:dyDescent="0.3">
      <c r="F12974" s="1"/>
    </row>
    <row r="12975" spans="6:14" x14ac:dyDescent="0.3">
      <c r="F12975" s="1"/>
    </row>
    <row r="12976" spans="6:14" x14ac:dyDescent="0.3">
      <c r="F12976" s="1"/>
    </row>
    <row r="12977" spans="6:15" x14ac:dyDescent="0.3">
      <c r="F12977" s="1"/>
    </row>
    <row r="12978" spans="6:15" x14ac:dyDescent="0.3">
      <c r="M12978" s="1"/>
      <c r="O12978" s="1"/>
    </row>
    <row r="12980" spans="6:15" x14ac:dyDescent="0.3">
      <c r="F12980" s="1"/>
    </row>
    <row r="12981" spans="6:15" x14ac:dyDescent="0.3">
      <c r="F12981" s="1"/>
    </row>
    <row r="12982" spans="6:15" x14ac:dyDescent="0.3">
      <c r="F12982" s="1"/>
    </row>
    <row r="12983" spans="6:15" x14ac:dyDescent="0.3">
      <c r="F12983" s="1"/>
    </row>
    <row r="12984" spans="6:15" x14ac:dyDescent="0.3">
      <c r="F12984" s="1"/>
    </row>
    <row r="12985" spans="6:15" x14ac:dyDescent="0.3">
      <c r="F12985" s="1"/>
    </row>
    <row r="12986" spans="6:15" x14ac:dyDescent="0.3">
      <c r="F12986" s="1"/>
      <c r="M12986" s="1"/>
    </row>
    <row r="12987" spans="6:15" x14ac:dyDescent="0.3">
      <c r="F12987" s="1"/>
    </row>
    <row r="12988" spans="6:15" x14ac:dyDescent="0.3">
      <c r="F12988" s="1"/>
    </row>
    <row r="12989" spans="6:15" x14ac:dyDescent="0.3">
      <c r="F12989" s="1"/>
    </row>
    <row r="12990" spans="6:15" x14ac:dyDescent="0.3">
      <c r="F12990" s="1"/>
    </row>
    <row r="12991" spans="6:15" x14ac:dyDescent="0.3">
      <c r="F12991" s="1"/>
    </row>
    <row r="12992" spans="6:15" x14ac:dyDescent="0.3">
      <c r="F12992" s="1"/>
    </row>
    <row r="12993" spans="6:15" x14ac:dyDescent="0.3">
      <c r="F12993" s="1"/>
    </row>
    <row r="12995" spans="6:15" x14ac:dyDescent="0.3">
      <c r="F12995" s="1"/>
    </row>
    <row r="12996" spans="6:15" x14ac:dyDescent="0.3">
      <c r="F12996" s="1"/>
    </row>
    <row r="12997" spans="6:15" x14ac:dyDescent="0.3">
      <c r="F12997" s="1"/>
    </row>
    <row r="12998" spans="6:15" x14ac:dyDescent="0.3">
      <c r="F12998" s="1"/>
    </row>
    <row r="13001" spans="6:15" x14ac:dyDescent="0.3">
      <c r="F13001" s="1"/>
    </row>
    <row r="13002" spans="6:15" x14ac:dyDescent="0.3">
      <c r="L13002" s="1"/>
      <c r="M13002" s="1"/>
      <c r="N13002" s="1"/>
      <c r="O13002" s="1"/>
    </row>
    <row r="13003" spans="6:15" x14ac:dyDescent="0.3">
      <c r="F13003" s="1"/>
    </row>
    <row r="13004" spans="6:15" x14ac:dyDescent="0.3">
      <c r="F13004" s="1"/>
    </row>
    <row r="13005" spans="6:15" x14ac:dyDescent="0.3">
      <c r="F13005" s="1"/>
    </row>
    <row r="13006" spans="6:15" x14ac:dyDescent="0.3">
      <c r="F13006" s="1"/>
    </row>
    <row r="13007" spans="6:15" x14ac:dyDescent="0.3">
      <c r="F13007" s="1"/>
    </row>
    <row r="13008" spans="6:15" x14ac:dyDescent="0.3">
      <c r="L13008" s="1"/>
      <c r="M13008" s="1"/>
      <c r="N13008" s="1"/>
      <c r="O13008" s="1"/>
    </row>
    <row r="13009" spans="6:14" x14ac:dyDescent="0.3">
      <c r="F13009" s="1"/>
    </row>
    <row r="13010" spans="6:14" x14ac:dyDescent="0.3">
      <c r="F13010" s="1"/>
    </row>
    <row r="13011" spans="6:14" x14ac:dyDescent="0.3">
      <c r="F13011" s="1"/>
    </row>
    <row r="13012" spans="6:14" x14ac:dyDescent="0.3">
      <c r="F13012" s="1"/>
    </row>
    <row r="13013" spans="6:14" x14ac:dyDescent="0.3">
      <c r="F13013" s="1"/>
    </row>
    <row r="13014" spans="6:14" x14ac:dyDescent="0.3">
      <c r="F13014" s="1"/>
    </row>
    <row r="13015" spans="6:14" x14ac:dyDescent="0.3">
      <c r="F13015" s="1"/>
    </row>
    <row r="13016" spans="6:14" x14ac:dyDescent="0.3">
      <c r="F13016" s="1"/>
    </row>
    <row r="13017" spans="6:14" x14ac:dyDescent="0.3">
      <c r="F13017" s="1"/>
    </row>
    <row r="13018" spans="6:14" x14ac:dyDescent="0.3">
      <c r="F13018" s="1"/>
      <c r="L13018" s="1"/>
      <c r="M13018" s="1"/>
      <c r="N13018" s="1"/>
    </row>
    <row r="13019" spans="6:14" x14ac:dyDescent="0.3">
      <c r="F13019" s="1"/>
    </row>
    <row r="13020" spans="6:14" x14ac:dyDescent="0.3">
      <c r="F13020" s="1"/>
    </row>
    <row r="13021" spans="6:14" x14ac:dyDescent="0.3">
      <c r="F13021" s="1"/>
      <c r="N13021" s="1"/>
    </row>
    <row r="13022" spans="6:14" x14ac:dyDescent="0.3">
      <c r="F13022" s="1"/>
      <c r="M13022" s="1"/>
    </row>
    <row r="13023" spans="6:14" x14ac:dyDescent="0.3">
      <c r="F13023" s="1"/>
    </row>
    <row r="13024" spans="6:14" x14ac:dyDescent="0.3">
      <c r="F13024" s="1"/>
    </row>
    <row r="13025" spans="6:13" x14ac:dyDescent="0.3">
      <c r="F13025" s="1"/>
    </row>
    <row r="13027" spans="6:13" x14ac:dyDescent="0.3">
      <c r="F13027" s="1"/>
    </row>
    <row r="13028" spans="6:13" x14ac:dyDescent="0.3">
      <c r="F13028" s="1"/>
    </row>
    <row r="13029" spans="6:13" x14ac:dyDescent="0.3">
      <c r="F13029" s="1"/>
    </row>
    <row r="13032" spans="6:13" x14ac:dyDescent="0.3">
      <c r="F13032" s="1"/>
      <c r="L13032" s="1"/>
      <c r="M13032" s="1"/>
    </row>
    <row r="13033" spans="6:13" x14ac:dyDescent="0.3">
      <c r="F13033" s="1"/>
    </row>
    <row r="13034" spans="6:13" x14ac:dyDescent="0.3">
      <c r="F13034" s="1"/>
    </row>
    <row r="13037" spans="6:13" x14ac:dyDescent="0.3">
      <c r="F13037" s="1"/>
    </row>
    <row r="13038" spans="6:13" x14ac:dyDescent="0.3">
      <c r="F13038" s="1"/>
    </row>
    <row r="13039" spans="6:13" x14ac:dyDescent="0.3">
      <c r="F13039" s="1"/>
    </row>
    <row r="13040" spans="6:13" x14ac:dyDescent="0.3">
      <c r="F13040" s="1"/>
    </row>
    <row r="13041" spans="6:15" x14ac:dyDescent="0.3">
      <c r="F13041" s="1"/>
    </row>
    <row r="13042" spans="6:15" x14ac:dyDescent="0.3">
      <c r="F13042" s="1"/>
    </row>
    <row r="13043" spans="6:15" x14ac:dyDescent="0.3">
      <c r="F13043" s="1"/>
    </row>
    <row r="13045" spans="6:15" x14ac:dyDescent="0.3">
      <c r="F13045" s="1"/>
    </row>
    <row r="13046" spans="6:15" x14ac:dyDescent="0.3">
      <c r="F13046" s="1"/>
    </row>
    <row r="13047" spans="6:15" x14ac:dyDescent="0.3">
      <c r="F13047" s="1"/>
      <c r="L13047" s="1"/>
      <c r="M13047" s="1"/>
      <c r="N13047" s="1"/>
      <c r="O13047" s="1"/>
    </row>
    <row r="13048" spans="6:15" x14ac:dyDescent="0.3">
      <c r="F13048" s="1"/>
    </row>
    <row r="13049" spans="6:15" x14ac:dyDescent="0.3">
      <c r="F13049" s="1"/>
    </row>
    <row r="13050" spans="6:15" x14ac:dyDescent="0.3">
      <c r="F13050" s="1"/>
    </row>
    <row r="13052" spans="6:15" x14ac:dyDescent="0.3">
      <c r="F13052" s="1"/>
    </row>
    <row r="13055" spans="6:15" x14ac:dyDescent="0.3">
      <c r="F13055" s="1"/>
    </row>
    <row r="13056" spans="6:15" x14ac:dyDescent="0.3">
      <c r="F13056" s="1"/>
    </row>
    <row r="13057" spans="6:6" x14ac:dyDescent="0.3">
      <c r="F13057" s="1"/>
    </row>
    <row r="13058" spans="6:6" x14ac:dyDescent="0.3">
      <c r="F13058" s="1"/>
    </row>
    <row r="13059" spans="6:6" x14ac:dyDescent="0.3">
      <c r="F13059" s="1"/>
    </row>
    <row r="13060" spans="6:6" x14ac:dyDescent="0.3">
      <c r="F13060" s="1"/>
    </row>
    <row r="13061" spans="6:6" x14ac:dyDescent="0.3">
      <c r="F13061" s="1"/>
    </row>
    <row r="13062" spans="6:6" x14ac:dyDescent="0.3">
      <c r="F13062" s="1"/>
    </row>
    <row r="13063" spans="6:6" x14ac:dyDescent="0.3">
      <c r="F13063" s="1"/>
    </row>
    <row r="13064" spans="6:6" x14ac:dyDescent="0.3">
      <c r="F13064" s="1"/>
    </row>
    <row r="13065" spans="6:6" x14ac:dyDescent="0.3">
      <c r="F13065" s="1"/>
    </row>
    <row r="13068" spans="6:6" x14ac:dyDescent="0.3">
      <c r="F13068" s="1"/>
    </row>
    <row r="13069" spans="6:6" x14ac:dyDescent="0.3">
      <c r="F13069" s="1"/>
    </row>
    <row r="13071" spans="6:6" x14ac:dyDescent="0.3">
      <c r="F13071" s="1"/>
    </row>
    <row r="13072" spans="6:6" x14ac:dyDescent="0.3">
      <c r="F13072" s="1"/>
    </row>
    <row r="13074" spans="6:15" x14ac:dyDescent="0.3">
      <c r="F13074" s="1"/>
    </row>
    <row r="13075" spans="6:15" x14ac:dyDescent="0.3">
      <c r="F13075" s="1"/>
    </row>
    <row r="13076" spans="6:15" x14ac:dyDescent="0.3">
      <c r="F13076" s="1"/>
    </row>
    <row r="13077" spans="6:15" x14ac:dyDescent="0.3">
      <c r="F13077" s="1"/>
    </row>
    <row r="13079" spans="6:15" x14ac:dyDescent="0.3">
      <c r="F13079" s="1"/>
    </row>
    <row r="13080" spans="6:15" x14ac:dyDescent="0.3">
      <c r="F13080" s="1"/>
    </row>
    <row r="13081" spans="6:15" x14ac:dyDescent="0.3">
      <c r="F13081" s="1"/>
    </row>
    <row r="13083" spans="6:15" x14ac:dyDescent="0.3">
      <c r="F13083" s="1"/>
    </row>
    <row r="13084" spans="6:15" x14ac:dyDescent="0.3">
      <c r="L13084" s="1"/>
      <c r="M13084" s="1"/>
      <c r="O13084" s="1"/>
    </row>
    <row r="13085" spans="6:15" x14ac:dyDescent="0.3">
      <c r="F13085" s="1"/>
    </row>
    <row r="13086" spans="6:15" x14ac:dyDescent="0.3">
      <c r="F13086" s="1"/>
    </row>
    <row r="13088" spans="6:15" x14ac:dyDescent="0.3">
      <c r="F13088" s="1"/>
    </row>
    <row r="13089" spans="6:12" x14ac:dyDescent="0.3">
      <c r="F13089" s="1"/>
    </row>
    <row r="13091" spans="6:12" x14ac:dyDescent="0.3">
      <c r="F13091" s="1"/>
    </row>
    <row r="13092" spans="6:12" x14ac:dyDescent="0.3">
      <c r="F13092" s="1"/>
    </row>
    <row r="13093" spans="6:12" x14ac:dyDescent="0.3">
      <c r="F13093" s="1"/>
    </row>
    <row r="13094" spans="6:12" x14ac:dyDescent="0.3">
      <c r="F13094" s="1"/>
    </row>
    <row r="13095" spans="6:12" x14ac:dyDescent="0.3">
      <c r="F13095" s="1"/>
    </row>
    <row r="13096" spans="6:12" x14ac:dyDescent="0.3">
      <c r="F13096" s="1"/>
    </row>
    <row r="13097" spans="6:12" x14ac:dyDescent="0.3">
      <c r="F13097" s="1"/>
    </row>
    <row r="13098" spans="6:12" x14ac:dyDescent="0.3">
      <c r="F13098" s="1"/>
      <c r="L13098" s="1"/>
    </row>
    <row r="13099" spans="6:12" x14ac:dyDescent="0.3">
      <c r="F13099" s="1"/>
    </row>
    <row r="13100" spans="6:12" x14ac:dyDescent="0.3">
      <c r="F13100" s="1"/>
    </row>
    <row r="13101" spans="6:12" x14ac:dyDescent="0.3">
      <c r="F13101" s="1"/>
      <c r="L13101" s="1"/>
    </row>
    <row r="13102" spans="6:12" x14ac:dyDescent="0.3">
      <c r="F13102" s="1"/>
    </row>
    <row r="13104" spans="6:12" x14ac:dyDescent="0.3">
      <c r="F13104" s="1"/>
    </row>
    <row r="13105" spans="6:13" x14ac:dyDescent="0.3">
      <c r="F13105" s="1"/>
    </row>
    <row r="13106" spans="6:13" x14ac:dyDescent="0.3">
      <c r="F13106" s="1"/>
    </row>
    <row r="13107" spans="6:13" x14ac:dyDescent="0.3">
      <c r="F13107" s="1"/>
      <c r="L13107" s="1"/>
    </row>
    <row r="13108" spans="6:13" x14ac:dyDescent="0.3">
      <c r="F13108" s="1"/>
    </row>
    <row r="13109" spans="6:13" x14ac:dyDescent="0.3">
      <c r="M13109" s="1"/>
    </row>
    <row r="13110" spans="6:13" x14ac:dyDescent="0.3">
      <c r="F13110" s="1"/>
    </row>
    <row r="13111" spans="6:13" x14ac:dyDescent="0.3">
      <c r="F13111" s="1"/>
    </row>
    <row r="13113" spans="6:13" x14ac:dyDescent="0.3">
      <c r="F13113" s="1"/>
    </row>
    <row r="13114" spans="6:13" x14ac:dyDescent="0.3">
      <c r="F13114" s="1"/>
      <c r="M13114" s="1"/>
    </row>
    <row r="13116" spans="6:13" x14ac:dyDescent="0.3">
      <c r="F13116" s="1"/>
    </row>
    <row r="13117" spans="6:13" x14ac:dyDescent="0.3">
      <c r="F13117" s="1"/>
    </row>
    <row r="13118" spans="6:13" x14ac:dyDescent="0.3">
      <c r="F13118" s="1"/>
    </row>
    <row r="13119" spans="6:13" x14ac:dyDescent="0.3">
      <c r="F13119" s="1"/>
    </row>
    <row r="13121" spans="6:15" x14ac:dyDescent="0.3">
      <c r="L13121" s="1"/>
      <c r="N13121" s="1"/>
      <c r="O13121" s="1"/>
    </row>
    <row r="13122" spans="6:15" x14ac:dyDescent="0.3">
      <c r="F13122" s="1"/>
    </row>
    <row r="13123" spans="6:15" x14ac:dyDescent="0.3">
      <c r="F13123" s="1"/>
    </row>
    <row r="13124" spans="6:15" x14ac:dyDescent="0.3">
      <c r="N13124" s="1"/>
    </row>
    <row r="13125" spans="6:15" x14ac:dyDescent="0.3">
      <c r="F13125" s="1"/>
      <c r="L13125" s="1"/>
      <c r="O13125" s="1"/>
    </row>
    <row r="13126" spans="6:15" x14ac:dyDescent="0.3">
      <c r="F13126" s="1"/>
    </row>
    <row r="13127" spans="6:15" x14ac:dyDescent="0.3">
      <c r="F13127" s="1"/>
    </row>
    <row r="13129" spans="6:15" x14ac:dyDescent="0.3">
      <c r="F13129" s="1"/>
    </row>
    <row r="13130" spans="6:15" x14ac:dyDescent="0.3">
      <c r="L13130" s="1"/>
    </row>
    <row r="13131" spans="6:15" x14ac:dyDescent="0.3">
      <c r="F13131" s="1"/>
    </row>
    <row r="13132" spans="6:15" x14ac:dyDescent="0.3">
      <c r="F13132" s="1"/>
    </row>
    <row r="13133" spans="6:15" x14ac:dyDescent="0.3">
      <c r="F13133" s="1"/>
      <c r="N13133" s="1"/>
    </row>
    <row r="13134" spans="6:15" x14ac:dyDescent="0.3">
      <c r="F13134" s="1"/>
    </row>
    <row r="13135" spans="6:15" x14ac:dyDescent="0.3">
      <c r="F13135" s="1"/>
    </row>
    <row r="13137" spans="6:15" x14ac:dyDescent="0.3">
      <c r="F13137" s="1"/>
    </row>
    <row r="13138" spans="6:15" x14ac:dyDescent="0.3">
      <c r="F13138" s="1"/>
    </row>
    <row r="13139" spans="6:15" x14ac:dyDescent="0.3">
      <c r="F13139" s="1"/>
    </row>
    <row r="13140" spans="6:15" x14ac:dyDescent="0.3">
      <c r="F13140" s="1"/>
    </row>
    <row r="13141" spans="6:15" x14ac:dyDescent="0.3">
      <c r="F13141" s="1"/>
    </row>
    <row r="13142" spans="6:15" x14ac:dyDescent="0.3">
      <c r="F13142" s="1"/>
    </row>
    <row r="13143" spans="6:15" x14ac:dyDescent="0.3">
      <c r="F13143" s="1"/>
    </row>
    <row r="13144" spans="6:15" x14ac:dyDescent="0.3">
      <c r="F13144" s="1"/>
    </row>
    <row r="13146" spans="6:15" x14ac:dyDescent="0.3">
      <c r="F13146" s="1"/>
    </row>
    <row r="13147" spans="6:15" x14ac:dyDescent="0.3">
      <c r="F13147" s="1"/>
    </row>
    <row r="13148" spans="6:15" x14ac:dyDescent="0.3">
      <c r="L13148" s="1"/>
      <c r="M13148" s="1"/>
      <c r="O13148" s="1"/>
    </row>
    <row r="13149" spans="6:15" x14ac:dyDescent="0.3">
      <c r="F13149" s="1"/>
    </row>
    <row r="13150" spans="6:15" x14ac:dyDescent="0.3">
      <c r="F13150" s="1"/>
    </row>
    <row r="13151" spans="6:15" x14ac:dyDescent="0.3">
      <c r="F13151" s="1"/>
    </row>
    <row r="13152" spans="6:15" x14ac:dyDescent="0.3">
      <c r="F13152" s="1"/>
    </row>
    <row r="13153" spans="6:15" x14ac:dyDescent="0.3">
      <c r="M13153" s="1"/>
      <c r="N13153" s="1"/>
      <c r="O13153" s="1"/>
    </row>
    <row r="13154" spans="6:15" x14ac:dyDescent="0.3">
      <c r="F13154" s="1"/>
    </row>
    <row r="13155" spans="6:15" x14ac:dyDescent="0.3">
      <c r="F13155" s="1"/>
    </row>
    <row r="13156" spans="6:15" x14ac:dyDescent="0.3">
      <c r="F13156" s="1"/>
    </row>
    <row r="13157" spans="6:15" x14ac:dyDescent="0.3">
      <c r="F13157" s="1"/>
    </row>
    <row r="13158" spans="6:15" x14ac:dyDescent="0.3">
      <c r="F13158" s="1"/>
    </row>
    <row r="13159" spans="6:15" x14ac:dyDescent="0.3">
      <c r="F13159" s="1"/>
    </row>
    <row r="13160" spans="6:15" x14ac:dyDescent="0.3">
      <c r="F13160" s="1"/>
      <c r="N13160" s="1"/>
    </row>
    <row r="13161" spans="6:15" x14ac:dyDescent="0.3">
      <c r="F13161" s="1"/>
      <c r="M13161" s="1"/>
    </row>
    <row r="13162" spans="6:15" x14ac:dyDescent="0.3">
      <c r="F13162" s="1"/>
    </row>
    <row r="13163" spans="6:15" x14ac:dyDescent="0.3">
      <c r="F13163" s="1"/>
    </row>
    <row r="13164" spans="6:15" x14ac:dyDescent="0.3">
      <c r="F13164" s="1"/>
    </row>
    <row r="13165" spans="6:15" x14ac:dyDescent="0.3">
      <c r="F13165" s="1"/>
    </row>
    <row r="13166" spans="6:15" x14ac:dyDescent="0.3">
      <c r="F13166" s="1"/>
    </row>
    <row r="13167" spans="6:15" x14ac:dyDescent="0.3">
      <c r="F13167" s="1"/>
    </row>
    <row r="13168" spans="6:15" x14ac:dyDescent="0.3">
      <c r="F13168" s="1"/>
    </row>
    <row r="13169" spans="6:14" x14ac:dyDescent="0.3">
      <c r="F13169" s="1"/>
    </row>
    <row r="13170" spans="6:14" x14ac:dyDescent="0.3">
      <c r="F13170" s="1"/>
    </row>
    <row r="13171" spans="6:14" x14ac:dyDescent="0.3">
      <c r="F13171" s="1"/>
    </row>
    <row r="13172" spans="6:14" x14ac:dyDescent="0.3">
      <c r="F13172" s="1"/>
    </row>
    <row r="13173" spans="6:14" x14ac:dyDescent="0.3">
      <c r="L13173" s="1"/>
      <c r="M13173" s="1"/>
    </row>
    <row r="13174" spans="6:14" x14ac:dyDescent="0.3">
      <c r="F13174" s="1"/>
    </row>
    <row r="13176" spans="6:14" x14ac:dyDescent="0.3">
      <c r="F13176" s="1"/>
    </row>
    <row r="13177" spans="6:14" x14ac:dyDescent="0.3">
      <c r="F13177" s="1"/>
      <c r="M13177" s="1"/>
    </row>
    <row r="13178" spans="6:14" x14ac:dyDescent="0.3">
      <c r="F13178" s="1"/>
    </row>
    <row r="13179" spans="6:14" x14ac:dyDescent="0.3">
      <c r="F13179" s="1"/>
    </row>
    <row r="13180" spans="6:14" x14ac:dyDescent="0.3">
      <c r="F13180" s="1"/>
    </row>
    <row r="13183" spans="6:14" x14ac:dyDescent="0.3">
      <c r="N13183" s="1"/>
    </row>
    <row r="13185" spans="6:15" x14ac:dyDescent="0.3">
      <c r="F13185" s="1"/>
    </row>
    <row r="13186" spans="6:15" x14ac:dyDescent="0.3">
      <c r="F13186" s="1"/>
      <c r="L13186" s="1"/>
      <c r="M13186" s="1"/>
      <c r="N13186" s="1"/>
      <c r="O13186" s="1"/>
    </row>
    <row r="13187" spans="6:15" x14ac:dyDescent="0.3">
      <c r="F13187" s="1"/>
    </row>
    <row r="13188" spans="6:15" x14ac:dyDescent="0.3">
      <c r="F13188" s="1"/>
    </row>
    <row r="13189" spans="6:15" x14ac:dyDescent="0.3">
      <c r="F13189" s="1"/>
    </row>
    <row r="13190" spans="6:15" x14ac:dyDescent="0.3">
      <c r="F13190" s="1"/>
    </row>
    <row r="13191" spans="6:15" x14ac:dyDescent="0.3">
      <c r="F13191" s="1"/>
    </row>
    <row r="13192" spans="6:15" x14ac:dyDescent="0.3">
      <c r="F13192" s="1"/>
    </row>
    <row r="13193" spans="6:15" x14ac:dyDescent="0.3">
      <c r="F13193" s="1"/>
    </row>
    <row r="13194" spans="6:15" x14ac:dyDescent="0.3">
      <c r="F13194" s="1"/>
    </row>
    <row r="13195" spans="6:15" x14ac:dyDescent="0.3">
      <c r="F13195" s="1"/>
    </row>
    <row r="13196" spans="6:15" x14ac:dyDescent="0.3">
      <c r="F13196" s="1"/>
    </row>
    <row r="13197" spans="6:15" x14ac:dyDescent="0.3">
      <c r="F13197" s="1"/>
    </row>
    <row r="13198" spans="6:15" x14ac:dyDescent="0.3">
      <c r="F13198" s="1"/>
    </row>
    <row r="13199" spans="6:15" x14ac:dyDescent="0.3">
      <c r="F13199" s="1"/>
    </row>
    <row r="13200" spans="6:15" x14ac:dyDescent="0.3">
      <c r="F13200" s="1"/>
    </row>
    <row r="13201" spans="6:6" x14ac:dyDescent="0.3">
      <c r="F13201" s="1"/>
    </row>
    <row r="13205" spans="6:6" x14ac:dyDescent="0.3">
      <c r="F13205" s="1"/>
    </row>
    <row r="13206" spans="6:6" x14ac:dyDescent="0.3">
      <c r="F13206" s="1"/>
    </row>
    <row r="13207" spans="6:6" x14ac:dyDescent="0.3">
      <c r="F13207" s="1"/>
    </row>
    <row r="13208" spans="6:6" x14ac:dyDescent="0.3">
      <c r="F13208" s="1"/>
    </row>
    <row r="13209" spans="6:6" x14ac:dyDescent="0.3">
      <c r="F13209" s="1"/>
    </row>
    <row r="13211" spans="6:6" x14ac:dyDescent="0.3">
      <c r="F13211" s="1"/>
    </row>
    <row r="13212" spans="6:6" x14ac:dyDescent="0.3">
      <c r="F13212" s="1"/>
    </row>
    <row r="13213" spans="6:6" x14ac:dyDescent="0.3">
      <c r="F13213" s="1"/>
    </row>
    <row r="13214" spans="6:6" x14ac:dyDescent="0.3">
      <c r="F13214" s="1"/>
    </row>
    <row r="13215" spans="6:6" x14ac:dyDescent="0.3">
      <c r="F13215" s="1"/>
    </row>
    <row r="13216" spans="6:6" x14ac:dyDescent="0.3">
      <c r="F13216" s="1"/>
    </row>
    <row r="13217" spans="6:15" x14ac:dyDescent="0.3">
      <c r="F13217" s="1"/>
    </row>
    <row r="13218" spans="6:15" x14ac:dyDescent="0.3">
      <c r="F13218" s="1"/>
    </row>
    <row r="13219" spans="6:15" x14ac:dyDescent="0.3">
      <c r="F13219" s="1"/>
    </row>
    <row r="13220" spans="6:15" x14ac:dyDescent="0.3">
      <c r="F13220" s="1"/>
    </row>
    <row r="13221" spans="6:15" x14ac:dyDescent="0.3">
      <c r="F13221" s="1"/>
    </row>
    <row r="13222" spans="6:15" x14ac:dyDescent="0.3">
      <c r="F13222" s="1"/>
    </row>
    <row r="13223" spans="6:15" x14ac:dyDescent="0.3">
      <c r="F13223" s="1"/>
    </row>
    <row r="13224" spans="6:15" x14ac:dyDescent="0.3">
      <c r="F13224" s="1"/>
    </row>
    <row r="13225" spans="6:15" x14ac:dyDescent="0.3">
      <c r="F13225" s="1"/>
    </row>
    <row r="13226" spans="6:15" x14ac:dyDescent="0.3">
      <c r="F13226" s="1"/>
      <c r="M13226" s="1"/>
    </row>
    <row r="13227" spans="6:15" x14ac:dyDescent="0.3">
      <c r="F13227" s="1"/>
      <c r="M13227" s="1"/>
    </row>
    <row r="13228" spans="6:15" x14ac:dyDescent="0.3">
      <c r="F13228" s="1"/>
    </row>
    <row r="13229" spans="6:15" x14ac:dyDescent="0.3">
      <c r="F13229" s="1"/>
    </row>
    <row r="13230" spans="6:15" x14ac:dyDescent="0.3">
      <c r="N13230" s="1"/>
      <c r="O13230" s="1"/>
    </row>
    <row r="13231" spans="6:15" x14ac:dyDescent="0.3">
      <c r="F13231" s="1"/>
    </row>
    <row r="13232" spans="6:15" x14ac:dyDescent="0.3">
      <c r="F13232" s="1"/>
    </row>
    <row r="13233" spans="6:6" x14ac:dyDescent="0.3">
      <c r="F13233" s="1"/>
    </row>
    <row r="13234" spans="6:6" x14ac:dyDescent="0.3">
      <c r="F13234" s="1"/>
    </row>
    <row r="13235" spans="6:6" x14ac:dyDescent="0.3">
      <c r="F13235" s="1"/>
    </row>
    <row r="13236" spans="6:6" x14ac:dyDescent="0.3">
      <c r="F13236" s="1"/>
    </row>
    <row r="13237" spans="6:6" x14ac:dyDescent="0.3">
      <c r="F13237" s="1"/>
    </row>
    <row r="13238" spans="6:6" x14ac:dyDescent="0.3">
      <c r="F13238" s="1"/>
    </row>
    <row r="13239" spans="6:6" x14ac:dyDescent="0.3">
      <c r="F13239" s="1"/>
    </row>
    <row r="13240" spans="6:6" x14ac:dyDescent="0.3">
      <c r="F13240" s="1"/>
    </row>
    <row r="13241" spans="6:6" x14ac:dyDescent="0.3">
      <c r="F13241" s="1"/>
    </row>
    <row r="13242" spans="6:6" x14ac:dyDescent="0.3">
      <c r="F13242" s="1"/>
    </row>
    <row r="13243" spans="6:6" x14ac:dyDescent="0.3">
      <c r="F13243" s="1"/>
    </row>
    <row r="13244" spans="6:6" x14ac:dyDescent="0.3">
      <c r="F13244" s="1"/>
    </row>
    <row r="13245" spans="6:6" x14ac:dyDescent="0.3">
      <c r="F13245" s="1"/>
    </row>
    <row r="13246" spans="6:6" x14ac:dyDescent="0.3">
      <c r="F13246" s="1"/>
    </row>
    <row r="13247" spans="6:6" x14ac:dyDescent="0.3">
      <c r="F13247" s="1"/>
    </row>
    <row r="13248" spans="6:6" x14ac:dyDescent="0.3">
      <c r="F13248" s="1"/>
    </row>
    <row r="13250" spans="6:12" x14ac:dyDescent="0.3">
      <c r="F13250" s="1"/>
      <c r="L13250" s="1"/>
    </row>
    <row r="13251" spans="6:12" x14ac:dyDescent="0.3">
      <c r="F13251" s="1"/>
    </row>
    <row r="13252" spans="6:12" x14ac:dyDescent="0.3">
      <c r="F13252" s="1"/>
    </row>
    <row r="13253" spans="6:12" x14ac:dyDescent="0.3">
      <c r="F13253" s="1"/>
    </row>
    <row r="13254" spans="6:12" x14ac:dyDescent="0.3">
      <c r="F13254" s="1"/>
    </row>
    <row r="13255" spans="6:12" x14ac:dyDescent="0.3">
      <c r="F13255" s="1"/>
    </row>
    <row r="13256" spans="6:12" x14ac:dyDescent="0.3">
      <c r="F13256" s="1"/>
    </row>
    <row r="13257" spans="6:12" x14ac:dyDescent="0.3">
      <c r="F13257" s="1"/>
    </row>
    <row r="13258" spans="6:12" x14ac:dyDescent="0.3">
      <c r="F13258" s="1"/>
    </row>
    <row r="13259" spans="6:12" x14ac:dyDescent="0.3">
      <c r="F13259" s="1"/>
    </row>
    <row r="13260" spans="6:12" x14ac:dyDescent="0.3">
      <c r="F13260" s="1"/>
    </row>
    <row r="13261" spans="6:12" x14ac:dyDescent="0.3">
      <c r="F13261" s="1"/>
    </row>
    <row r="13262" spans="6:12" x14ac:dyDescent="0.3">
      <c r="F13262" s="1"/>
    </row>
    <row r="13263" spans="6:12" x14ac:dyDescent="0.3">
      <c r="F13263" s="1"/>
    </row>
    <row r="13264" spans="6:12" x14ac:dyDescent="0.3">
      <c r="F13264" s="1"/>
    </row>
    <row r="13265" spans="6:14" x14ac:dyDescent="0.3">
      <c r="L13265" s="1"/>
    </row>
    <row r="13266" spans="6:14" x14ac:dyDescent="0.3">
      <c r="F13266" s="1"/>
    </row>
    <row r="13267" spans="6:14" x14ac:dyDescent="0.3">
      <c r="F13267" s="1"/>
    </row>
    <row r="13268" spans="6:14" x14ac:dyDescent="0.3">
      <c r="F13268" s="1"/>
    </row>
    <row r="13269" spans="6:14" x14ac:dyDescent="0.3">
      <c r="F13269" s="1"/>
    </row>
    <row r="13270" spans="6:14" x14ac:dyDescent="0.3">
      <c r="F13270" s="1"/>
    </row>
    <row r="13271" spans="6:14" x14ac:dyDescent="0.3">
      <c r="F13271" s="1"/>
      <c r="L13271" s="1"/>
      <c r="N13271" s="1"/>
    </row>
    <row r="13272" spans="6:14" x14ac:dyDescent="0.3">
      <c r="F13272" s="1"/>
    </row>
    <row r="13273" spans="6:14" x14ac:dyDescent="0.3">
      <c r="F13273" s="1"/>
      <c r="N13273" s="1"/>
    </row>
    <row r="13274" spans="6:14" x14ac:dyDescent="0.3">
      <c r="F13274" s="1"/>
    </row>
    <row r="13275" spans="6:14" x14ac:dyDescent="0.3">
      <c r="F13275" s="1"/>
    </row>
    <row r="13277" spans="6:14" x14ac:dyDescent="0.3">
      <c r="F13277" s="1"/>
    </row>
    <row r="13278" spans="6:14" x14ac:dyDescent="0.3">
      <c r="F13278" s="1"/>
    </row>
    <row r="13279" spans="6:14" x14ac:dyDescent="0.3">
      <c r="F13279" s="1"/>
    </row>
    <row r="13280" spans="6:14" x14ac:dyDescent="0.3">
      <c r="F13280" s="1"/>
    </row>
    <row r="13281" spans="6:15" x14ac:dyDescent="0.3">
      <c r="F13281" s="1"/>
    </row>
    <row r="13282" spans="6:15" x14ac:dyDescent="0.3">
      <c r="F13282" s="1"/>
    </row>
    <row r="13283" spans="6:15" x14ac:dyDescent="0.3">
      <c r="F13283" s="1"/>
    </row>
    <row r="13284" spans="6:15" x14ac:dyDescent="0.3">
      <c r="F13284" s="1"/>
    </row>
    <row r="13285" spans="6:15" x14ac:dyDescent="0.3">
      <c r="F13285" s="1"/>
    </row>
    <row r="13286" spans="6:15" x14ac:dyDescent="0.3">
      <c r="F13286" s="1"/>
    </row>
    <row r="13287" spans="6:15" x14ac:dyDescent="0.3">
      <c r="F13287" s="1"/>
    </row>
    <row r="13288" spans="6:15" x14ac:dyDescent="0.3">
      <c r="F13288" s="1"/>
      <c r="L13288" s="1"/>
    </row>
    <row r="13290" spans="6:15" x14ac:dyDescent="0.3">
      <c r="F13290" s="1"/>
      <c r="M13290" s="1"/>
      <c r="N13290" s="1"/>
      <c r="O13290" s="1"/>
    </row>
    <row r="13291" spans="6:15" x14ac:dyDescent="0.3">
      <c r="F13291" s="1"/>
      <c r="L13291" s="1"/>
      <c r="N13291" s="1"/>
      <c r="O13291" s="1"/>
    </row>
    <row r="13292" spans="6:15" x14ac:dyDescent="0.3">
      <c r="F13292" s="1"/>
    </row>
    <row r="13294" spans="6:15" x14ac:dyDescent="0.3">
      <c r="F13294" s="1"/>
      <c r="M13294" s="1"/>
    </row>
    <row r="13295" spans="6:15" x14ac:dyDescent="0.3">
      <c r="F13295" s="1"/>
    </row>
    <row r="13296" spans="6:15" x14ac:dyDescent="0.3">
      <c r="N13296" s="1"/>
    </row>
    <row r="13297" spans="6:15" x14ac:dyDescent="0.3">
      <c r="F13297" s="1"/>
    </row>
    <row r="13298" spans="6:15" x14ac:dyDescent="0.3">
      <c r="F13298" s="1"/>
      <c r="L13298" s="1"/>
      <c r="M13298" s="1"/>
      <c r="O13298" s="1"/>
    </row>
    <row r="13299" spans="6:15" x14ac:dyDescent="0.3">
      <c r="N13299" s="1"/>
    </row>
    <row r="13300" spans="6:15" x14ac:dyDescent="0.3">
      <c r="F13300" s="1"/>
    </row>
    <row r="13301" spans="6:15" x14ac:dyDescent="0.3">
      <c r="F13301" s="1"/>
    </row>
    <row r="13303" spans="6:15" x14ac:dyDescent="0.3">
      <c r="F13303" s="1"/>
    </row>
    <row r="13304" spans="6:15" x14ac:dyDescent="0.3">
      <c r="F13304" s="1"/>
    </row>
    <row r="13305" spans="6:15" x14ac:dyDescent="0.3">
      <c r="F13305" s="1"/>
    </row>
    <row r="13306" spans="6:15" x14ac:dyDescent="0.3">
      <c r="F13306" s="1"/>
    </row>
    <row r="13308" spans="6:15" x14ac:dyDescent="0.3">
      <c r="F13308" s="1"/>
    </row>
    <row r="13310" spans="6:15" x14ac:dyDescent="0.3">
      <c r="F13310" s="1"/>
    </row>
    <row r="13311" spans="6:15" x14ac:dyDescent="0.3">
      <c r="F13311" s="1"/>
    </row>
    <row r="13312" spans="6:15" x14ac:dyDescent="0.3">
      <c r="F13312" s="1"/>
    </row>
    <row r="13313" spans="6:15" x14ac:dyDescent="0.3">
      <c r="F13313" s="1"/>
    </row>
    <row r="13314" spans="6:15" x14ac:dyDescent="0.3">
      <c r="F13314" s="1"/>
    </row>
    <row r="13316" spans="6:15" x14ac:dyDescent="0.3">
      <c r="F13316" s="1"/>
    </row>
    <row r="13317" spans="6:15" x14ac:dyDescent="0.3">
      <c r="F13317" s="1"/>
    </row>
    <row r="13319" spans="6:15" x14ac:dyDescent="0.3">
      <c r="F13319" s="1"/>
    </row>
    <row r="13320" spans="6:15" x14ac:dyDescent="0.3">
      <c r="F13320" s="1"/>
      <c r="L13320" s="1"/>
      <c r="O13320" s="1"/>
    </row>
    <row r="13321" spans="6:15" x14ac:dyDescent="0.3">
      <c r="F13321" s="1"/>
      <c r="O13321" s="1"/>
    </row>
    <row r="13322" spans="6:15" x14ac:dyDescent="0.3">
      <c r="N13322" s="1"/>
    </row>
    <row r="13323" spans="6:15" x14ac:dyDescent="0.3">
      <c r="F13323" s="1"/>
    </row>
    <row r="13324" spans="6:15" x14ac:dyDescent="0.3">
      <c r="F13324" s="1"/>
    </row>
    <row r="13325" spans="6:15" x14ac:dyDescent="0.3">
      <c r="L13325" s="1"/>
    </row>
    <row r="13326" spans="6:15" x14ac:dyDescent="0.3">
      <c r="F13326" s="1"/>
    </row>
    <row r="13327" spans="6:15" x14ac:dyDescent="0.3">
      <c r="F13327" s="1"/>
    </row>
    <row r="13328" spans="6:15" x14ac:dyDescent="0.3">
      <c r="F13328" s="1"/>
    </row>
    <row r="13329" spans="6:14" x14ac:dyDescent="0.3">
      <c r="F13329" s="1"/>
    </row>
    <row r="13330" spans="6:14" x14ac:dyDescent="0.3">
      <c r="F13330" s="1"/>
      <c r="L13330" s="1"/>
      <c r="N13330" s="1"/>
    </row>
    <row r="13331" spans="6:14" x14ac:dyDescent="0.3">
      <c r="F13331" s="1"/>
    </row>
    <row r="13332" spans="6:14" x14ac:dyDescent="0.3">
      <c r="F13332" s="1"/>
    </row>
    <row r="13333" spans="6:14" x14ac:dyDescent="0.3">
      <c r="F13333" s="1"/>
    </row>
    <row r="13334" spans="6:14" x14ac:dyDescent="0.3">
      <c r="F13334" s="1"/>
    </row>
    <row r="13337" spans="6:14" x14ac:dyDescent="0.3">
      <c r="F13337" s="1"/>
    </row>
    <row r="13338" spans="6:14" x14ac:dyDescent="0.3">
      <c r="F13338" s="1"/>
    </row>
    <row r="13339" spans="6:14" x14ac:dyDescent="0.3">
      <c r="F13339" s="1"/>
    </row>
    <row r="13340" spans="6:14" x14ac:dyDescent="0.3">
      <c r="F13340" s="1"/>
    </row>
    <row r="13341" spans="6:14" x14ac:dyDescent="0.3">
      <c r="F13341" s="1"/>
    </row>
    <row r="13342" spans="6:14" x14ac:dyDescent="0.3">
      <c r="F13342" s="1"/>
    </row>
    <row r="13343" spans="6:14" x14ac:dyDescent="0.3">
      <c r="F13343" s="1"/>
    </row>
    <row r="13345" spans="6:14" x14ac:dyDescent="0.3">
      <c r="F13345" s="1"/>
    </row>
    <row r="13346" spans="6:14" x14ac:dyDescent="0.3">
      <c r="F13346" s="1"/>
    </row>
    <row r="13347" spans="6:14" x14ac:dyDescent="0.3">
      <c r="F13347" s="1"/>
    </row>
    <row r="13348" spans="6:14" x14ac:dyDescent="0.3">
      <c r="F13348" s="1"/>
    </row>
    <row r="13349" spans="6:14" x14ac:dyDescent="0.3">
      <c r="F13349" s="1"/>
    </row>
    <row r="13350" spans="6:14" x14ac:dyDescent="0.3">
      <c r="F13350" s="1"/>
    </row>
    <row r="13351" spans="6:14" x14ac:dyDescent="0.3">
      <c r="F13351" s="1"/>
      <c r="N13351" s="1"/>
    </row>
    <row r="13352" spans="6:14" x14ac:dyDescent="0.3">
      <c r="F13352" s="1"/>
    </row>
    <row r="13353" spans="6:14" x14ac:dyDescent="0.3">
      <c r="F13353" s="1"/>
    </row>
    <row r="13355" spans="6:14" x14ac:dyDescent="0.3">
      <c r="F13355" s="1"/>
    </row>
    <row r="13356" spans="6:14" x14ac:dyDescent="0.3">
      <c r="F13356" s="1"/>
    </row>
    <row r="13357" spans="6:14" x14ac:dyDescent="0.3">
      <c r="F13357" s="1"/>
      <c r="M13357" s="1"/>
    </row>
    <row r="13358" spans="6:14" x14ac:dyDescent="0.3">
      <c r="F13358" s="1"/>
    </row>
    <row r="13359" spans="6:14" x14ac:dyDescent="0.3">
      <c r="F13359" s="1"/>
    </row>
    <row r="13360" spans="6:14" x14ac:dyDescent="0.3">
      <c r="F13360" s="1"/>
    </row>
    <row r="13361" spans="6:15" x14ac:dyDescent="0.3">
      <c r="F13361" s="1"/>
      <c r="L13361" s="1"/>
    </row>
    <row r="13362" spans="6:15" x14ac:dyDescent="0.3">
      <c r="F13362" s="1"/>
    </row>
    <row r="13363" spans="6:15" x14ac:dyDescent="0.3">
      <c r="F13363" s="1"/>
    </row>
    <row r="13365" spans="6:15" x14ac:dyDescent="0.3">
      <c r="F13365" s="1"/>
    </row>
    <row r="13366" spans="6:15" x14ac:dyDescent="0.3">
      <c r="F13366" s="1"/>
    </row>
    <row r="13367" spans="6:15" x14ac:dyDescent="0.3">
      <c r="F13367" s="1"/>
    </row>
    <row r="13368" spans="6:15" x14ac:dyDescent="0.3">
      <c r="F13368" s="1"/>
    </row>
    <row r="13369" spans="6:15" x14ac:dyDescent="0.3">
      <c r="L13369" s="1"/>
      <c r="M13369" s="1"/>
      <c r="N13369" s="1"/>
    </row>
    <row r="13371" spans="6:15" x14ac:dyDescent="0.3">
      <c r="F13371" s="1"/>
    </row>
    <row r="13373" spans="6:15" x14ac:dyDescent="0.3">
      <c r="F13373" s="1"/>
    </row>
    <row r="13374" spans="6:15" x14ac:dyDescent="0.3">
      <c r="F13374" s="1"/>
      <c r="O13374" s="1"/>
    </row>
    <row r="13375" spans="6:15" x14ac:dyDescent="0.3">
      <c r="F13375" s="1"/>
    </row>
    <row r="13376" spans="6:15" x14ac:dyDescent="0.3">
      <c r="F13376" s="1"/>
    </row>
    <row r="13377" spans="6:14" x14ac:dyDescent="0.3">
      <c r="F13377" s="1"/>
    </row>
    <row r="13379" spans="6:14" x14ac:dyDescent="0.3">
      <c r="F13379" s="1"/>
    </row>
    <row r="13380" spans="6:14" x14ac:dyDescent="0.3">
      <c r="F13380" s="1"/>
    </row>
    <row r="13381" spans="6:14" x14ac:dyDescent="0.3">
      <c r="F13381" s="1"/>
    </row>
    <row r="13382" spans="6:14" x14ac:dyDescent="0.3">
      <c r="F13382" s="1"/>
      <c r="L13382" s="1"/>
    </row>
    <row r="13383" spans="6:14" x14ac:dyDescent="0.3">
      <c r="F13383" s="1"/>
    </row>
    <row r="13384" spans="6:14" x14ac:dyDescent="0.3">
      <c r="F13384" s="1"/>
    </row>
    <row r="13385" spans="6:14" x14ac:dyDescent="0.3">
      <c r="F13385" s="1"/>
    </row>
    <row r="13386" spans="6:14" x14ac:dyDescent="0.3">
      <c r="F13386" s="1"/>
    </row>
    <row r="13388" spans="6:14" x14ac:dyDescent="0.3">
      <c r="F13388" s="1"/>
    </row>
    <row r="13389" spans="6:14" x14ac:dyDescent="0.3">
      <c r="F13389" s="1"/>
    </row>
    <row r="13390" spans="6:14" x14ac:dyDescent="0.3">
      <c r="F13390" s="1"/>
    </row>
    <row r="13391" spans="6:14" x14ac:dyDescent="0.3">
      <c r="M13391" s="1"/>
      <c r="N13391" s="1"/>
    </row>
    <row r="13392" spans="6:14" x14ac:dyDescent="0.3">
      <c r="F13392" s="1"/>
    </row>
    <row r="13393" spans="6:12" x14ac:dyDescent="0.3">
      <c r="L13393" s="1"/>
    </row>
    <row r="13394" spans="6:12" x14ac:dyDescent="0.3">
      <c r="F13394" s="1"/>
    </row>
    <row r="13395" spans="6:12" x14ac:dyDescent="0.3">
      <c r="F13395" s="1"/>
    </row>
    <row r="13397" spans="6:12" x14ac:dyDescent="0.3">
      <c r="F13397" s="1"/>
    </row>
    <row r="13398" spans="6:12" x14ac:dyDescent="0.3">
      <c r="F13398" s="1"/>
    </row>
    <row r="13399" spans="6:12" x14ac:dyDescent="0.3">
      <c r="F13399" s="1"/>
    </row>
    <row r="13400" spans="6:12" x14ac:dyDescent="0.3">
      <c r="F13400" s="1"/>
    </row>
    <row r="13401" spans="6:12" x14ac:dyDescent="0.3">
      <c r="F13401" s="1"/>
    </row>
    <row r="13402" spans="6:12" x14ac:dyDescent="0.3">
      <c r="F13402" s="1"/>
    </row>
    <row r="13403" spans="6:12" x14ac:dyDescent="0.3">
      <c r="F13403" s="1"/>
    </row>
    <row r="13404" spans="6:12" x14ac:dyDescent="0.3">
      <c r="F13404" s="1"/>
    </row>
    <row r="13405" spans="6:12" x14ac:dyDescent="0.3">
      <c r="F13405" s="1"/>
    </row>
    <row r="13406" spans="6:12" x14ac:dyDescent="0.3">
      <c r="F13406" s="1"/>
    </row>
    <row r="13407" spans="6:12" x14ac:dyDescent="0.3">
      <c r="F13407" s="1"/>
    </row>
    <row r="13408" spans="6:12" x14ac:dyDescent="0.3">
      <c r="F13408" s="1"/>
    </row>
    <row r="13409" spans="6:15" x14ac:dyDescent="0.3">
      <c r="F13409" s="1"/>
    </row>
    <row r="13410" spans="6:15" x14ac:dyDescent="0.3">
      <c r="F13410" s="1"/>
    </row>
    <row r="13411" spans="6:15" x14ac:dyDescent="0.3">
      <c r="F13411" s="1"/>
    </row>
    <row r="13412" spans="6:15" x14ac:dyDescent="0.3">
      <c r="F13412" s="1"/>
    </row>
    <row r="13413" spans="6:15" x14ac:dyDescent="0.3">
      <c r="F13413" s="1"/>
    </row>
    <row r="13414" spans="6:15" x14ac:dyDescent="0.3">
      <c r="F13414" s="1"/>
    </row>
    <row r="13415" spans="6:15" x14ac:dyDescent="0.3">
      <c r="F13415" s="1"/>
    </row>
    <row r="13416" spans="6:15" x14ac:dyDescent="0.3">
      <c r="F13416" s="1"/>
    </row>
    <row r="13418" spans="6:15" x14ac:dyDescent="0.3">
      <c r="F13418" s="1"/>
      <c r="L13418" s="1"/>
      <c r="M13418" s="1"/>
      <c r="N13418" s="1"/>
      <c r="O13418" s="1"/>
    </row>
    <row r="13419" spans="6:15" x14ac:dyDescent="0.3">
      <c r="L13419" s="1"/>
      <c r="N13419" s="1"/>
      <c r="O13419" s="1"/>
    </row>
    <row r="13420" spans="6:15" x14ac:dyDescent="0.3">
      <c r="M13420" s="1"/>
      <c r="N13420" s="1"/>
      <c r="O13420" s="1"/>
    </row>
    <row r="13421" spans="6:15" x14ac:dyDescent="0.3">
      <c r="F13421" s="1"/>
    </row>
    <row r="13422" spans="6:15" x14ac:dyDescent="0.3">
      <c r="F13422" s="1"/>
    </row>
    <row r="13423" spans="6:15" x14ac:dyDescent="0.3">
      <c r="F13423" s="1"/>
      <c r="L13423" s="1"/>
      <c r="N13423" s="1"/>
    </row>
    <row r="13424" spans="6:15" x14ac:dyDescent="0.3">
      <c r="F13424" s="1"/>
      <c r="N13424" s="1"/>
    </row>
    <row r="13425" spans="6:14" x14ac:dyDescent="0.3">
      <c r="F13425" s="1"/>
    </row>
    <row r="13426" spans="6:14" x14ac:dyDescent="0.3">
      <c r="F13426" s="1"/>
    </row>
    <row r="13427" spans="6:14" x14ac:dyDescent="0.3">
      <c r="F13427" s="1"/>
    </row>
    <row r="13428" spans="6:14" x14ac:dyDescent="0.3">
      <c r="F13428" s="1"/>
    </row>
    <row r="13429" spans="6:14" x14ac:dyDescent="0.3">
      <c r="F13429" s="1"/>
    </row>
    <row r="13431" spans="6:14" x14ac:dyDescent="0.3">
      <c r="F13431" s="1"/>
    </row>
    <row r="13432" spans="6:14" x14ac:dyDescent="0.3">
      <c r="F13432" s="1"/>
    </row>
    <row r="13433" spans="6:14" x14ac:dyDescent="0.3">
      <c r="F13433" s="1"/>
    </row>
    <row r="13434" spans="6:14" x14ac:dyDescent="0.3">
      <c r="F13434" s="1"/>
      <c r="M13434" s="1"/>
      <c r="N13434" s="1"/>
    </row>
    <row r="13435" spans="6:14" x14ac:dyDescent="0.3">
      <c r="F13435" s="1"/>
    </row>
    <row r="13436" spans="6:14" x14ac:dyDescent="0.3">
      <c r="F13436" s="1"/>
    </row>
    <row r="13438" spans="6:14" x14ac:dyDescent="0.3">
      <c r="F13438" s="1"/>
    </row>
    <row r="13439" spans="6:14" x14ac:dyDescent="0.3">
      <c r="F13439" s="1"/>
    </row>
    <row r="13441" spans="6:15" x14ac:dyDescent="0.3">
      <c r="F13441" s="1"/>
    </row>
    <row r="13442" spans="6:15" x14ac:dyDescent="0.3">
      <c r="L13442" s="1"/>
      <c r="M13442" s="1"/>
      <c r="N13442" s="1"/>
      <c r="O13442" s="1"/>
    </row>
    <row r="13444" spans="6:15" x14ac:dyDescent="0.3">
      <c r="F13444" s="1"/>
    </row>
    <row r="13445" spans="6:15" x14ac:dyDescent="0.3">
      <c r="F13445" s="1"/>
    </row>
    <row r="13446" spans="6:15" x14ac:dyDescent="0.3">
      <c r="F13446" s="1"/>
    </row>
    <row r="13447" spans="6:15" x14ac:dyDescent="0.3">
      <c r="F13447" s="1"/>
    </row>
    <row r="13448" spans="6:15" x14ac:dyDescent="0.3">
      <c r="F13448" s="1"/>
    </row>
    <row r="13449" spans="6:15" x14ac:dyDescent="0.3">
      <c r="F13449" s="1"/>
    </row>
    <row r="13450" spans="6:15" x14ac:dyDescent="0.3">
      <c r="F13450" s="1"/>
    </row>
    <row r="13451" spans="6:15" x14ac:dyDescent="0.3">
      <c r="F13451" s="1"/>
    </row>
    <row r="13452" spans="6:15" x14ac:dyDescent="0.3">
      <c r="F13452" s="1"/>
    </row>
    <row r="13454" spans="6:15" x14ac:dyDescent="0.3">
      <c r="F13454" s="1"/>
    </row>
    <row r="13455" spans="6:15" x14ac:dyDescent="0.3">
      <c r="F13455" s="1"/>
    </row>
    <row r="13456" spans="6:15" x14ac:dyDescent="0.3">
      <c r="F13456" s="1"/>
    </row>
    <row r="13457" spans="6:14" x14ac:dyDescent="0.3">
      <c r="F13457" s="1"/>
    </row>
    <row r="13458" spans="6:14" x14ac:dyDescent="0.3">
      <c r="F13458" s="1"/>
    </row>
    <row r="13459" spans="6:14" x14ac:dyDescent="0.3">
      <c r="F13459" s="1"/>
    </row>
    <row r="13460" spans="6:14" x14ac:dyDescent="0.3">
      <c r="N13460" s="1"/>
    </row>
    <row r="13461" spans="6:14" x14ac:dyDescent="0.3">
      <c r="F13461" s="1"/>
    </row>
    <row r="13462" spans="6:14" x14ac:dyDescent="0.3">
      <c r="F13462" s="1"/>
    </row>
    <row r="13463" spans="6:14" x14ac:dyDescent="0.3">
      <c r="F13463" s="1"/>
    </row>
    <row r="13464" spans="6:14" x14ac:dyDescent="0.3">
      <c r="L13464" s="1"/>
      <c r="M13464" s="1"/>
    </row>
    <row r="13465" spans="6:14" x14ac:dyDescent="0.3">
      <c r="F13465" s="1"/>
    </row>
    <row r="13466" spans="6:14" x14ac:dyDescent="0.3">
      <c r="F13466" s="1"/>
    </row>
    <row r="13467" spans="6:14" x14ac:dyDescent="0.3">
      <c r="F13467" s="1"/>
    </row>
    <row r="13468" spans="6:14" x14ac:dyDescent="0.3">
      <c r="F13468" s="1"/>
    </row>
    <row r="13469" spans="6:14" x14ac:dyDescent="0.3">
      <c r="F13469" s="1"/>
    </row>
    <row r="13470" spans="6:14" x14ac:dyDescent="0.3">
      <c r="F13470" s="1"/>
    </row>
    <row r="13472" spans="6:14" x14ac:dyDescent="0.3">
      <c r="F13472" s="1"/>
    </row>
    <row r="13473" spans="6:13" x14ac:dyDescent="0.3">
      <c r="F13473" s="1"/>
    </row>
    <row r="13475" spans="6:13" x14ac:dyDescent="0.3">
      <c r="F13475" s="1"/>
    </row>
    <row r="13476" spans="6:13" x14ac:dyDescent="0.3">
      <c r="F13476" s="1"/>
    </row>
    <row r="13477" spans="6:13" x14ac:dyDescent="0.3">
      <c r="F13477" s="1"/>
    </row>
    <row r="13478" spans="6:13" x14ac:dyDescent="0.3">
      <c r="F13478" s="1"/>
    </row>
    <row r="13479" spans="6:13" x14ac:dyDescent="0.3">
      <c r="F13479" s="1"/>
    </row>
    <row r="13480" spans="6:13" x14ac:dyDescent="0.3">
      <c r="F13480" s="1"/>
    </row>
    <row r="13481" spans="6:13" x14ac:dyDescent="0.3">
      <c r="F13481" s="1"/>
      <c r="M13481" s="1"/>
    </row>
    <row r="13482" spans="6:13" x14ac:dyDescent="0.3">
      <c r="F13482" s="1"/>
    </row>
    <row r="13483" spans="6:13" x14ac:dyDescent="0.3">
      <c r="L13483" s="1"/>
      <c r="M13483" s="1"/>
    </row>
    <row r="13484" spans="6:13" x14ac:dyDescent="0.3">
      <c r="F13484" s="1"/>
    </row>
    <row r="13485" spans="6:13" x14ac:dyDescent="0.3">
      <c r="F13485" s="1"/>
    </row>
    <row r="13486" spans="6:13" x14ac:dyDescent="0.3">
      <c r="F13486" s="1"/>
    </row>
    <row r="13487" spans="6:13" x14ac:dyDescent="0.3">
      <c r="F13487" s="1"/>
    </row>
    <row r="13488" spans="6:13" x14ac:dyDescent="0.3">
      <c r="F13488" s="1"/>
    </row>
    <row r="13489" spans="6:14" x14ac:dyDescent="0.3">
      <c r="F13489" s="1"/>
      <c r="N13489" s="1"/>
    </row>
    <row r="13490" spans="6:14" x14ac:dyDescent="0.3">
      <c r="F13490" s="1"/>
    </row>
    <row r="13491" spans="6:14" x14ac:dyDescent="0.3">
      <c r="F13491" s="1"/>
    </row>
    <row r="13492" spans="6:14" x14ac:dyDescent="0.3">
      <c r="F13492" s="1"/>
    </row>
    <row r="13493" spans="6:14" x14ac:dyDescent="0.3">
      <c r="F13493" s="1"/>
    </row>
    <row r="13494" spans="6:14" x14ac:dyDescent="0.3">
      <c r="F13494" s="1"/>
    </row>
    <row r="13495" spans="6:14" x14ac:dyDescent="0.3">
      <c r="F13495" s="1"/>
    </row>
    <row r="13496" spans="6:14" x14ac:dyDescent="0.3">
      <c r="F13496" s="1"/>
    </row>
    <row r="13497" spans="6:14" x14ac:dyDescent="0.3">
      <c r="F13497" s="1"/>
    </row>
    <row r="13498" spans="6:14" x14ac:dyDescent="0.3">
      <c r="F13498" s="1"/>
    </row>
    <row r="13499" spans="6:14" x14ac:dyDescent="0.3">
      <c r="F13499" s="1"/>
    </row>
    <row r="13500" spans="6:14" x14ac:dyDescent="0.3">
      <c r="F13500" s="1"/>
      <c r="L13500" s="1"/>
    </row>
    <row r="13501" spans="6:14" x14ac:dyDescent="0.3">
      <c r="F13501" s="1"/>
    </row>
    <row r="13502" spans="6:14" x14ac:dyDescent="0.3">
      <c r="F13502" s="1"/>
      <c r="M13502" s="1"/>
    </row>
    <row r="13503" spans="6:14" x14ac:dyDescent="0.3">
      <c r="F13503" s="1"/>
    </row>
    <row r="13504" spans="6:14" x14ac:dyDescent="0.3">
      <c r="F13504" s="1"/>
    </row>
    <row r="13505" spans="6:15" x14ac:dyDescent="0.3">
      <c r="F13505" s="1"/>
    </row>
    <row r="13506" spans="6:15" x14ac:dyDescent="0.3">
      <c r="F13506" s="1"/>
    </row>
    <row r="13507" spans="6:15" x14ac:dyDescent="0.3">
      <c r="F13507" s="1"/>
    </row>
    <row r="13508" spans="6:15" x14ac:dyDescent="0.3">
      <c r="F13508" s="1"/>
    </row>
    <row r="13509" spans="6:15" x14ac:dyDescent="0.3">
      <c r="F13509" s="1"/>
    </row>
    <row r="13510" spans="6:15" x14ac:dyDescent="0.3">
      <c r="M13510" s="1"/>
    </row>
    <row r="13511" spans="6:15" x14ac:dyDescent="0.3">
      <c r="F13511" s="1"/>
    </row>
    <row r="13512" spans="6:15" x14ac:dyDescent="0.3">
      <c r="F13512" s="1"/>
    </row>
    <row r="13513" spans="6:15" x14ac:dyDescent="0.3">
      <c r="F13513" s="1"/>
    </row>
    <row r="13514" spans="6:15" x14ac:dyDescent="0.3">
      <c r="F13514" s="1"/>
      <c r="L13514" s="1"/>
    </row>
    <row r="13515" spans="6:15" x14ac:dyDescent="0.3">
      <c r="F13515" s="1"/>
    </row>
    <row r="13516" spans="6:15" x14ac:dyDescent="0.3">
      <c r="F13516" s="1"/>
    </row>
    <row r="13517" spans="6:15" x14ac:dyDescent="0.3">
      <c r="F13517" s="1"/>
      <c r="M13517" s="1"/>
      <c r="N13517" s="1"/>
    </row>
    <row r="13518" spans="6:15" x14ac:dyDescent="0.3">
      <c r="F13518" s="1"/>
    </row>
    <row r="13519" spans="6:15" x14ac:dyDescent="0.3">
      <c r="F13519" s="1"/>
      <c r="L13519" s="1"/>
      <c r="M13519" s="1"/>
      <c r="O13519" s="1"/>
    </row>
    <row r="13521" spans="6:15" x14ac:dyDescent="0.3">
      <c r="M13521" s="1"/>
      <c r="N13521" s="1"/>
      <c r="O13521" s="1"/>
    </row>
    <row r="13522" spans="6:15" x14ac:dyDescent="0.3">
      <c r="F13522" s="1"/>
    </row>
    <row r="13523" spans="6:15" x14ac:dyDescent="0.3">
      <c r="F13523" s="1"/>
    </row>
    <row r="13524" spans="6:15" x14ac:dyDescent="0.3">
      <c r="L13524" s="1"/>
      <c r="M13524" s="1"/>
      <c r="N13524" s="1"/>
      <c r="O13524" s="1"/>
    </row>
    <row r="13525" spans="6:15" x14ac:dyDescent="0.3">
      <c r="F13525" s="1"/>
    </row>
    <row r="13526" spans="6:15" x14ac:dyDescent="0.3">
      <c r="F13526" s="1"/>
    </row>
    <row r="13527" spans="6:15" x14ac:dyDescent="0.3">
      <c r="F13527" s="1"/>
    </row>
    <row r="13528" spans="6:15" x14ac:dyDescent="0.3">
      <c r="F13528" s="1"/>
    </row>
    <row r="13530" spans="6:15" x14ac:dyDescent="0.3">
      <c r="F13530" s="1"/>
    </row>
    <row r="13531" spans="6:15" x14ac:dyDescent="0.3">
      <c r="F13531" s="1"/>
    </row>
    <row r="13532" spans="6:15" x14ac:dyDescent="0.3">
      <c r="F13532" s="1"/>
    </row>
    <row r="13533" spans="6:15" x14ac:dyDescent="0.3">
      <c r="F13533" s="1"/>
    </row>
    <row r="13535" spans="6:15" x14ac:dyDescent="0.3">
      <c r="F13535" s="1"/>
    </row>
    <row r="13536" spans="6:15" x14ac:dyDescent="0.3">
      <c r="F13536" s="1"/>
      <c r="L13536" s="1"/>
    </row>
    <row r="13537" spans="6:15" x14ac:dyDescent="0.3">
      <c r="F13537" s="1"/>
    </row>
    <row r="13538" spans="6:15" x14ac:dyDescent="0.3">
      <c r="F13538" s="1"/>
    </row>
    <row r="13539" spans="6:15" x14ac:dyDescent="0.3">
      <c r="L13539" s="1"/>
    </row>
    <row r="13540" spans="6:15" x14ac:dyDescent="0.3">
      <c r="F13540" s="1"/>
    </row>
    <row r="13541" spans="6:15" x14ac:dyDescent="0.3">
      <c r="F13541" s="1"/>
    </row>
    <row r="13544" spans="6:15" x14ac:dyDescent="0.3">
      <c r="F13544" s="1"/>
    </row>
    <row r="13545" spans="6:15" x14ac:dyDescent="0.3">
      <c r="F13545" s="1"/>
      <c r="L13545" s="1"/>
      <c r="N13545" s="1"/>
      <c r="O13545" s="1"/>
    </row>
    <row r="13546" spans="6:15" x14ac:dyDescent="0.3">
      <c r="F13546" s="1"/>
    </row>
    <row r="13547" spans="6:15" x14ac:dyDescent="0.3">
      <c r="F13547" s="1"/>
    </row>
    <row r="13549" spans="6:15" x14ac:dyDescent="0.3">
      <c r="F13549" s="1"/>
    </row>
    <row r="13550" spans="6:15" x14ac:dyDescent="0.3">
      <c r="F13550" s="1"/>
    </row>
    <row r="13551" spans="6:15" x14ac:dyDescent="0.3">
      <c r="F13551" s="1"/>
    </row>
    <row r="13554" spans="6:6" x14ac:dyDescent="0.3">
      <c r="F13554" s="1"/>
    </row>
    <row r="13555" spans="6:6" x14ac:dyDescent="0.3">
      <c r="F13555" s="1"/>
    </row>
    <row r="13556" spans="6:6" x14ac:dyDescent="0.3">
      <c r="F13556" s="1"/>
    </row>
    <row r="13558" spans="6:6" x14ac:dyDescent="0.3">
      <c r="F13558" s="1"/>
    </row>
    <row r="13559" spans="6:6" x14ac:dyDescent="0.3">
      <c r="F13559" s="1"/>
    </row>
    <row r="13560" spans="6:6" x14ac:dyDescent="0.3">
      <c r="F13560" s="1"/>
    </row>
    <row r="13561" spans="6:6" x14ac:dyDescent="0.3">
      <c r="F13561" s="1"/>
    </row>
    <row r="13562" spans="6:6" x14ac:dyDescent="0.3">
      <c r="F13562" s="1"/>
    </row>
    <row r="13563" spans="6:6" x14ac:dyDescent="0.3">
      <c r="F13563" s="1"/>
    </row>
    <row r="13564" spans="6:6" x14ac:dyDescent="0.3">
      <c r="F13564" s="1"/>
    </row>
    <row r="13565" spans="6:6" x14ac:dyDescent="0.3">
      <c r="F13565" s="1"/>
    </row>
    <row r="13566" spans="6:6" x14ac:dyDescent="0.3">
      <c r="F13566" s="1"/>
    </row>
    <row r="13567" spans="6:6" x14ac:dyDescent="0.3">
      <c r="F13567" s="1"/>
    </row>
    <row r="13568" spans="6:6" x14ac:dyDescent="0.3">
      <c r="F13568" s="1"/>
    </row>
    <row r="13569" spans="6:14" x14ac:dyDescent="0.3">
      <c r="F13569" s="1"/>
    </row>
    <row r="13571" spans="6:14" x14ac:dyDescent="0.3">
      <c r="F13571" s="1"/>
    </row>
    <row r="13573" spans="6:14" x14ac:dyDescent="0.3">
      <c r="F13573" s="1"/>
    </row>
    <row r="13574" spans="6:14" x14ac:dyDescent="0.3">
      <c r="F13574" s="1"/>
    </row>
    <row r="13575" spans="6:14" x14ac:dyDescent="0.3">
      <c r="F13575" s="1"/>
    </row>
    <row r="13576" spans="6:14" x14ac:dyDescent="0.3">
      <c r="F13576" s="1"/>
    </row>
    <row r="13577" spans="6:14" x14ac:dyDescent="0.3">
      <c r="F13577" s="1"/>
    </row>
    <row r="13578" spans="6:14" x14ac:dyDescent="0.3">
      <c r="F13578" s="1"/>
    </row>
    <row r="13579" spans="6:14" x14ac:dyDescent="0.3">
      <c r="F13579" s="1"/>
    </row>
    <row r="13580" spans="6:14" x14ac:dyDescent="0.3">
      <c r="F13580" s="1"/>
    </row>
    <row r="13581" spans="6:14" x14ac:dyDescent="0.3">
      <c r="F13581" s="1"/>
      <c r="N13581" s="1"/>
    </row>
    <row r="13582" spans="6:14" x14ac:dyDescent="0.3">
      <c r="F13582" s="1"/>
      <c r="N13582" s="1"/>
    </row>
    <row r="13583" spans="6:14" x14ac:dyDescent="0.3">
      <c r="F13583" s="1"/>
    </row>
    <row r="13584" spans="6:14" x14ac:dyDescent="0.3">
      <c r="F13584" s="1"/>
    </row>
    <row r="13585" spans="6:13" x14ac:dyDescent="0.3">
      <c r="F13585" s="1"/>
    </row>
    <row r="13586" spans="6:13" x14ac:dyDescent="0.3">
      <c r="F13586" s="1"/>
    </row>
    <row r="13587" spans="6:13" x14ac:dyDescent="0.3">
      <c r="F13587" s="1"/>
    </row>
    <row r="13589" spans="6:13" x14ac:dyDescent="0.3">
      <c r="F13589" s="1"/>
    </row>
    <row r="13590" spans="6:13" x14ac:dyDescent="0.3">
      <c r="F13590" s="1"/>
    </row>
    <row r="13591" spans="6:13" x14ac:dyDescent="0.3">
      <c r="F13591" s="1"/>
    </row>
    <row r="13592" spans="6:13" x14ac:dyDescent="0.3">
      <c r="F13592" s="1"/>
    </row>
    <row r="13593" spans="6:13" x14ac:dyDescent="0.3">
      <c r="F13593" s="1"/>
    </row>
    <row r="13594" spans="6:13" x14ac:dyDescent="0.3">
      <c r="F13594" s="1"/>
      <c r="L13594" s="1"/>
    </row>
    <row r="13595" spans="6:13" x14ac:dyDescent="0.3">
      <c r="F13595" s="1"/>
    </row>
    <row r="13596" spans="6:13" x14ac:dyDescent="0.3">
      <c r="F13596" s="1"/>
    </row>
    <row r="13598" spans="6:13" x14ac:dyDescent="0.3">
      <c r="F13598" s="1"/>
    </row>
    <row r="13599" spans="6:13" x14ac:dyDescent="0.3">
      <c r="F13599" s="1"/>
    </row>
    <row r="13600" spans="6:13" x14ac:dyDescent="0.3">
      <c r="F13600" s="1"/>
      <c r="M13600" s="1"/>
    </row>
    <row r="13601" spans="6:14" x14ac:dyDescent="0.3">
      <c r="F13601" s="1"/>
    </row>
    <row r="13602" spans="6:14" x14ac:dyDescent="0.3">
      <c r="F13602" s="1"/>
    </row>
    <row r="13603" spans="6:14" x14ac:dyDescent="0.3">
      <c r="L13603" s="1"/>
    </row>
    <row r="13604" spans="6:14" x14ac:dyDescent="0.3">
      <c r="F13604" s="1"/>
      <c r="N13604" s="1"/>
    </row>
    <row r="13605" spans="6:14" x14ac:dyDescent="0.3">
      <c r="F13605" s="1"/>
    </row>
    <row r="13606" spans="6:14" x14ac:dyDescent="0.3">
      <c r="F13606" s="1"/>
    </row>
    <row r="13607" spans="6:14" x14ac:dyDescent="0.3">
      <c r="N13607" s="1"/>
    </row>
    <row r="13608" spans="6:14" x14ac:dyDescent="0.3">
      <c r="F13608" s="1"/>
    </row>
    <row r="13609" spans="6:14" x14ac:dyDescent="0.3">
      <c r="F13609" s="1"/>
    </row>
    <row r="13610" spans="6:14" x14ac:dyDescent="0.3">
      <c r="F13610" s="1"/>
    </row>
    <row r="13611" spans="6:14" x14ac:dyDescent="0.3">
      <c r="F13611" s="1"/>
    </row>
    <row r="13612" spans="6:14" x14ac:dyDescent="0.3">
      <c r="F13612" s="1"/>
    </row>
    <row r="13613" spans="6:14" x14ac:dyDescent="0.3">
      <c r="F13613" s="1"/>
    </row>
    <row r="13614" spans="6:14" x14ac:dyDescent="0.3">
      <c r="F13614" s="1"/>
    </row>
    <row r="13615" spans="6:14" x14ac:dyDescent="0.3">
      <c r="F13615" s="1"/>
    </row>
    <row r="13618" spans="6:15" x14ac:dyDescent="0.3">
      <c r="F13618" s="1"/>
    </row>
    <row r="13619" spans="6:15" x14ac:dyDescent="0.3">
      <c r="F13619" s="1"/>
    </row>
    <row r="13620" spans="6:15" x14ac:dyDescent="0.3">
      <c r="F13620" s="1"/>
    </row>
    <row r="13621" spans="6:15" x14ac:dyDescent="0.3">
      <c r="L13621" s="1"/>
      <c r="M13621" s="1"/>
      <c r="N13621" s="1"/>
      <c r="O13621" s="1"/>
    </row>
    <row r="13622" spans="6:15" x14ac:dyDescent="0.3">
      <c r="F13622" s="1"/>
    </row>
    <row r="13624" spans="6:15" x14ac:dyDescent="0.3">
      <c r="F13624" s="1"/>
    </row>
    <row r="13626" spans="6:15" x14ac:dyDescent="0.3">
      <c r="F13626" s="1"/>
      <c r="L13626" s="1"/>
      <c r="M13626" s="1"/>
      <c r="N13626" s="1"/>
      <c r="O13626" s="1"/>
    </row>
    <row r="13627" spans="6:15" x14ac:dyDescent="0.3">
      <c r="F13627" s="1"/>
    </row>
    <row r="13628" spans="6:15" x14ac:dyDescent="0.3">
      <c r="F13628" s="1"/>
    </row>
    <row r="13629" spans="6:15" x14ac:dyDescent="0.3">
      <c r="F13629" s="1"/>
    </row>
    <row r="13630" spans="6:15" x14ac:dyDescent="0.3">
      <c r="F13630" s="1"/>
    </row>
    <row r="13631" spans="6:15" x14ac:dyDescent="0.3">
      <c r="F13631" s="1"/>
    </row>
    <row r="13632" spans="6:15" x14ac:dyDescent="0.3">
      <c r="F13632" s="1"/>
    </row>
    <row r="13633" spans="6:15" x14ac:dyDescent="0.3">
      <c r="F13633" s="1"/>
    </row>
    <row r="13634" spans="6:15" x14ac:dyDescent="0.3">
      <c r="F13634" s="1"/>
    </row>
    <row r="13635" spans="6:15" x14ac:dyDescent="0.3">
      <c r="F13635" s="1"/>
    </row>
    <row r="13636" spans="6:15" x14ac:dyDescent="0.3">
      <c r="F13636" s="1"/>
    </row>
    <row r="13637" spans="6:15" x14ac:dyDescent="0.3">
      <c r="M13637" s="1"/>
      <c r="O13637" s="1"/>
    </row>
    <row r="13638" spans="6:15" x14ac:dyDescent="0.3">
      <c r="F13638" s="1"/>
    </row>
    <row r="13639" spans="6:15" x14ac:dyDescent="0.3">
      <c r="F13639" s="1"/>
    </row>
    <row r="13640" spans="6:15" x14ac:dyDescent="0.3">
      <c r="F13640" s="1"/>
    </row>
    <row r="13642" spans="6:15" x14ac:dyDescent="0.3">
      <c r="F13642" s="1"/>
    </row>
    <row r="13644" spans="6:15" x14ac:dyDescent="0.3">
      <c r="F13644" s="1"/>
    </row>
    <row r="13645" spans="6:15" x14ac:dyDescent="0.3">
      <c r="F13645" s="1"/>
    </row>
    <row r="13648" spans="6:15" x14ac:dyDescent="0.3">
      <c r="F13648" s="1"/>
    </row>
    <row r="13651" spans="6:13" x14ac:dyDescent="0.3">
      <c r="F13651" s="1"/>
      <c r="L13651" s="1"/>
    </row>
    <row r="13653" spans="6:13" x14ac:dyDescent="0.3">
      <c r="F13653" s="1"/>
    </row>
    <row r="13655" spans="6:13" x14ac:dyDescent="0.3">
      <c r="F13655" s="1"/>
    </row>
    <row r="13656" spans="6:13" x14ac:dyDescent="0.3">
      <c r="F13656" s="1"/>
    </row>
    <row r="13657" spans="6:13" x14ac:dyDescent="0.3">
      <c r="F13657" s="1"/>
    </row>
    <row r="13658" spans="6:13" x14ac:dyDescent="0.3">
      <c r="M13658" s="1"/>
    </row>
    <row r="13659" spans="6:13" x14ac:dyDescent="0.3">
      <c r="F13659" s="1"/>
    </row>
    <row r="13660" spans="6:13" x14ac:dyDescent="0.3">
      <c r="F13660" s="1"/>
    </row>
    <row r="13661" spans="6:13" x14ac:dyDescent="0.3">
      <c r="M13661" s="1"/>
    </row>
    <row r="13662" spans="6:13" x14ac:dyDescent="0.3">
      <c r="F13662" s="1"/>
    </row>
    <row r="13663" spans="6:13" x14ac:dyDescent="0.3">
      <c r="F13663" s="1"/>
    </row>
    <row r="13664" spans="6:13" x14ac:dyDescent="0.3">
      <c r="F13664" s="1"/>
    </row>
    <row r="13665" spans="6:15" x14ac:dyDescent="0.3">
      <c r="L13665" s="1"/>
      <c r="M13665" s="1"/>
      <c r="N13665" s="1"/>
      <c r="O13665" s="1"/>
    </row>
    <row r="13666" spans="6:15" x14ac:dyDescent="0.3">
      <c r="F13666" s="1"/>
      <c r="M13666" s="1"/>
    </row>
    <row r="13667" spans="6:15" x14ac:dyDescent="0.3">
      <c r="F13667" s="1"/>
    </row>
    <row r="13668" spans="6:15" x14ac:dyDescent="0.3">
      <c r="F13668" s="1"/>
    </row>
    <row r="13670" spans="6:15" x14ac:dyDescent="0.3">
      <c r="F13670" s="1"/>
      <c r="M13670" s="1"/>
      <c r="N13670" s="1"/>
      <c r="O13670" s="1"/>
    </row>
    <row r="13671" spans="6:15" x14ac:dyDescent="0.3">
      <c r="F13671" s="1"/>
    </row>
    <row r="13672" spans="6:15" x14ac:dyDescent="0.3">
      <c r="F13672" s="1"/>
    </row>
    <row r="13675" spans="6:15" x14ac:dyDescent="0.3">
      <c r="F13675" s="1"/>
    </row>
    <row r="13676" spans="6:15" x14ac:dyDescent="0.3">
      <c r="F13676" s="1"/>
    </row>
    <row r="13677" spans="6:15" x14ac:dyDescent="0.3">
      <c r="F13677" s="1"/>
    </row>
    <row r="13678" spans="6:15" x14ac:dyDescent="0.3">
      <c r="F13678" s="1"/>
    </row>
    <row r="13679" spans="6:15" x14ac:dyDescent="0.3">
      <c r="F13679" s="1"/>
    </row>
    <row r="13680" spans="6:15" x14ac:dyDescent="0.3">
      <c r="F13680" s="1"/>
    </row>
    <row r="13681" spans="6:15" x14ac:dyDescent="0.3">
      <c r="F13681" s="1"/>
    </row>
    <row r="13684" spans="6:15" x14ac:dyDescent="0.3">
      <c r="F13684" s="1"/>
    </row>
    <row r="13686" spans="6:15" x14ac:dyDescent="0.3">
      <c r="F13686" s="1"/>
    </row>
    <row r="13687" spans="6:15" x14ac:dyDescent="0.3">
      <c r="F13687" s="1"/>
    </row>
    <row r="13689" spans="6:15" x14ac:dyDescent="0.3">
      <c r="F13689" s="1"/>
    </row>
    <row r="13690" spans="6:15" x14ac:dyDescent="0.3">
      <c r="F13690" s="1"/>
    </row>
    <row r="13691" spans="6:15" x14ac:dyDescent="0.3">
      <c r="F13691" s="1"/>
    </row>
    <row r="13692" spans="6:15" x14ac:dyDescent="0.3">
      <c r="F13692" s="1"/>
    </row>
    <row r="13693" spans="6:15" x14ac:dyDescent="0.3">
      <c r="M13693" s="1"/>
      <c r="N13693" s="1"/>
      <c r="O13693" s="1"/>
    </row>
    <row r="13694" spans="6:15" x14ac:dyDescent="0.3">
      <c r="F13694" s="1"/>
      <c r="L13694" s="1"/>
      <c r="M13694" s="1"/>
      <c r="O13694" s="1"/>
    </row>
    <row r="13695" spans="6:15" x14ac:dyDescent="0.3">
      <c r="F13695" s="1"/>
    </row>
    <row r="13696" spans="6:15" x14ac:dyDescent="0.3">
      <c r="F13696" s="1"/>
    </row>
    <row r="13697" spans="6:14" x14ac:dyDescent="0.3">
      <c r="F13697" s="1"/>
    </row>
    <row r="13698" spans="6:14" x14ac:dyDescent="0.3">
      <c r="F13698" s="1"/>
    </row>
    <row r="13700" spans="6:14" x14ac:dyDescent="0.3">
      <c r="F13700" s="1"/>
    </row>
    <row r="13701" spans="6:14" x14ac:dyDescent="0.3">
      <c r="F13701" s="1"/>
      <c r="M13701" s="1"/>
      <c r="N13701" s="1"/>
    </row>
    <row r="13702" spans="6:14" x14ac:dyDescent="0.3">
      <c r="F13702" s="1"/>
    </row>
    <row r="13703" spans="6:14" x14ac:dyDescent="0.3">
      <c r="F13703" s="1"/>
    </row>
    <row r="13704" spans="6:14" x14ac:dyDescent="0.3">
      <c r="F13704" s="1"/>
    </row>
    <row r="13705" spans="6:14" x14ac:dyDescent="0.3">
      <c r="F13705" s="1"/>
    </row>
    <row r="13706" spans="6:14" x14ac:dyDescent="0.3">
      <c r="F13706" s="1"/>
    </row>
    <row r="13707" spans="6:14" x14ac:dyDescent="0.3">
      <c r="F13707" s="1"/>
    </row>
    <row r="13708" spans="6:14" x14ac:dyDescent="0.3">
      <c r="F13708" s="1"/>
    </row>
    <row r="13710" spans="6:14" x14ac:dyDescent="0.3">
      <c r="F13710" s="1"/>
    </row>
    <row r="13711" spans="6:14" x14ac:dyDescent="0.3">
      <c r="F13711" s="1"/>
    </row>
    <row r="13712" spans="6:14" x14ac:dyDescent="0.3">
      <c r="F13712" s="1"/>
    </row>
    <row r="13713" spans="6:15" x14ac:dyDescent="0.3">
      <c r="M13713" s="1"/>
      <c r="N13713" s="1"/>
      <c r="O13713" s="1"/>
    </row>
    <row r="13714" spans="6:15" x14ac:dyDescent="0.3">
      <c r="F13714" s="1"/>
    </row>
    <row r="13715" spans="6:15" x14ac:dyDescent="0.3">
      <c r="F13715" s="1"/>
    </row>
    <row r="13716" spans="6:15" x14ac:dyDescent="0.3">
      <c r="F13716" s="1"/>
    </row>
    <row r="13717" spans="6:15" x14ac:dyDescent="0.3">
      <c r="F13717" s="1"/>
    </row>
    <row r="13718" spans="6:15" x14ac:dyDescent="0.3">
      <c r="F13718" s="1"/>
    </row>
    <row r="13719" spans="6:15" x14ac:dyDescent="0.3">
      <c r="F13719" s="1"/>
    </row>
    <row r="13720" spans="6:15" x14ac:dyDescent="0.3">
      <c r="F13720" s="1"/>
    </row>
    <row r="13721" spans="6:15" x14ac:dyDescent="0.3">
      <c r="F13721" s="1"/>
    </row>
    <row r="13722" spans="6:15" x14ac:dyDescent="0.3">
      <c r="F13722" s="1"/>
    </row>
    <row r="13723" spans="6:15" x14ac:dyDescent="0.3">
      <c r="F13723" s="1"/>
    </row>
    <row r="13724" spans="6:15" x14ac:dyDescent="0.3">
      <c r="F13724" s="1"/>
    </row>
    <row r="13725" spans="6:15" x14ac:dyDescent="0.3">
      <c r="N13725" s="1"/>
      <c r="O13725" s="1"/>
    </row>
    <row r="13726" spans="6:15" x14ac:dyDescent="0.3">
      <c r="F13726" s="1"/>
    </row>
    <row r="13727" spans="6:15" x14ac:dyDescent="0.3">
      <c r="F13727" s="1"/>
    </row>
    <row r="13728" spans="6:15" x14ac:dyDescent="0.3">
      <c r="F13728" s="1"/>
    </row>
    <row r="13729" spans="6:14" x14ac:dyDescent="0.3">
      <c r="F13729" s="1"/>
    </row>
    <row r="13730" spans="6:14" x14ac:dyDescent="0.3">
      <c r="F13730" s="1"/>
    </row>
    <row r="13731" spans="6:14" x14ac:dyDescent="0.3">
      <c r="F13731" s="1"/>
    </row>
    <row r="13733" spans="6:14" x14ac:dyDescent="0.3">
      <c r="F13733" s="1"/>
    </row>
    <row r="13734" spans="6:14" x14ac:dyDescent="0.3">
      <c r="F13734" s="1"/>
    </row>
    <row r="13735" spans="6:14" x14ac:dyDescent="0.3">
      <c r="F13735" s="1"/>
    </row>
    <row r="13736" spans="6:14" x14ac:dyDescent="0.3">
      <c r="F13736" s="1"/>
    </row>
    <row r="13737" spans="6:14" x14ac:dyDescent="0.3">
      <c r="F13737" s="1"/>
    </row>
    <row r="13738" spans="6:14" x14ac:dyDescent="0.3">
      <c r="F13738" s="1"/>
      <c r="N13738" s="1"/>
    </row>
    <row r="13739" spans="6:14" x14ac:dyDescent="0.3">
      <c r="F13739" s="1"/>
    </row>
    <row r="13740" spans="6:14" x14ac:dyDescent="0.3">
      <c r="F13740" s="1"/>
    </row>
    <row r="13741" spans="6:14" x14ac:dyDescent="0.3">
      <c r="L13741" s="1"/>
      <c r="M13741" s="1"/>
    </row>
    <row r="13742" spans="6:14" x14ac:dyDescent="0.3">
      <c r="F13742" s="1"/>
    </row>
    <row r="13743" spans="6:14" x14ac:dyDescent="0.3">
      <c r="F13743" s="1"/>
    </row>
    <row r="13744" spans="6:14" x14ac:dyDescent="0.3">
      <c r="F13744" s="1"/>
    </row>
    <row r="13745" spans="6:15" x14ac:dyDescent="0.3">
      <c r="N13745" s="1"/>
    </row>
    <row r="13746" spans="6:15" x14ac:dyDescent="0.3">
      <c r="M13746" s="1"/>
      <c r="N13746" s="1"/>
      <c r="O13746" s="1"/>
    </row>
    <row r="13747" spans="6:15" x14ac:dyDescent="0.3">
      <c r="F13747" s="1"/>
    </row>
    <row r="13748" spans="6:15" x14ac:dyDescent="0.3">
      <c r="F13748" s="1"/>
    </row>
    <row r="13749" spans="6:15" x14ac:dyDescent="0.3">
      <c r="F13749" s="1"/>
    </row>
    <row r="13750" spans="6:15" x14ac:dyDescent="0.3">
      <c r="F13750" s="1"/>
    </row>
    <row r="13751" spans="6:15" x14ac:dyDescent="0.3">
      <c r="F13751" s="1"/>
    </row>
    <row r="13752" spans="6:15" x14ac:dyDescent="0.3">
      <c r="F13752" s="1"/>
    </row>
    <row r="13753" spans="6:15" x14ac:dyDescent="0.3">
      <c r="F13753" s="1"/>
    </row>
    <row r="13754" spans="6:15" x14ac:dyDescent="0.3">
      <c r="F13754" s="1"/>
    </row>
    <row r="13755" spans="6:15" x14ac:dyDescent="0.3">
      <c r="F13755" s="1"/>
    </row>
    <row r="13756" spans="6:15" x14ac:dyDescent="0.3">
      <c r="F13756" s="1"/>
    </row>
    <row r="13757" spans="6:15" x14ac:dyDescent="0.3">
      <c r="F13757" s="1"/>
    </row>
    <row r="13758" spans="6:15" x14ac:dyDescent="0.3">
      <c r="F13758" s="1"/>
    </row>
    <row r="13759" spans="6:15" x14ac:dyDescent="0.3">
      <c r="F13759" s="1"/>
    </row>
    <row r="13762" spans="6:6" x14ac:dyDescent="0.3">
      <c r="F13762" s="1"/>
    </row>
    <row r="13763" spans="6:6" x14ac:dyDescent="0.3">
      <c r="F13763" s="1"/>
    </row>
    <row r="13764" spans="6:6" x14ac:dyDescent="0.3">
      <c r="F13764" s="1"/>
    </row>
    <row r="13765" spans="6:6" x14ac:dyDescent="0.3">
      <c r="F13765" s="1"/>
    </row>
    <row r="13766" spans="6:6" x14ac:dyDescent="0.3">
      <c r="F13766" s="1"/>
    </row>
    <row r="13767" spans="6:6" x14ac:dyDescent="0.3">
      <c r="F13767" s="1"/>
    </row>
    <row r="13768" spans="6:6" x14ac:dyDescent="0.3">
      <c r="F13768" s="1"/>
    </row>
    <row r="13769" spans="6:6" x14ac:dyDescent="0.3">
      <c r="F13769" s="1"/>
    </row>
    <row r="13770" spans="6:6" x14ac:dyDescent="0.3">
      <c r="F13770" s="1"/>
    </row>
    <row r="13771" spans="6:6" x14ac:dyDescent="0.3">
      <c r="F13771" s="1"/>
    </row>
    <row r="13774" spans="6:6" x14ac:dyDescent="0.3">
      <c r="F13774" s="1"/>
    </row>
    <row r="13775" spans="6:6" x14ac:dyDescent="0.3">
      <c r="F13775" s="1"/>
    </row>
    <row r="13776" spans="6:6" x14ac:dyDescent="0.3">
      <c r="F13776" s="1"/>
    </row>
    <row r="13777" spans="6:14" x14ac:dyDescent="0.3">
      <c r="F13777" s="1"/>
    </row>
    <row r="13778" spans="6:14" x14ac:dyDescent="0.3">
      <c r="F13778" s="1"/>
    </row>
    <row r="13781" spans="6:14" x14ac:dyDescent="0.3">
      <c r="F13781" s="1"/>
      <c r="N13781" s="1"/>
    </row>
    <row r="13782" spans="6:14" x14ac:dyDescent="0.3">
      <c r="F13782" s="1"/>
    </row>
    <row r="13783" spans="6:14" x14ac:dyDescent="0.3">
      <c r="F13783" s="1"/>
      <c r="N13783" s="1"/>
    </row>
    <row r="13784" spans="6:14" x14ac:dyDescent="0.3">
      <c r="F13784" s="1"/>
    </row>
    <row r="13786" spans="6:14" x14ac:dyDescent="0.3">
      <c r="F13786" s="1"/>
    </row>
    <row r="13787" spans="6:14" x14ac:dyDescent="0.3">
      <c r="F13787" s="1"/>
    </row>
    <row r="13788" spans="6:14" x14ac:dyDescent="0.3">
      <c r="F13788" s="1"/>
    </row>
    <row r="13789" spans="6:14" x14ac:dyDescent="0.3">
      <c r="F13789" s="1"/>
    </row>
    <row r="13790" spans="6:14" x14ac:dyDescent="0.3">
      <c r="F13790" s="1"/>
      <c r="L13790" s="1"/>
      <c r="M13790" s="1"/>
      <c r="N13790" s="1"/>
    </row>
    <row r="13791" spans="6:14" x14ac:dyDescent="0.3">
      <c r="F13791" s="1"/>
    </row>
    <row r="13792" spans="6:14" x14ac:dyDescent="0.3">
      <c r="F13792" s="1"/>
      <c r="M13792" s="1"/>
    </row>
    <row r="13793" spans="6:12" x14ac:dyDescent="0.3">
      <c r="F13793" s="1"/>
    </row>
    <row r="13797" spans="6:12" x14ac:dyDescent="0.3">
      <c r="F13797" s="1"/>
    </row>
    <row r="13798" spans="6:12" x14ac:dyDescent="0.3">
      <c r="F13798" s="1"/>
    </row>
    <row r="13799" spans="6:12" x14ac:dyDescent="0.3">
      <c r="F13799" s="1"/>
    </row>
    <row r="13801" spans="6:12" x14ac:dyDescent="0.3">
      <c r="F13801" s="1"/>
      <c r="L13801" s="1"/>
    </row>
    <row r="13802" spans="6:12" x14ac:dyDescent="0.3">
      <c r="F13802" s="1"/>
      <c r="L13802" s="1"/>
    </row>
    <row r="13804" spans="6:12" x14ac:dyDescent="0.3">
      <c r="F13804" s="1"/>
    </row>
    <row r="13805" spans="6:12" x14ac:dyDescent="0.3">
      <c r="F13805" s="1"/>
    </row>
    <row r="13806" spans="6:12" x14ac:dyDescent="0.3">
      <c r="F13806" s="1"/>
    </row>
    <row r="13807" spans="6:12" x14ac:dyDescent="0.3">
      <c r="F13807" s="1"/>
    </row>
    <row r="13808" spans="6:12" x14ac:dyDescent="0.3">
      <c r="F13808" s="1"/>
    </row>
    <row r="13809" spans="6:13" x14ac:dyDescent="0.3">
      <c r="F13809" s="1"/>
    </row>
    <row r="13810" spans="6:13" x14ac:dyDescent="0.3">
      <c r="F13810" s="1"/>
    </row>
    <row r="13811" spans="6:13" x14ac:dyDescent="0.3">
      <c r="F13811" s="1"/>
    </row>
    <row r="13812" spans="6:13" x14ac:dyDescent="0.3">
      <c r="F13812" s="1"/>
    </row>
    <row r="13813" spans="6:13" x14ac:dyDescent="0.3">
      <c r="F13813" s="1"/>
    </row>
    <row r="13814" spans="6:13" x14ac:dyDescent="0.3">
      <c r="F13814" s="1"/>
      <c r="M13814" s="1"/>
    </row>
    <row r="13815" spans="6:13" x14ac:dyDescent="0.3">
      <c r="F13815" s="1"/>
    </row>
    <row r="13816" spans="6:13" x14ac:dyDescent="0.3">
      <c r="F13816" s="1"/>
    </row>
    <row r="13817" spans="6:13" x14ac:dyDescent="0.3">
      <c r="F13817" s="1"/>
    </row>
    <row r="13818" spans="6:13" x14ac:dyDescent="0.3">
      <c r="F13818" s="1"/>
    </row>
    <row r="13819" spans="6:13" x14ac:dyDescent="0.3">
      <c r="F13819" s="1"/>
    </row>
    <row r="13820" spans="6:13" x14ac:dyDescent="0.3">
      <c r="F13820" s="1"/>
    </row>
    <row r="13821" spans="6:13" x14ac:dyDescent="0.3">
      <c r="F13821" s="1"/>
    </row>
    <row r="13822" spans="6:13" x14ac:dyDescent="0.3">
      <c r="F13822" s="1"/>
    </row>
    <row r="13823" spans="6:13" x14ac:dyDescent="0.3">
      <c r="F13823" s="1"/>
    </row>
    <row r="13824" spans="6:13" x14ac:dyDescent="0.3">
      <c r="F13824" s="1"/>
    </row>
    <row r="13825" spans="6:15" x14ac:dyDescent="0.3">
      <c r="F13825" s="1"/>
    </row>
    <row r="13826" spans="6:15" x14ac:dyDescent="0.3">
      <c r="F13826" s="1"/>
    </row>
    <row r="13827" spans="6:15" x14ac:dyDescent="0.3">
      <c r="F13827" s="1"/>
    </row>
    <row r="13828" spans="6:15" x14ac:dyDescent="0.3">
      <c r="F13828" s="1"/>
    </row>
    <row r="13829" spans="6:15" x14ac:dyDescent="0.3">
      <c r="F13829" s="1"/>
    </row>
    <row r="13831" spans="6:15" x14ac:dyDescent="0.3">
      <c r="F13831" s="1"/>
    </row>
    <row r="13832" spans="6:15" x14ac:dyDescent="0.3">
      <c r="F13832" s="1"/>
    </row>
    <row r="13834" spans="6:15" x14ac:dyDescent="0.3">
      <c r="F13834" s="1"/>
      <c r="L13834" s="1"/>
      <c r="M13834" s="1"/>
      <c r="N13834" s="1"/>
      <c r="O13834" s="1"/>
    </row>
    <row r="13835" spans="6:15" x14ac:dyDescent="0.3">
      <c r="F13835" s="1"/>
    </row>
    <row r="13836" spans="6:15" x14ac:dyDescent="0.3">
      <c r="F13836" s="1"/>
    </row>
    <row r="13837" spans="6:15" x14ac:dyDescent="0.3">
      <c r="F13837" s="1"/>
    </row>
    <row r="13838" spans="6:15" x14ac:dyDescent="0.3">
      <c r="F13838" s="1"/>
      <c r="L13838" s="1"/>
    </row>
    <row r="13839" spans="6:15" x14ac:dyDescent="0.3">
      <c r="F13839" s="1"/>
    </row>
    <row r="13840" spans="6:15" x14ac:dyDescent="0.3">
      <c r="F13840" s="1"/>
    </row>
    <row r="13841" spans="6:15" x14ac:dyDescent="0.3">
      <c r="F13841" s="1"/>
      <c r="O13841" s="1"/>
    </row>
    <row r="13842" spans="6:15" x14ac:dyDescent="0.3">
      <c r="F13842" s="1"/>
    </row>
    <row r="13843" spans="6:15" x14ac:dyDescent="0.3">
      <c r="F13843" s="1"/>
    </row>
    <row r="13844" spans="6:15" x14ac:dyDescent="0.3">
      <c r="F13844" s="1"/>
    </row>
    <row r="13845" spans="6:15" x14ac:dyDescent="0.3">
      <c r="F13845" s="1"/>
    </row>
    <row r="13847" spans="6:15" x14ac:dyDescent="0.3">
      <c r="F13847" s="1"/>
      <c r="M13847" s="1"/>
    </row>
    <row r="13848" spans="6:15" x14ac:dyDescent="0.3">
      <c r="F13848" s="1"/>
    </row>
    <row r="13849" spans="6:15" x14ac:dyDescent="0.3">
      <c r="F13849" s="1"/>
    </row>
    <row r="13850" spans="6:15" x14ac:dyDescent="0.3">
      <c r="F13850" s="1"/>
    </row>
    <row r="13851" spans="6:15" x14ac:dyDescent="0.3">
      <c r="F13851" s="1"/>
    </row>
    <row r="13852" spans="6:15" x14ac:dyDescent="0.3">
      <c r="L13852" s="1"/>
    </row>
    <row r="13854" spans="6:15" x14ac:dyDescent="0.3">
      <c r="F13854" s="1"/>
    </row>
    <row r="13855" spans="6:15" x14ac:dyDescent="0.3">
      <c r="F13855" s="1"/>
    </row>
    <row r="13856" spans="6:15" x14ac:dyDescent="0.3">
      <c r="F13856" s="1"/>
    </row>
    <row r="13857" spans="6:15" x14ac:dyDescent="0.3">
      <c r="F13857" s="1"/>
    </row>
    <row r="13858" spans="6:15" x14ac:dyDescent="0.3">
      <c r="F13858" s="1"/>
    </row>
    <row r="13860" spans="6:15" x14ac:dyDescent="0.3">
      <c r="F13860" s="1"/>
      <c r="M13860" s="1"/>
    </row>
    <row r="13861" spans="6:15" x14ac:dyDescent="0.3">
      <c r="F13861" s="1"/>
    </row>
    <row r="13862" spans="6:15" x14ac:dyDescent="0.3">
      <c r="F13862" s="1"/>
      <c r="M13862" s="1"/>
      <c r="N13862" s="1"/>
      <c r="O13862" s="1"/>
    </row>
    <row r="13863" spans="6:15" x14ac:dyDescent="0.3">
      <c r="F13863" s="1"/>
    </row>
    <row r="13864" spans="6:15" x14ac:dyDescent="0.3">
      <c r="F13864" s="1"/>
    </row>
    <row r="13865" spans="6:15" x14ac:dyDescent="0.3">
      <c r="F13865" s="1"/>
    </row>
    <row r="13866" spans="6:15" x14ac:dyDescent="0.3">
      <c r="F13866" s="1"/>
    </row>
    <row r="13867" spans="6:15" x14ac:dyDescent="0.3">
      <c r="F13867" s="1"/>
    </row>
    <row r="13868" spans="6:15" x14ac:dyDescent="0.3">
      <c r="F13868" s="1"/>
    </row>
    <row r="13869" spans="6:15" x14ac:dyDescent="0.3">
      <c r="F13869" s="1"/>
    </row>
    <row r="13871" spans="6:15" x14ac:dyDescent="0.3">
      <c r="F13871" s="1"/>
    </row>
    <row r="13872" spans="6:15" x14ac:dyDescent="0.3">
      <c r="F13872" s="1"/>
    </row>
    <row r="13873" spans="6:13" x14ac:dyDescent="0.3">
      <c r="F13873" s="1"/>
    </row>
    <row r="13874" spans="6:13" x14ac:dyDescent="0.3">
      <c r="F13874" s="1"/>
    </row>
    <row r="13875" spans="6:13" x14ac:dyDescent="0.3">
      <c r="F13875" s="1"/>
    </row>
    <row r="13876" spans="6:13" x14ac:dyDescent="0.3">
      <c r="F13876" s="1"/>
    </row>
    <row r="13877" spans="6:13" x14ac:dyDescent="0.3">
      <c r="F13877" s="1"/>
    </row>
    <row r="13878" spans="6:13" x14ac:dyDescent="0.3">
      <c r="F13878" s="1"/>
    </row>
    <row r="13879" spans="6:13" x14ac:dyDescent="0.3">
      <c r="F13879" s="1"/>
    </row>
    <row r="13880" spans="6:13" x14ac:dyDescent="0.3">
      <c r="F13880" s="1"/>
    </row>
    <row r="13881" spans="6:13" x14ac:dyDescent="0.3">
      <c r="F13881" s="1"/>
    </row>
    <row r="13882" spans="6:13" x14ac:dyDescent="0.3">
      <c r="F13882" s="1"/>
    </row>
    <row r="13883" spans="6:13" x14ac:dyDescent="0.3">
      <c r="F13883" s="1"/>
    </row>
    <row r="13884" spans="6:13" x14ac:dyDescent="0.3">
      <c r="F13884" s="1"/>
    </row>
    <row r="13885" spans="6:13" x14ac:dyDescent="0.3">
      <c r="F13885" s="1"/>
    </row>
    <row r="13886" spans="6:13" x14ac:dyDescent="0.3">
      <c r="F13886" s="1"/>
    </row>
    <row r="13887" spans="6:13" x14ac:dyDescent="0.3">
      <c r="F13887" s="1"/>
    </row>
    <row r="13888" spans="6:13" x14ac:dyDescent="0.3">
      <c r="F13888" s="1"/>
      <c r="M13888" s="1"/>
    </row>
    <row r="13889" spans="6:14" x14ac:dyDescent="0.3">
      <c r="F13889" s="1"/>
    </row>
    <row r="13890" spans="6:14" x14ac:dyDescent="0.3">
      <c r="F13890" s="1"/>
    </row>
    <row r="13893" spans="6:14" x14ac:dyDescent="0.3">
      <c r="F13893" s="1"/>
    </row>
    <row r="13894" spans="6:14" x14ac:dyDescent="0.3">
      <c r="F13894" s="1"/>
    </row>
    <row r="13895" spans="6:14" x14ac:dyDescent="0.3">
      <c r="M13895" s="1"/>
      <c r="N13895" s="1"/>
    </row>
    <row r="13896" spans="6:14" x14ac:dyDescent="0.3">
      <c r="F13896" s="1"/>
    </row>
    <row r="13897" spans="6:14" x14ac:dyDescent="0.3">
      <c r="F13897" s="1"/>
    </row>
    <row r="13898" spans="6:14" x14ac:dyDescent="0.3">
      <c r="F13898" s="1"/>
    </row>
    <row r="13899" spans="6:14" x14ac:dyDescent="0.3">
      <c r="F13899" s="1"/>
    </row>
    <row r="13900" spans="6:14" x14ac:dyDescent="0.3">
      <c r="F13900" s="1"/>
    </row>
    <row r="13901" spans="6:14" x14ac:dyDescent="0.3">
      <c r="F13901" s="1"/>
    </row>
    <row r="13902" spans="6:14" x14ac:dyDescent="0.3">
      <c r="F13902" s="1"/>
    </row>
    <row r="13903" spans="6:14" x14ac:dyDescent="0.3">
      <c r="F13903" s="1"/>
    </row>
    <row r="13904" spans="6:14" x14ac:dyDescent="0.3">
      <c r="F13904" s="1"/>
    </row>
    <row r="13905" spans="6:15" x14ac:dyDescent="0.3">
      <c r="F13905" s="1"/>
    </row>
    <row r="13906" spans="6:15" x14ac:dyDescent="0.3">
      <c r="M13906" s="1"/>
      <c r="O13906" s="1"/>
    </row>
    <row r="13907" spans="6:15" x14ac:dyDescent="0.3">
      <c r="F13907" s="1"/>
    </row>
    <row r="13908" spans="6:15" x14ac:dyDescent="0.3">
      <c r="F13908" s="1"/>
    </row>
    <row r="13909" spans="6:15" x14ac:dyDescent="0.3">
      <c r="F13909" s="1"/>
    </row>
    <row r="13910" spans="6:15" x14ac:dyDescent="0.3">
      <c r="F13910" s="1"/>
    </row>
    <row r="13911" spans="6:15" x14ac:dyDescent="0.3">
      <c r="F13911" s="1"/>
    </row>
    <row r="13912" spans="6:15" x14ac:dyDescent="0.3">
      <c r="F13912" s="1"/>
    </row>
    <row r="13913" spans="6:15" x14ac:dyDescent="0.3">
      <c r="F13913" s="1"/>
    </row>
    <row r="13914" spans="6:15" x14ac:dyDescent="0.3">
      <c r="F13914" s="1"/>
    </row>
    <row r="13915" spans="6:15" x14ac:dyDescent="0.3">
      <c r="F13915" s="1"/>
    </row>
    <row r="13916" spans="6:15" x14ac:dyDescent="0.3">
      <c r="F13916" s="1"/>
    </row>
    <row r="13917" spans="6:15" x14ac:dyDescent="0.3">
      <c r="F13917" s="1"/>
    </row>
    <row r="13918" spans="6:15" x14ac:dyDescent="0.3">
      <c r="F13918" s="1"/>
    </row>
    <row r="13919" spans="6:15" x14ac:dyDescent="0.3">
      <c r="M13919" s="1"/>
    </row>
    <row r="13920" spans="6:15" x14ac:dyDescent="0.3">
      <c r="F13920" s="1"/>
    </row>
    <row r="13921" spans="6:15" x14ac:dyDescent="0.3">
      <c r="M13921" s="1"/>
      <c r="N13921" s="1"/>
    </row>
    <row r="13922" spans="6:15" x14ac:dyDescent="0.3">
      <c r="F13922" s="1"/>
    </row>
    <row r="13924" spans="6:15" x14ac:dyDescent="0.3">
      <c r="F13924" s="1"/>
    </row>
    <row r="13925" spans="6:15" x14ac:dyDescent="0.3">
      <c r="N13925" s="1"/>
      <c r="O13925" s="1"/>
    </row>
    <row r="13926" spans="6:15" x14ac:dyDescent="0.3">
      <c r="F13926" s="1"/>
    </row>
    <row r="13927" spans="6:15" x14ac:dyDescent="0.3">
      <c r="F13927" s="1"/>
    </row>
    <row r="13928" spans="6:15" x14ac:dyDescent="0.3">
      <c r="F13928" s="1"/>
      <c r="L13928" s="1"/>
      <c r="O13928" s="1"/>
    </row>
    <row r="13929" spans="6:15" x14ac:dyDescent="0.3">
      <c r="F13929" s="1"/>
      <c r="M13929" s="1"/>
    </row>
    <row r="13930" spans="6:15" x14ac:dyDescent="0.3">
      <c r="F13930" s="1"/>
    </row>
    <row r="13931" spans="6:15" x14ac:dyDescent="0.3">
      <c r="F13931" s="1"/>
    </row>
    <row r="13932" spans="6:15" x14ac:dyDescent="0.3">
      <c r="F13932" s="1"/>
    </row>
    <row r="13933" spans="6:15" x14ac:dyDescent="0.3">
      <c r="F13933" s="1"/>
    </row>
    <row r="13934" spans="6:15" x14ac:dyDescent="0.3">
      <c r="F13934" s="1"/>
    </row>
    <row r="13935" spans="6:15" x14ac:dyDescent="0.3">
      <c r="L13935" s="1"/>
      <c r="M13935" s="1"/>
    </row>
    <row r="13936" spans="6:15" x14ac:dyDescent="0.3">
      <c r="F13936" s="1"/>
    </row>
    <row r="13937" spans="6:15" x14ac:dyDescent="0.3">
      <c r="F13937" s="1"/>
    </row>
    <row r="13938" spans="6:15" x14ac:dyDescent="0.3">
      <c r="F13938" s="1"/>
    </row>
    <row r="13939" spans="6:15" x14ac:dyDescent="0.3">
      <c r="F13939" s="1"/>
    </row>
    <row r="13940" spans="6:15" x14ac:dyDescent="0.3">
      <c r="F13940" s="1"/>
    </row>
    <row r="13941" spans="6:15" x14ac:dyDescent="0.3">
      <c r="F13941" s="1"/>
    </row>
    <row r="13942" spans="6:15" x14ac:dyDescent="0.3">
      <c r="F13942" s="1"/>
    </row>
    <row r="13943" spans="6:15" x14ac:dyDescent="0.3">
      <c r="F13943" s="1"/>
    </row>
    <row r="13944" spans="6:15" x14ac:dyDescent="0.3">
      <c r="F13944" s="1"/>
    </row>
    <row r="13945" spans="6:15" x14ac:dyDescent="0.3">
      <c r="F13945" s="1"/>
    </row>
    <row r="13946" spans="6:15" x14ac:dyDescent="0.3">
      <c r="F13946" s="1"/>
    </row>
    <row r="13947" spans="6:15" x14ac:dyDescent="0.3">
      <c r="F13947" s="1"/>
    </row>
    <row r="13948" spans="6:15" x14ac:dyDescent="0.3">
      <c r="F13948" s="1"/>
    </row>
    <row r="13949" spans="6:15" x14ac:dyDescent="0.3">
      <c r="F13949" s="1"/>
    </row>
    <row r="13950" spans="6:15" x14ac:dyDescent="0.3">
      <c r="F13950" s="1"/>
    </row>
    <row r="13951" spans="6:15" x14ac:dyDescent="0.3">
      <c r="F13951" s="1"/>
      <c r="O13951" s="1"/>
    </row>
    <row r="13952" spans="6:15" x14ac:dyDescent="0.3">
      <c r="F13952" s="1"/>
    </row>
    <row r="13953" spans="6:6" x14ac:dyDescent="0.3">
      <c r="F13953" s="1"/>
    </row>
    <row r="13955" spans="6:6" x14ac:dyDescent="0.3">
      <c r="F13955" s="1"/>
    </row>
    <row r="13956" spans="6:6" x14ac:dyDescent="0.3">
      <c r="F13956" s="1"/>
    </row>
    <row r="13957" spans="6:6" x14ac:dyDescent="0.3">
      <c r="F13957" s="1"/>
    </row>
    <row r="13958" spans="6:6" x14ac:dyDescent="0.3">
      <c r="F13958" s="1"/>
    </row>
    <row r="13959" spans="6:6" x14ac:dyDescent="0.3">
      <c r="F13959" s="1"/>
    </row>
    <row r="13960" spans="6:6" x14ac:dyDescent="0.3">
      <c r="F13960" s="1"/>
    </row>
    <row r="13961" spans="6:6" x14ac:dyDescent="0.3">
      <c r="F13961" s="1"/>
    </row>
    <row r="13962" spans="6:6" x14ac:dyDescent="0.3">
      <c r="F13962" s="1"/>
    </row>
    <row r="13964" spans="6:6" x14ac:dyDescent="0.3">
      <c r="F13964" s="1"/>
    </row>
    <row r="13965" spans="6:6" x14ac:dyDescent="0.3">
      <c r="F13965" s="1"/>
    </row>
    <row r="13966" spans="6:6" x14ac:dyDescent="0.3">
      <c r="F13966" s="1"/>
    </row>
    <row r="13968" spans="6:6" x14ac:dyDescent="0.3">
      <c r="F13968" s="1"/>
    </row>
    <row r="13969" spans="6:14" x14ac:dyDescent="0.3">
      <c r="F13969" s="1"/>
    </row>
    <row r="13970" spans="6:14" x14ac:dyDescent="0.3">
      <c r="F13970" s="1"/>
    </row>
    <row r="13971" spans="6:14" x14ac:dyDescent="0.3">
      <c r="F13971" s="1"/>
    </row>
    <row r="13972" spans="6:14" x14ac:dyDescent="0.3">
      <c r="F13972" s="1"/>
    </row>
    <row r="13974" spans="6:14" x14ac:dyDescent="0.3">
      <c r="F13974" s="1"/>
    </row>
    <row r="13975" spans="6:14" x14ac:dyDescent="0.3">
      <c r="N13975" s="1"/>
    </row>
    <row r="13976" spans="6:14" x14ac:dyDescent="0.3">
      <c r="F13976" s="1"/>
    </row>
    <row r="13977" spans="6:14" x14ac:dyDescent="0.3">
      <c r="F13977" s="1"/>
    </row>
    <row r="13978" spans="6:14" x14ac:dyDescent="0.3">
      <c r="F13978" s="1"/>
    </row>
    <row r="13979" spans="6:14" x14ac:dyDescent="0.3">
      <c r="F13979" s="1"/>
    </row>
    <row r="13980" spans="6:14" x14ac:dyDescent="0.3">
      <c r="F13980" s="1"/>
    </row>
    <row r="13981" spans="6:14" x14ac:dyDescent="0.3">
      <c r="F13981" s="1"/>
    </row>
    <row r="13982" spans="6:14" x14ac:dyDescent="0.3">
      <c r="F13982" s="1"/>
    </row>
    <row r="13983" spans="6:14" x14ac:dyDescent="0.3">
      <c r="F13983" s="1"/>
    </row>
    <row r="13984" spans="6:14" x14ac:dyDescent="0.3">
      <c r="F13984" s="1"/>
    </row>
    <row r="13985" spans="6:15" x14ac:dyDescent="0.3">
      <c r="F13985" s="1"/>
      <c r="L13985" s="1"/>
    </row>
    <row r="13986" spans="6:15" x14ac:dyDescent="0.3">
      <c r="F13986" s="1"/>
      <c r="L13986" s="1"/>
      <c r="O13986" s="1"/>
    </row>
    <row r="13987" spans="6:15" x14ac:dyDescent="0.3">
      <c r="F13987" s="1"/>
    </row>
    <row r="13988" spans="6:15" x14ac:dyDescent="0.3">
      <c r="F13988" s="1"/>
    </row>
    <row r="13989" spans="6:15" x14ac:dyDescent="0.3">
      <c r="M13989" s="1"/>
      <c r="N13989" s="1"/>
    </row>
    <row r="13990" spans="6:15" x14ac:dyDescent="0.3">
      <c r="F13990" s="1"/>
    </row>
    <row r="13992" spans="6:15" x14ac:dyDescent="0.3">
      <c r="F13992" s="1"/>
    </row>
    <row r="13993" spans="6:15" x14ac:dyDescent="0.3">
      <c r="F13993" s="1"/>
    </row>
    <row r="13994" spans="6:15" x14ac:dyDescent="0.3">
      <c r="F13994" s="1"/>
    </row>
    <row r="13995" spans="6:15" x14ac:dyDescent="0.3">
      <c r="F13995" s="1"/>
      <c r="M13995" s="1"/>
    </row>
    <row r="13996" spans="6:15" x14ac:dyDescent="0.3">
      <c r="F13996" s="1"/>
    </row>
    <row r="13997" spans="6:15" x14ac:dyDescent="0.3">
      <c r="F13997" s="1"/>
    </row>
    <row r="13999" spans="6:15" x14ac:dyDescent="0.3">
      <c r="F13999" s="1"/>
      <c r="M13999" s="1"/>
    </row>
    <row r="14000" spans="6:15" x14ac:dyDescent="0.3">
      <c r="F14000" s="1"/>
    </row>
    <row r="14001" spans="6:15" x14ac:dyDescent="0.3">
      <c r="M14001" s="1"/>
      <c r="O14001" s="1"/>
    </row>
    <row r="14002" spans="6:15" x14ac:dyDescent="0.3">
      <c r="N14002" s="1"/>
      <c r="O14002" s="1"/>
    </row>
    <row r="14003" spans="6:15" x14ac:dyDescent="0.3">
      <c r="F14003" s="1"/>
    </row>
    <row r="14004" spans="6:15" x14ac:dyDescent="0.3">
      <c r="F14004" s="1"/>
    </row>
    <row r="14005" spans="6:15" x14ac:dyDescent="0.3">
      <c r="F14005" s="1"/>
      <c r="N14005" s="1"/>
    </row>
    <row r="14006" spans="6:15" x14ac:dyDescent="0.3">
      <c r="F14006" s="1"/>
    </row>
    <row r="14007" spans="6:15" x14ac:dyDescent="0.3">
      <c r="F14007" s="1"/>
    </row>
    <row r="14008" spans="6:15" x14ac:dyDescent="0.3">
      <c r="F14008" s="1"/>
    </row>
    <row r="14011" spans="6:15" x14ac:dyDescent="0.3">
      <c r="F14011" s="1"/>
    </row>
    <row r="14012" spans="6:15" x14ac:dyDescent="0.3">
      <c r="F14012" s="1"/>
    </row>
    <row r="14013" spans="6:15" x14ac:dyDescent="0.3">
      <c r="F14013" s="1"/>
    </row>
    <row r="14014" spans="6:15" x14ac:dyDescent="0.3">
      <c r="F14014" s="1"/>
    </row>
    <row r="14015" spans="6:15" x14ac:dyDescent="0.3">
      <c r="F14015" s="1"/>
    </row>
    <row r="14016" spans="6:15" x14ac:dyDescent="0.3">
      <c r="F14016" s="1"/>
      <c r="L14016" s="1"/>
      <c r="M14016" s="1"/>
      <c r="N14016" s="1"/>
      <c r="O14016" s="1"/>
    </row>
    <row r="14017" spans="6:14" x14ac:dyDescent="0.3">
      <c r="F14017" s="1"/>
    </row>
    <row r="14018" spans="6:14" x14ac:dyDescent="0.3">
      <c r="F14018" s="1"/>
      <c r="L14018" s="1"/>
      <c r="M14018" s="1"/>
      <c r="N14018" s="1"/>
    </row>
    <row r="14019" spans="6:14" x14ac:dyDescent="0.3">
      <c r="F14019" s="1"/>
      <c r="L14019" s="1"/>
      <c r="M14019" s="1"/>
    </row>
    <row r="14021" spans="6:14" x14ac:dyDescent="0.3">
      <c r="F14021" s="1"/>
    </row>
    <row r="14023" spans="6:14" x14ac:dyDescent="0.3">
      <c r="F14023" s="1"/>
    </row>
    <row r="14024" spans="6:14" x14ac:dyDescent="0.3">
      <c r="F14024" s="1"/>
    </row>
    <row r="14025" spans="6:14" x14ac:dyDescent="0.3">
      <c r="F14025" s="1"/>
    </row>
    <row r="14026" spans="6:14" x14ac:dyDescent="0.3">
      <c r="F14026" s="1"/>
    </row>
    <row r="14027" spans="6:14" x14ac:dyDescent="0.3">
      <c r="F14027" s="1"/>
    </row>
    <row r="14028" spans="6:14" x14ac:dyDescent="0.3">
      <c r="F14028" s="1"/>
      <c r="N14028" s="1"/>
    </row>
    <row r="14030" spans="6:14" x14ac:dyDescent="0.3">
      <c r="F14030" s="1"/>
    </row>
    <row r="14031" spans="6:14" x14ac:dyDescent="0.3">
      <c r="F14031" s="1"/>
    </row>
    <row r="14032" spans="6:14" x14ac:dyDescent="0.3">
      <c r="F14032" s="1"/>
    </row>
    <row r="14034" spans="6:14" x14ac:dyDescent="0.3">
      <c r="F14034" s="1"/>
    </row>
    <row r="14035" spans="6:14" x14ac:dyDescent="0.3">
      <c r="F14035" s="1"/>
    </row>
    <row r="14037" spans="6:14" x14ac:dyDescent="0.3">
      <c r="L14037" s="1"/>
      <c r="M14037" s="1"/>
      <c r="N14037" s="1"/>
    </row>
    <row r="14038" spans="6:14" x14ac:dyDescent="0.3">
      <c r="F14038" s="1"/>
    </row>
    <row r="14039" spans="6:14" x14ac:dyDescent="0.3">
      <c r="F14039" s="1"/>
    </row>
    <row r="14040" spans="6:14" x14ac:dyDescent="0.3">
      <c r="F14040" s="1"/>
    </row>
    <row r="14041" spans="6:14" x14ac:dyDescent="0.3">
      <c r="F14041" s="1"/>
    </row>
    <row r="14042" spans="6:14" x14ac:dyDescent="0.3">
      <c r="F14042" s="1"/>
    </row>
    <row r="14043" spans="6:14" x14ac:dyDescent="0.3">
      <c r="F14043" s="1"/>
    </row>
    <row r="14044" spans="6:14" x14ac:dyDescent="0.3">
      <c r="F14044" s="1"/>
    </row>
    <row r="14045" spans="6:14" x14ac:dyDescent="0.3">
      <c r="F14045" s="1"/>
    </row>
    <row r="14046" spans="6:14" x14ac:dyDescent="0.3">
      <c r="F14046" s="1"/>
    </row>
    <row r="14047" spans="6:14" x14ac:dyDescent="0.3">
      <c r="F14047" s="1"/>
    </row>
    <row r="14048" spans="6:14" x14ac:dyDescent="0.3">
      <c r="L14048" s="1"/>
      <c r="M14048" s="1"/>
    </row>
    <row r="14050" spans="6:15" x14ac:dyDescent="0.3">
      <c r="F14050" s="1"/>
    </row>
    <row r="14051" spans="6:15" x14ac:dyDescent="0.3">
      <c r="F14051" s="1"/>
    </row>
    <row r="14052" spans="6:15" x14ac:dyDescent="0.3">
      <c r="F14052" s="1"/>
      <c r="L14052" s="1"/>
    </row>
    <row r="14053" spans="6:15" x14ac:dyDescent="0.3">
      <c r="F14053" s="1"/>
    </row>
    <row r="14055" spans="6:15" x14ac:dyDescent="0.3">
      <c r="F14055" s="1"/>
      <c r="L14055" s="1"/>
      <c r="O14055" s="1"/>
    </row>
    <row r="14056" spans="6:15" x14ac:dyDescent="0.3">
      <c r="F14056" s="1"/>
    </row>
    <row r="14057" spans="6:15" x14ac:dyDescent="0.3">
      <c r="F14057" s="1"/>
    </row>
    <row r="14058" spans="6:15" x14ac:dyDescent="0.3">
      <c r="F14058" s="1"/>
    </row>
    <row r="14059" spans="6:15" x14ac:dyDescent="0.3">
      <c r="F14059" s="1"/>
    </row>
    <row r="14060" spans="6:15" x14ac:dyDescent="0.3">
      <c r="F14060" s="1"/>
    </row>
    <row r="14061" spans="6:15" x14ac:dyDescent="0.3">
      <c r="F14061" s="1"/>
    </row>
    <row r="14062" spans="6:15" x14ac:dyDescent="0.3">
      <c r="F14062" s="1"/>
    </row>
    <row r="14063" spans="6:15" x14ac:dyDescent="0.3">
      <c r="F14063" s="1"/>
    </row>
    <row r="14064" spans="6:15" x14ac:dyDescent="0.3">
      <c r="F14064" s="1"/>
    </row>
    <row r="14065" spans="6:6" x14ac:dyDescent="0.3">
      <c r="F14065" s="1"/>
    </row>
    <row r="14066" spans="6:6" x14ac:dyDescent="0.3">
      <c r="F14066" s="1"/>
    </row>
    <row r="14067" spans="6:6" x14ac:dyDescent="0.3">
      <c r="F14067" s="1"/>
    </row>
    <row r="14068" spans="6:6" x14ac:dyDescent="0.3">
      <c r="F14068" s="1"/>
    </row>
    <row r="14070" spans="6:6" x14ac:dyDescent="0.3">
      <c r="F14070" s="1"/>
    </row>
    <row r="14071" spans="6:6" x14ac:dyDescent="0.3">
      <c r="F14071" s="1"/>
    </row>
    <row r="14072" spans="6:6" x14ac:dyDescent="0.3">
      <c r="F14072" s="1"/>
    </row>
    <row r="14073" spans="6:6" x14ac:dyDescent="0.3">
      <c r="F14073" s="1"/>
    </row>
    <row r="14074" spans="6:6" x14ac:dyDescent="0.3">
      <c r="F14074" s="1"/>
    </row>
    <row r="14075" spans="6:6" x14ac:dyDescent="0.3">
      <c r="F14075" s="1"/>
    </row>
    <row r="14076" spans="6:6" x14ac:dyDescent="0.3">
      <c r="F14076" s="1"/>
    </row>
    <row r="14078" spans="6:6" x14ac:dyDescent="0.3">
      <c r="F14078" s="1"/>
    </row>
    <row r="14079" spans="6:6" x14ac:dyDescent="0.3">
      <c r="F14079" s="1"/>
    </row>
    <row r="14080" spans="6:6" x14ac:dyDescent="0.3">
      <c r="F14080" s="1"/>
    </row>
    <row r="14081" spans="6:15" x14ac:dyDescent="0.3">
      <c r="F14081" s="1"/>
    </row>
    <row r="14082" spans="6:15" x14ac:dyDescent="0.3">
      <c r="F14082" s="1"/>
    </row>
    <row r="14083" spans="6:15" x14ac:dyDescent="0.3">
      <c r="F14083" s="1"/>
      <c r="L14083" s="1"/>
      <c r="O14083" s="1"/>
    </row>
    <row r="14084" spans="6:15" x14ac:dyDescent="0.3">
      <c r="F14084" s="1"/>
    </row>
    <row r="14085" spans="6:15" x14ac:dyDescent="0.3">
      <c r="F14085" s="1"/>
    </row>
    <row r="14086" spans="6:15" x14ac:dyDescent="0.3">
      <c r="L14086" s="1"/>
      <c r="N14086" s="1"/>
      <c r="O14086" s="1"/>
    </row>
    <row r="14087" spans="6:15" x14ac:dyDescent="0.3">
      <c r="F14087" s="1"/>
    </row>
    <row r="14088" spans="6:15" x14ac:dyDescent="0.3">
      <c r="F14088" s="1"/>
    </row>
    <row r="14089" spans="6:15" x14ac:dyDescent="0.3">
      <c r="F14089" s="1"/>
    </row>
    <row r="14090" spans="6:15" x14ac:dyDescent="0.3">
      <c r="F14090" s="1"/>
      <c r="L14090" s="1"/>
      <c r="M14090" s="1"/>
      <c r="N14090" s="1"/>
    </row>
    <row r="14092" spans="6:15" x14ac:dyDescent="0.3">
      <c r="F14092" s="1"/>
    </row>
    <row r="14094" spans="6:15" x14ac:dyDescent="0.3">
      <c r="F14094" s="1"/>
    </row>
    <row r="14095" spans="6:15" x14ac:dyDescent="0.3">
      <c r="F14095" s="1"/>
      <c r="N14095" s="1"/>
    </row>
    <row r="14096" spans="6:15" x14ac:dyDescent="0.3">
      <c r="L14096" s="1"/>
      <c r="M14096" s="1"/>
      <c r="N14096" s="1"/>
      <c r="O14096" s="1"/>
    </row>
    <row r="14097" spans="6:15" x14ac:dyDescent="0.3">
      <c r="F14097" s="1"/>
    </row>
    <row r="14098" spans="6:15" x14ac:dyDescent="0.3">
      <c r="F14098" s="1"/>
    </row>
    <row r="14100" spans="6:15" x14ac:dyDescent="0.3">
      <c r="F14100" s="1"/>
    </row>
    <row r="14101" spans="6:15" x14ac:dyDescent="0.3">
      <c r="F14101" s="1"/>
    </row>
    <row r="14102" spans="6:15" x14ac:dyDescent="0.3">
      <c r="F14102" s="1"/>
      <c r="M14102" s="1"/>
    </row>
    <row r="14103" spans="6:15" x14ac:dyDescent="0.3">
      <c r="F14103" s="1"/>
    </row>
    <row r="14104" spans="6:15" x14ac:dyDescent="0.3">
      <c r="F14104" s="1"/>
    </row>
    <row r="14105" spans="6:15" x14ac:dyDescent="0.3">
      <c r="F14105" s="1"/>
    </row>
    <row r="14106" spans="6:15" x14ac:dyDescent="0.3">
      <c r="F14106" s="1"/>
    </row>
    <row r="14107" spans="6:15" x14ac:dyDescent="0.3">
      <c r="F14107" s="1"/>
    </row>
    <row r="14108" spans="6:15" x14ac:dyDescent="0.3">
      <c r="F14108" s="1"/>
    </row>
    <row r="14109" spans="6:15" x14ac:dyDescent="0.3">
      <c r="F14109" s="1"/>
      <c r="N14109" s="1"/>
      <c r="O14109" s="1"/>
    </row>
    <row r="14110" spans="6:15" x14ac:dyDescent="0.3">
      <c r="F14110" s="1"/>
    </row>
    <row r="14111" spans="6:15" x14ac:dyDescent="0.3">
      <c r="F14111" s="1"/>
    </row>
    <row r="14112" spans="6:15" x14ac:dyDescent="0.3">
      <c r="F14112" s="1"/>
    </row>
    <row r="14113" spans="6:6" x14ac:dyDescent="0.3">
      <c r="F14113" s="1"/>
    </row>
    <row r="14115" spans="6:6" x14ac:dyDescent="0.3">
      <c r="F14115" s="1"/>
    </row>
    <row r="14116" spans="6:6" x14ac:dyDescent="0.3">
      <c r="F14116" s="1"/>
    </row>
    <row r="14118" spans="6:6" x14ac:dyDescent="0.3">
      <c r="F14118" s="1"/>
    </row>
    <row r="14119" spans="6:6" x14ac:dyDescent="0.3">
      <c r="F14119" s="1"/>
    </row>
    <row r="14120" spans="6:6" x14ac:dyDescent="0.3">
      <c r="F14120" s="1"/>
    </row>
    <row r="14121" spans="6:6" x14ac:dyDescent="0.3">
      <c r="F14121" s="1"/>
    </row>
    <row r="14122" spans="6:6" x14ac:dyDescent="0.3">
      <c r="F14122" s="1"/>
    </row>
    <row r="14123" spans="6:6" x14ac:dyDescent="0.3">
      <c r="F14123" s="1"/>
    </row>
    <row r="14124" spans="6:6" x14ac:dyDescent="0.3">
      <c r="F14124" s="1"/>
    </row>
    <row r="14125" spans="6:6" x14ac:dyDescent="0.3">
      <c r="F14125" s="1"/>
    </row>
    <row r="14126" spans="6:6" x14ac:dyDescent="0.3">
      <c r="F14126" s="1"/>
    </row>
    <row r="14127" spans="6:6" x14ac:dyDescent="0.3">
      <c r="F14127" s="1"/>
    </row>
    <row r="14128" spans="6:6" x14ac:dyDescent="0.3">
      <c r="F14128" s="1"/>
    </row>
    <row r="14129" spans="6:15" x14ac:dyDescent="0.3">
      <c r="F14129" s="1"/>
    </row>
    <row r="14130" spans="6:15" x14ac:dyDescent="0.3">
      <c r="F14130" s="1"/>
    </row>
    <row r="14131" spans="6:15" x14ac:dyDescent="0.3">
      <c r="F14131" s="1"/>
    </row>
    <row r="14132" spans="6:15" x14ac:dyDescent="0.3">
      <c r="L14132" s="1"/>
      <c r="M14132" s="1"/>
      <c r="N14132" s="1"/>
      <c r="O14132" s="1"/>
    </row>
    <row r="14133" spans="6:15" x14ac:dyDescent="0.3">
      <c r="F14133" s="1"/>
    </row>
    <row r="14134" spans="6:15" x14ac:dyDescent="0.3">
      <c r="F14134" s="1"/>
    </row>
    <row r="14135" spans="6:15" x14ac:dyDescent="0.3">
      <c r="F14135" s="1"/>
    </row>
    <row r="14136" spans="6:15" x14ac:dyDescent="0.3">
      <c r="F14136" s="1"/>
    </row>
    <row r="14137" spans="6:15" x14ac:dyDescent="0.3">
      <c r="F14137" s="1"/>
    </row>
    <row r="14139" spans="6:15" x14ac:dyDescent="0.3">
      <c r="F14139" s="1"/>
    </row>
    <row r="14140" spans="6:15" x14ac:dyDescent="0.3">
      <c r="F14140" s="1"/>
    </row>
    <row r="14141" spans="6:15" x14ac:dyDescent="0.3">
      <c r="F14141" s="1"/>
    </row>
    <row r="14142" spans="6:15" x14ac:dyDescent="0.3">
      <c r="F14142" s="1"/>
    </row>
    <row r="14143" spans="6:15" x14ac:dyDescent="0.3">
      <c r="F14143" s="1"/>
    </row>
    <row r="14144" spans="6:15" x14ac:dyDescent="0.3">
      <c r="F14144" s="1"/>
      <c r="L14144" s="1"/>
      <c r="M14144" s="1"/>
    </row>
    <row r="14145" spans="6:12" x14ac:dyDescent="0.3">
      <c r="F14145" s="1"/>
    </row>
    <row r="14146" spans="6:12" x14ac:dyDescent="0.3">
      <c r="F14146" s="1"/>
    </row>
    <row r="14147" spans="6:12" x14ac:dyDescent="0.3">
      <c r="F14147" s="1"/>
    </row>
    <row r="14148" spans="6:12" x14ac:dyDescent="0.3">
      <c r="F14148" s="1"/>
      <c r="L14148" s="1"/>
    </row>
    <row r="14150" spans="6:12" x14ac:dyDescent="0.3">
      <c r="F14150" s="1"/>
    </row>
    <row r="14151" spans="6:12" x14ac:dyDescent="0.3">
      <c r="F14151" s="1"/>
    </row>
    <row r="14152" spans="6:12" x14ac:dyDescent="0.3">
      <c r="F14152" s="1"/>
    </row>
    <row r="14153" spans="6:12" x14ac:dyDescent="0.3">
      <c r="F14153" s="1"/>
    </row>
    <row r="14155" spans="6:12" x14ac:dyDescent="0.3">
      <c r="F14155" s="1"/>
    </row>
    <row r="14156" spans="6:12" x14ac:dyDescent="0.3">
      <c r="F14156" s="1"/>
    </row>
    <row r="14158" spans="6:12" x14ac:dyDescent="0.3">
      <c r="F14158" s="1"/>
    </row>
    <row r="14159" spans="6:12" x14ac:dyDescent="0.3">
      <c r="F14159" s="1"/>
    </row>
    <row r="14160" spans="6:12" x14ac:dyDescent="0.3">
      <c r="F14160" s="1"/>
    </row>
    <row r="14161" spans="6:13" x14ac:dyDescent="0.3">
      <c r="F14161" s="1"/>
    </row>
    <row r="14162" spans="6:13" x14ac:dyDescent="0.3">
      <c r="F14162" s="1"/>
    </row>
    <row r="14163" spans="6:13" x14ac:dyDescent="0.3">
      <c r="F14163" s="1"/>
    </row>
    <row r="14164" spans="6:13" x14ac:dyDescent="0.3">
      <c r="F14164" s="1"/>
    </row>
    <row r="14165" spans="6:13" x14ac:dyDescent="0.3">
      <c r="F14165" s="1"/>
    </row>
    <row r="14166" spans="6:13" x14ac:dyDescent="0.3">
      <c r="F14166" s="1"/>
    </row>
    <row r="14167" spans="6:13" x14ac:dyDescent="0.3">
      <c r="F14167" s="1"/>
    </row>
    <row r="14170" spans="6:13" x14ac:dyDescent="0.3">
      <c r="F14170" s="1"/>
    </row>
    <row r="14171" spans="6:13" x14ac:dyDescent="0.3">
      <c r="L14171" s="1"/>
      <c r="M14171" s="1"/>
    </row>
    <row r="14172" spans="6:13" x14ac:dyDescent="0.3">
      <c r="F14172" s="1"/>
    </row>
    <row r="14173" spans="6:13" x14ac:dyDescent="0.3">
      <c r="F14173" s="1"/>
    </row>
    <row r="14174" spans="6:13" x14ac:dyDescent="0.3">
      <c r="F14174" s="1"/>
    </row>
    <row r="14175" spans="6:13" x14ac:dyDescent="0.3">
      <c r="F14175" s="1"/>
    </row>
    <row r="14176" spans="6:13" x14ac:dyDescent="0.3">
      <c r="F14176" s="1"/>
    </row>
    <row r="14177" spans="6:14" x14ac:dyDescent="0.3">
      <c r="F14177" s="1"/>
    </row>
    <row r="14178" spans="6:14" x14ac:dyDescent="0.3">
      <c r="F14178" s="1"/>
    </row>
    <row r="14179" spans="6:14" x14ac:dyDescent="0.3">
      <c r="F14179" s="1"/>
    </row>
    <row r="14180" spans="6:14" x14ac:dyDescent="0.3">
      <c r="N14180" s="1"/>
    </row>
    <row r="14181" spans="6:14" x14ac:dyDescent="0.3">
      <c r="F14181" s="1"/>
    </row>
    <row r="14182" spans="6:14" x14ac:dyDescent="0.3">
      <c r="F14182" s="1"/>
      <c r="M14182" s="1"/>
    </row>
    <row r="14183" spans="6:14" x14ac:dyDescent="0.3">
      <c r="N14183" s="1"/>
    </row>
    <row r="14184" spans="6:14" x14ac:dyDescent="0.3">
      <c r="F14184" s="1"/>
    </row>
    <row r="14185" spans="6:14" x14ac:dyDescent="0.3">
      <c r="F14185" s="1"/>
    </row>
    <row r="14186" spans="6:14" x14ac:dyDescent="0.3">
      <c r="F14186" s="1"/>
      <c r="N14186" s="1"/>
    </row>
    <row r="14187" spans="6:14" x14ac:dyDescent="0.3">
      <c r="F14187" s="1"/>
    </row>
    <row r="14188" spans="6:14" x14ac:dyDescent="0.3">
      <c r="F14188" s="1"/>
    </row>
    <row r="14190" spans="6:14" x14ac:dyDescent="0.3">
      <c r="F14190" s="1"/>
    </row>
    <row r="14191" spans="6:14" x14ac:dyDescent="0.3">
      <c r="F14191" s="1"/>
    </row>
    <row r="14192" spans="6:14" x14ac:dyDescent="0.3">
      <c r="F14192" s="1"/>
    </row>
    <row r="14193" spans="6:15" x14ac:dyDescent="0.3">
      <c r="N14193" s="1"/>
    </row>
    <row r="14194" spans="6:15" x14ac:dyDescent="0.3">
      <c r="F14194" s="1"/>
      <c r="L14194" s="1"/>
      <c r="N14194" s="1"/>
    </row>
    <row r="14195" spans="6:15" x14ac:dyDescent="0.3">
      <c r="F14195" s="1"/>
    </row>
    <row r="14196" spans="6:15" x14ac:dyDescent="0.3">
      <c r="F14196" s="1"/>
    </row>
    <row r="14197" spans="6:15" x14ac:dyDescent="0.3">
      <c r="F14197" s="1"/>
      <c r="N14197" s="1"/>
    </row>
    <row r="14199" spans="6:15" x14ac:dyDescent="0.3">
      <c r="F14199" s="1"/>
    </row>
    <row r="14200" spans="6:15" x14ac:dyDescent="0.3">
      <c r="F14200" s="1"/>
    </row>
    <row r="14201" spans="6:15" x14ac:dyDescent="0.3">
      <c r="F14201" s="1"/>
    </row>
    <row r="14202" spans="6:15" x14ac:dyDescent="0.3">
      <c r="F14202" s="1"/>
    </row>
    <row r="14203" spans="6:15" x14ac:dyDescent="0.3">
      <c r="F14203" s="1"/>
    </row>
    <row r="14204" spans="6:15" x14ac:dyDescent="0.3">
      <c r="F14204" s="1"/>
    </row>
    <row r="14205" spans="6:15" x14ac:dyDescent="0.3">
      <c r="F14205" s="1"/>
    </row>
    <row r="14206" spans="6:15" x14ac:dyDescent="0.3">
      <c r="F14206" s="1"/>
      <c r="N14206" s="1"/>
    </row>
    <row r="14207" spans="6:15" x14ac:dyDescent="0.3">
      <c r="F14207" s="1"/>
    </row>
    <row r="14208" spans="6:15" x14ac:dyDescent="0.3">
      <c r="F14208" s="1"/>
      <c r="L14208" s="1"/>
      <c r="M14208" s="1"/>
      <c r="N14208" s="1"/>
      <c r="O14208" s="1"/>
    </row>
    <row r="14209" spans="6:13" x14ac:dyDescent="0.3">
      <c r="F14209" s="1"/>
      <c r="M14209" s="1"/>
    </row>
    <row r="14211" spans="6:13" x14ac:dyDescent="0.3">
      <c r="F14211" s="1"/>
    </row>
    <row r="14212" spans="6:13" x14ac:dyDescent="0.3">
      <c r="F14212" s="1"/>
    </row>
    <row r="14213" spans="6:13" x14ac:dyDescent="0.3">
      <c r="F14213" s="1"/>
    </row>
    <row r="14214" spans="6:13" x14ac:dyDescent="0.3">
      <c r="F14214" s="1"/>
    </row>
    <row r="14215" spans="6:13" x14ac:dyDescent="0.3">
      <c r="F14215" s="1"/>
    </row>
    <row r="14216" spans="6:13" x14ac:dyDescent="0.3">
      <c r="F14216" s="1"/>
    </row>
    <row r="14217" spans="6:13" x14ac:dyDescent="0.3">
      <c r="F14217" s="1"/>
    </row>
    <row r="14219" spans="6:13" x14ac:dyDescent="0.3">
      <c r="F14219" s="1"/>
    </row>
    <row r="14220" spans="6:13" x14ac:dyDescent="0.3">
      <c r="F14220" s="1"/>
    </row>
    <row r="14221" spans="6:13" x14ac:dyDescent="0.3">
      <c r="F14221" s="1"/>
    </row>
    <row r="14222" spans="6:13" x14ac:dyDescent="0.3">
      <c r="F14222" s="1"/>
    </row>
    <row r="14223" spans="6:13" x14ac:dyDescent="0.3">
      <c r="F14223" s="1"/>
    </row>
    <row r="14224" spans="6:13" x14ac:dyDescent="0.3">
      <c r="M14224" s="1"/>
    </row>
    <row r="14225" spans="6:6" x14ac:dyDescent="0.3">
      <c r="F14225" s="1"/>
    </row>
    <row r="14226" spans="6:6" x14ac:dyDescent="0.3">
      <c r="F14226" s="1"/>
    </row>
    <row r="14227" spans="6:6" x14ac:dyDescent="0.3">
      <c r="F14227" s="1"/>
    </row>
    <row r="14228" spans="6:6" x14ac:dyDescent="0.3">
      <c r="F14228" s="1"/>
    </row>
    <row r="14229" spans="6:6" x14ac:dyDescent="0.3">
      <c r="F14229" s="1"/>
    </row>
    <row r="14230" spans="6:6" x14ac:dyDescent="0.3">
      <c r="F14230" s="1"/>
    </row>
    <row r="14231" spans="6:6" x14ac:dyDescent="0.3">
      <c r="F14231" s="1"/>
    </row>
    <row r="14232" spans="6:6" x14ac:dyDescent="0.3">
      <c r="F14232" s="1"/>
    </row>
    <row r="14233" spans="6:6" x14ac:dyDescent="0.3">
      <c r="F14233" s="1"/>
    </row>
    <row r="14234" spans="6:6" x14ac:dyDescent="0.3">
      <c r="F14234" s="1"/>
    </row>
    <row r="14235" spans="6:6" x14ac:dyDescent="0.3">
      <c r="F14235" s="1"/>
    </row>
    <row r="14236" spans="6:6" x14ac:dyDescent="0.3">
      <c r="F14236" s="1"/>
    </row>
    <row r="14238" spans="6:6" x14ac:dyDescent="0.3">
      <c r="F14238" s="1"/>
    </row>
    <row r="14239" spans="6:6" x14ac:dyDescent="0.3">
      <c r="F14239" s="1"/>
    </row>
    <row r="14240" spans="6:6" x14ac:dyDescent="0.3">
      <c r="F14240" s="1"/>
    </row>
    <row r="14241" spans="6:14" x14ac:dyDescent="0.3">
      <c r="F14241" s="1"/>
    </row>
    <row r="14242" spans="6:14" x14ac:dyDescent="0.3">
      <c r="F14242" s="1"/>
      <c r="N14242" s="1"/>
    </row>
    <row r="14243" spans="6:14" x14ac:dyDescent="0.3">
      <c r="F14243" s="1"/>
    </row>
    <row r="14244" spans="6:14" x14ac:dyDescent="0.3">
      <c r="F14244" s="1"/>
    </row>
    <row r="14245" spans="6:14" x14ac:dyDescent="0.3">
      <c r="F14245" s="1"/>
    </row>
    <row r="14246" spans="6:14" x14ac:dyDescent="0.3">
      <c r="F14246" s="1"/>
    </row>
    <row r="14247" spans="6:14" x14ac:dyDescent="0.3">
      <c r="L14247" s="1"/>
    </row>
    <row r="14248" spans="6:14" x14ac:dyDescent="0.3">
      <c r="F14248" s="1"/>
    </row>
    <row r="14249" spans="6:14" x14ac:dyDescent="0.3">
      <c r="F14249" s="1"/>
      <c r="L14249" s="1"/>
      <c r="M14249" s="1"/>
    </row>
    <row r="14250" spans="6:14" x14ac:dyDescent="0.3">
      <c r="L14250" s="1"/>
      <c r="M14250" s="1"/>
    </row>
    <row r="14251" spans="6:14" x14ac:dyDescent="0.3">
      <c r="F14251" s="1"/>
    </row>
    <row r="14252" spans="6:14" x14ac:dyDescent="0.3">
      <c r="F14252" s="1"/>
    </row>
    <row r="14253" spans="6:14" x14ac:dyDescent="0.3">
      <c r="F14253" s="1"/>
    </row>
    <row r="14254" spans="6:14" x14ac:dyDescent="0.3">
      <c r="F14254" s="1"/>
      <c r="L14254" s="1"/>
    </row>
    <row r="14256" spans="6:14" x14ac:dyDescent="0.3">
      <c r="F14256" s="1"/>
    </row>
    <row r="14257" spans="6:14" x14ac:dyDescent="0.3">
      <c r="F14257" s="1"/>
    </row>
    <row r="14258" spans="6:14" x14ac:dyDescent="0.3">
      <c r="F14258" s="1"/>
    </row>
    <row r="14259" spans="6:14" x14ac:dyDescent="0.3">
      <c r="F14259" s="1"/>
    </row>
    <row r="14260" spans="6:14" x14ac:dyDescent="0.3">
      <c r="F14260" s="1"/>
    </row>
    <row r="14261" spans="6:14" x14ac:dyDescent="0.3">
      <c r="F14261" s="1"/>
      <c r="L14261" s="1"/>
      <c r="N14261" s="1"/>
    </row>
    <row r="14262" spans="6:14" x14ac:dyDescent="0.3">
      <c r="F14262" s="1"/>
    </row>
    <row r="14263" spans="6:14" x14ac:dyDescent="0.3">
      <c r="F14263" s="1"/>
    </row>
    <row r="14264" spans="6:14" x14ac:dyDescent="0.3">
      <c r="F14264" s="1"/>
    </row>
    <row r="14266" spans="6:14" x14ac:dyDescent="0.3">
      <c r="F14266" s="1"/>
    </row>
    <row r="14267" spans="6:14" x14ac:dyDescent="0.3">
      <c r="F14267" s="1"/>
    </row>
    <row r="14268" spans="6:14" x14ac:dyDescent="0.3">
      <c r="L14268" s="1"/>
      <c r="M14268" s="1"/>
    </row>
    <row r="14269" spans="6:14" x14ac:dyDescent="0.3">
      <c r="F14269" s="1"/>
    </row>
    <row r="14270" spans="6:14" x14ac:dyDescent="0.3">
      <c r="F14270" s="1"/>
    </row>
    <row r="14271" spans="6:14" x14ac:dyDescent="0.3">
      <c r="F14271" s="1"/>
    </row>
    <row r="14272" spans="6:14" x14ac:dyDescent="0.3">
      <c r="F14272" s="1"/>
    </row>
    <row r="14273" spans="6:15" x14ac:dyDescent="0.3">
      <c r="F14273" s="1"/>
    </row>
    <row r="14275" spans="6:15" x14ac:dyDescent="0.3">
      <c r="F14275" s="1"/>
    </row>
    <row r="14276" spans="6:15" x14ac:dyDescent="0.3">
      <c r="F14276" s="1"/>
      <c r="M14276" s="1"/>
    </row>
    <row r="14277" spans="6:15" x14ac:dyDescent="0.3">
      <c r="F14277" s="1"/>
    </row>
    <row r="14278" spans="6:15" x14ac:dyDescent="0.3">
      <c r="F14278" s="1"/>
    </row>
    <row r="14279" spans="6:15" x14ac:dyDescent="0.3">
      <c r="L14279" s="1"/>
      <c r="O14279" s="1"/>
    </row>
    <row r="14280" spans="6:15" x14ac:dyDescent="0.3">
      <c r="F14280" s="1"/>
    </row>
    <row r="14281" spans="6:15" x14ac:dyDescent="0.3">
      <c r="F14281" s="1"/>
    </row>
    <row r="14282" spans="6:15" x14ac:dyDescent="0.3">
      <c r="F14282" s="1"/>
      <c r="M14282" s="1"/>
      <c r="N14282" s="1"/>
    </row>
    <row r="14283" spans="6:15" x14ac:dyDescent="0.3">
      <c r="F14283" s="1"/>
    </row>
    <row r="14284" spans="6:15" x14ac:dyDescent="0.3">
      <c r="F14284" s="1"/>
    </row>
    <row r="14286" spans="6:15" x14ac:dyDescent="0.3">
      <c r="F14286" s="1"/>
    </row>
    <row r="14287" spans="6:15" x14ac:dyDescent="0.3">
      <c r="F14287" s="1"/>
    </row>
    <row r="14288" spans="6:15" x14ac:dyDescent="0.3">
      <c r="F14288" s="1"/>
    </row>
    <row r="14292" spans="6:15" x14ac:dyDescent="0.3">
      <c r="N14292" s="1"/>
    </row>
    <row r="14294" spans="6:15" x14ac:dyDescent="0.3">
      <c r="F14294" s="1"/>
    </row>
    <row r="14295" spans="6:15" x14ac:dyDescent="0.3">
      <c r="F14295" s="1"/>
    </row>
    <row r="14296" spans="6:15" x14ac:dyDescent="0.3">
      <c r="F14296" s="1"/>
    </row>
    <row r="14297" spans="6:15" x14ac:dyDescent="0.3">
      <c r="F14297" s="1"/>
    </row>
    <row r="14298" spans="6:15" x14ac:dyDescent="0.3">
      <c r="L14298" s="1"/>
      <c r="M14298" s="1"/>
      <c r="N14298" s="1"/>
      <c r="O14298" s="1"/>
    </row>
    <row r="14301" spans="6:15" x14ac:dyDescent="0.3">
      <c r="F14301" s="1"/>
    </row>
    <row r="14302" spans="6:15" x14ac:dyDescent="0.3">
      <c r="F14302" s="1"/>
      <c r="N14302" s="1"/>
    </row>
    <row r="14303" spans="6:15" x14ac:dyDescent="0.3">
      <c r="F14303" s="1"/>
    </row>
    <row r="14304" spans="6:15" x14ac:dyDescent="0.3">
      <c r="F14304" s="1"/>
    </row>
    <row r="14306" spans="6:14" x14ac:dyDescent="0.3">
      <c r="F14306" s="1"/>
    </row>
    <row r="14307" spans="6:14" x14ac:dyDescent="0.3">
      <c r="F14307" s="1"/>
    </row>
    <row r="14308" spans="6:14" x14ac:dyDescent="0.3">
      <c r="F14308" s="1"/>
    </row>
    <row r="14309" spans="6:14" x14ac:dyDescent="0.3">
      <c r="F14309" s="1"/>
      <c r="M14309" s="1"/>
    </row>
    <row r="14310" spans="6:14" x14ac:dyDescent="0.3">
      <c r="F14310" s="1"/>
      <c r="N14310" s="1"/>
    </row>
    <row r="14311" spans="6:14" x14ac:dyDescent="0.3">
      <c r="F14311" s="1"/>
    </row>
    <row r="14312" spans="6:14" x14ac:dyDescent="0.3">
      <c r="F14312" s="1"/>
    </row>
    <row r="14313" spans="6:14" x14ac:dyDescent="0.3">
      <c r="F14313" s="1"/>
    </row>
    <row r="14314" spans="6:14" x14ac:dyDescent="0.3">
      <c r="F14314" s="1"/>
    </row>
    <row r="14315" spans="6:14" x14ac:dyDescent="0.3">
      <c r="F14315" s="1"/>
    </row>
    <row r="14316" spans="6:14" x14ac:dyDescent="0.3">
      <c r="F14316" s="1"/>
    </row>
    <row r="14317" spans="6:14" x14ac:dyDescent="0.3">
      <c r="F14317" s="1"/>
    </row>
    <row r="14318" spans="6:14" x14ac:dyDescent="0.3">
      <c r="F14318" s="1"/>
    </row>
    <row r="14319" spans="6:14" x14ac:dyDescent="0.3">
      <c r="F14319" s="1"/>
    </row>
    <row r="14320" spans="6:14" x14ac:dyDescent="0.3">
      <c r="F14320" s="1"/>
    </row>
    <row r="14321" spans="6:15" x14ac:dyDescent="0.3">
      <c r="F14321" s="1"/>
    </row>
    <row r="14322" spans="6:15" x14ac:dyDescent="0.3">
      <c r="F14322" s="1"/>
    </row>
    <row r="14323" spans="6:15" x14ac:dyDescent="0.3">
      <c r="F14323" s="1"/>
    </row>
    <row r="14324" spans="6:15" x14ac:dyDescent="0.3">
      <c r="F14324" s="1"/>
    </row>
    <row r="14325" spans="6:15" x14ac:dyDescent="0.3">
      <c r="F14325" s="1"/>
    </row>
    <row r="14326" spans="6:15" x14ac:dyDescent="0.3">
      <c r="F14326" s="1"/>
      <c r="M14326" s="1"/>
    </row>
    <row r="14327" spans="6:15" x14ac:dyDescent="0.3">
      <c r="F14327" s="1"/>
    </row>
    <row r="14328" spans="6:15" x14ac:dyDescent="0.3">
      <c r="F14328" s="1"/>
    </row>
    <row r="14329" spans="6:15" x14ac:dyDescent="0.3">
      <c r="F14329" s="1"/>
    </row>
    <row r="14331" spans="6:15" x14ac:dyDescent="0.3">
      <c r="F14331" s="1"/>
    </row>
    <row r="14332" spans="6:15" x14ac:dyDescent="0.3">
      <c r="F14332" s="1"/>
      <c r="L14332" s="1"/>
      <c r="N14332" s="1"/>
      <c r="O14332" s="1"/>
    </row>
    <row r="14333" spans="6:15" x14ac:dyDescent="0.3">
      <c r="F14333" s="1"/>
      <c r="N14333" s="1"/>
    </row>
    <row r="14334" spans="6:15" x14ac:dyDescent="0.3">
      <c r="F14334" s="1"/>
    </row>
    <row r="14335" spans="6:15" x14ac:dyDescent="0.3">
      <c r="F14335" s="1"/>
    </row>
    <row r="14336" spans="6:15" x14ac:dyDescent="0.3">
      <c r="L14336" s="1"/>
      <c r="M14336" s="1"/>
      <c r="N14336" s="1"/>
    </row>
    <row r="14337" spans="6:13" x14ac:dyDescent="0.3">
      <c r="F14337" s="1"/>
    </row>
    <row r="14338" spans="6:13" x14ac:dyDescent="0.3">
      <c r="F14338" s="1"/>
    </row>
    <row r="14339" spans="6:13" x14ac:dyDescent="0.3">
      <c r="F14339" s="1"/>
    </row>
    <row r="14341" spans="6:13" x14ac:dyDescent="0.3">
      <c r="F14341" s="1"/>
    </row>
    <row r="14342" spans="6:13" x14ac:dyDescent="0.3">
      <c r="F14342" s="1"/>
    </row>
    <row r="14344" spans="6:13" x14ac:dyDescent="0.3">
      <c r="F14344" s="1"/>
      <c r="L14344" s="1"/>
      <c r="M14344" s="1"/>
    </row>
    <row r="14345" spans="6:13" x14ac:dyDescent="0.3">
      <c r="F14345" s="1"/>
    </row>
    <row r="14346" spans="6:13" x14ac:dyDescent="0.3">
      <c r="F14346" s="1"/>
    </row>
    <row r="14347" spans="6:13" x14ac:dyDescent="0.3">
      <c r="F14347" s="1"/>
    </row>
    <row r="14348" spans="6:13" x14ac:dyDescent="0.3">
      <c r="F14348" s="1"/>
    </row>
    <row r="14349" spans="6:13" x14ac:dyDescent="0.3">
      <c r="F14349" s="1"/>
    </row>
    <row r="14350" spans="6:13" x14ac:dyDescent="0.3">
      <c r="F14350" s="1"/>
    </row>
    <row r="14351" spans="6:13" x14ac:dyDescent="0.3">
      <c r="F14351" s="1"/>
    </row>
    <row r="14353" spans="6:15" x14ac:dyDescent="0.3">
      <c r="F14353" s="1"/>
    </row>
    <row r="14354" spans="6:15" x14ac:dyDescent="0.3">
      <c r="F14354" s="1"/>
    </row>
    <row r="14355" spans="6:15" x14ac:dyDescent="0.3">
      <c r="L14355" s="1"/>
      <c r="M14355" s="1"/>
      <c r="N14355" s="1"/>
      <c r="O14355" s="1"/>
    </row>
    <row r="14356" spans="6:15" x14ac:dyDescent="0.3">
      <c r="F14356" s="1"/>
    </row>
    <row r="14357" spans="6:15" x14ac:dyDescent="0.3">
      <c r="F14357" s="1"/>
    </row>
    <row r="14358" spans="6:15" x14ac:dyDescent="0.3">
      <c r="F14358" s="1"/>
    </row>
    <row r="14359" spans="6:15" x14ac:dyDescent="0.3">
      <c r="F14359" s="1"/>
    </row>
    <row r="14360" spans="6:15" x14ac:dyDescent="0.3">
      <c r="F14360" s="1"/>
    </row>
    <row r="14361" spans="6:15" x14ac:dyDescent="0.3">
      <c r="F14361" s="1"/>
    </row>
    <row r="14362" spans="6:15" x14ac:dyDescent="0.3">
      <c r="F14362" s="1"/>
    </row>
    <row r="14363" spans="6:15" x14ac:dyDescent="0.3">
      <c r="F14363" s="1"/>
    </row>
    <row r="14364" spans="6:15" x14ac:dyDescent="0.3">
      <c r="F14364" s="1"/>
      <c r="L14364" s="1"/>
      <c r="N14364" s="1"/>
    </row>
    <row r="14365" spans="6:15" x14ac:dyDescent="0.3">
      <c r="F14365" s="1"/>
    </row>
    <row r="14366" spans="6:15" x14ac:dyDescent="0.3">
      <c r="F14366" s="1"/>
    </row>
    <row r="14367" spans="6:15" x14ac:dyDescent="0.3">
      <c r="F14367" s="1"/>
    </row>
    <row r="14368" spans="6:15" x14ac:dyDescent="0.3">
      <c r="F14368" s="1"/>
    </row>
    <row r="14369" spans="6:13" x14ac:dyDescent="0.3">
      <c r="F14369" s="1"/>
    </row>
    <row r="14370" spans="6:13" x14ac:dyDescent="0.3">
      <c r="F14370" s="1"/>
    </row>
    <row r="14371" spans="6:13" x14ac:dyDescent="0.3">
      <c r="F14371" s="1"/>
    </row>
    <row r="14372" spans="6:13" x14ac:dyDescent="0.3">
      <c r="F14372" s="1"/>
    </row>
    <row r="14373" spans="6:13" x14ac:dyDescent="0.3">
      <c r="F14373" s="1"/>
    </row>
    <row r="14374" spans="6:13" x14ac:dyDescent="0.3">
      <c r="F14374" s="1"/>
    </row>
    <row r="14375" spans="6:13" x14ac:dyDescent="0.3">
      <c r="F14375" s="1"/>
    </row>
    <row r="14376" spans="6:13" x14ac:dyDescent="0.3">
      <c r="F14376" s="1"/>
      <c r="L14376" s="1"/>
      <c r="M14376" s="1"/>
    </row>
    <row r="14377" spans="6:13" x14ac:dyDescent="0.3">
      <c r="F14377" s="1"/>
    </row>
    <row r="14378" spans="6:13" x14ac:dyDescent="0.3">
      <c r="F14378" s="1"/>
    </row>
    <row r="14379" spans="6:13" x14ac:dyDescent="0.3">
      <c r="F14379" s="1"/>
    </row>
    <row r="14380" spans="6:13" x14ac:dyDescent="0.3">
      <c r="F14380" s="1"/>
    </row>
    <row r="14381" spans="6:13" x14ac:dyDescent="0.3">
      <c r="F14381" s="1"/>
    </row>
    <row r="14382" spans="6:13" x14ac:dyDescent="0.3">
      <c r="F14382" s="1"/>
    </row>
    <row r="14383" spans="6:13" x14ac:dyDescent="0.3">
      <c r="F14383" s="1"/>
    </row>
    <row r="14384" spans="6:13" x14ac:dyDescent="0.3">
      <c r="F14384" s="1"/>
    </row>
    <row r="14385" spans="6:15" x14ac:dyDescent="0.3">
      <c r="F14385" s="1"/>
      <c r="N14385" s="1"/>
    </row>
    <row r="14386" spans="6:15" x14ac:dyDescent="0.3">
      <c r="F14386" s="1"/>
    </row>
    <row r="14387" spans="6:15" x14ac:dyDescent="0.3">
      <c r="F14387" s="1"/>
    </row>
    <row r="14388" spans="6:15" x14ac:dyDescent="0.3">
      <c r="F14388" s="1"/>
    </row>
    <row r="14389" spans="6:15" x14ac:dyDescent="0.3">
      <c r="F14389" s="1"/>
    </row>
    <row r="14390" spans="6:15" x14ac:dyDescent="0.3">
      <c r="F14390" s="1"/>
    </row>
    <row r="14392" spans="6:15" x14ac:dyDescent="0.3">
      <c r="F14392" s="1"/>
    </row>
    <row r="14393" spans="6:15" x14ac:dyDescent="0.3">
      <c r="F14393" s="1"/>
    </row>
    <row r="14394" spans="6:15" x14ac:dyDescent="0.3">
      <c r="F14394" s="1"/>
    </row>
    <row r="14395" spans="6:15" x14ac:dyDescent="0.3">
      <c r="F14395" s="1"/>
    </row>
    <row r="14396" spans="6:15" x14ac:dyDescent="0.3">
      <c r="F14396" s="1"/>
    </row>
    <row r="14397" spans="6:15" x14ac:dyDescent="0.3">
      <c r="F14397" s="1"/>
    </row>
    <row r="14398" spans="6:15" x14ac:dyDescent="0.3">
      <c r="F14398" s="1"/>
    </row>
    <row r="14399" spans="6:15" x14ac:dyDescent="0.3">
      <c r="F14399" s="1"/>
      <c r="L14399" s="1"/>
      <c r="N14399" s="1"/>
      <c r="O14399" s="1"/>
    </row>
    <row r="14400" spans="6:15" x14ac:dyDescent="0.3">
      <c r="F14400" s="1"/>
    </row>
    <row r="14401" spans="6:15" x14ac:dyDescent="0.3">
      <c r="L14401" s="1"/>
    </row>
    <row r="14403" spans="6:15" x14ac:dyDescent="0.3">
      <c r="F14403" s="1"/>
    </row>
    <row r="14404" spans="6:15" x14ac:dyDescent="0.3">
      <c r="F14404" s="1"/>
    </row>
    <row r="14405" spans="6:15" x14ac:dyDescent="0.3">
      <c r="F14405" s="1"/>
      <c r="L14405" s="1"/>
      <c r="O14405" s="1"/>
    </row>
    <row r="14406" spans="6:15" x14ac:dyDescent="0.3">
      <c r="F14406" s="1"/>
      <c r="L14406" s="1"/>
      <c r="M14406" s="1"/>
      <c r="O14406" s="1"/>
    </row>
    <row r="14407" spans="6:15" x14ac:dyDescent="0.3">
      <c r="F14407" s="1"/>
      <c r="N14407" s="1"/>
    </row>
    <row r="14408" spans="6:15" x14ac:dyDescent="0.3">
      <c r="F14408" s="1"/>
    </row>
    <row r="14409" spans="6:15" x14ac:dyDescent="0.3">
      <c r="F14409" s="1"/>
    </row>
    <row r="14410" spans="6:15" x14ac:dyDescent="0.3">
      <c r="F14410" s="1"/>
      <c r="L14410" s="1"/>
    </row>
    <row r="14411" spans="6:15" x14ac:dyDescent="0.3">
      <c r="F14411" s="1"/>
    </row>
    <row r="14412" spans="6:15" x14ac:dyDescent="0.3">
      <c r="F14412" s="1"/>
    </row>
    <row r="14413" spans="6:15" x14ac:dyDescent="0.3">
      <c r="F14413" s="1"/>
    </row>
    <row r="14414" spans="6:15" x14ac:dyDescent="0.3">
      <c r="F14414" s="1"/>
    </row>
    <row r="14415" spans="6:15" x14ac:dyDescent="0.3">
      <c r="F14415" s="1"/>
    </row>
    <row r="14416" spans="6:15" x14ac:dyDescent="0.3">
      <c r="F14416" s="1"/>
    </row>
    <row r="14417" spans="6:15" x14ac:dyDescent="0.3">
      <c r="F14417" s="1"/>
    </row>
    <row r="14418" spans="6:15" x14ac:dyDescent="0.3">
      <c r="F14418" s="1"/>
    </row>
    <row r="14419" spans="6:15" x14ac:dyDescent="0.3">
      <c r="F14419" s="1"/>
    </row>
    <row r="14420" spans="6:15" x14ac:dyDescent="0.3">
      <c r="N14420" s="1"/>
      <c r="O14420" s="1"/>
    </row>
    <row r="14421" spans="6:15" x14ac:dyDescent="0.3">
      <c r="F14421" s="1"/>
    </row>
    <row r="14422" spans="6:15" x14ac:dyDescent="0.3">
      <c r="F14422" s="1"/>
    </row>
    <row r="14423" spans="6:15" x14ac:dyDescent="0.3">
      <c r="F14423" s="1"/>
      <c r="L14423" s="1"/>
    </row>
    <row r="14424" spans="6:15" x14ac:dyDescent="0.3">
      <c r="F14424" s="1"/>
    </row>
    <row r="14425" spans="6:15" x14ac:dyDescent="0.3">
      <c r="F14425" s="1"/>
    </row>
    <row r="14427" spans="6:15" x14ac:dyDescent="0.3">
      <c r="F14427" s="1"/>
    </row>
    <row r="14428" spans="6:15" x14ac:dyDescent="0.3">
      <c r="F14428" s="1"/>
    </row>
    <row r="14429" spans="6:15" x14ac:dyDescent="0.3">
      <c r="L14429" s="1"/>
      <c r="N14429" s="1"/>
    </row>
    <row r="14430" spans="6:15" x14ac:dyDescent="0.3">
      <c r="F14430" s="1"/>
      <c r="L14430" s="1"/>
      <c r="M14430" s="1"/>
      <c r="N14430" s="1"/>
      <c r="O14430" s="1"/>
    </row>
    <row r="14431" spans="6:15" x14ac:dyDescent="0.3">
      <c r="F14431" s="1"/>
    </row>
    <row r="14432" spans="6:15" x14ac:dyDescent="0.3">
      <c r="F14432" s="1"/>
    </row>
    <row r="14433" spans="6:13" x14ac:dyDescent="0.3">
      <c r="F14433" s="1"/>
    </row>
    <row r="14434" spans="6:13" x14ac:dyDescent="0.3">
      <c r="F14434" s="1"/>
    </row>
    <row r="14435" spans="6:13" x14ac:dyDescent="0.3">
      <c r="F14435" s="1"/>
    </row>
    <row r="14436" spans="6:13" x14ac:dyDescent="0.3">
      <c r="L14436" s="1"/>
      <c r="M14436" s="1"/>
    </row>
    <row r="14437" spans="6:13" x14ac:dyDescent="0.3">
      <c r="F14437" s="1"/>
    </row>
    <row r="14438" spans="6:13" x14ac:dyDescent="0.3">
      <c r="F14438" s="1"/>
    </row>
    <row r="14439" spans="6:13" x14ac:dyDescent="0.3">
      <c r="F14439" s="1"/>
    </row>
    <row r="14440" spans="6:13" x14ac:dyDescent="0.3">
      <c r="F14440" s="1"/>
    </row>
    <row r="14441" spans="6:13" x14ac:dyDescent="0.3">
      <c r="F14441" s="1"/>
    </row>
    <row r="14442" spans="6:13" x14ac:dyDescent="0.3">
      <c r="F14442" s="1"/>
    </row>
    <row r="14443" spans="6:13" x14ac:dyDescent="0.3">
      <c r="F14443" s="1"/>
    </row>
    <row r="14444" spans="6:13" x14ac:dyDescent="0.3">
      <c r="F14444" s="1"/>
    </row>
    <row r="14445" spans="6:13" x14ac:dyDescent="0.3">
      <c r="F14445" s="1"/>
    </row>
    <row r="14446" spans="6:13" x14ac:dyDescent="0.3">
      <c r="F14446" s="1"/>
    </row>
    <row r="14447" spans="6:13" x14ac:dyDescent="0.3">
      <c r="F14447" s="1"/>
    </row>
    <row r="14450" spans="6:14" x14ac:dyDescent="0.3">
      <c r="F14450" s="1"/>
    </row>
    <row r="14451" spans="6:14" x14ac:dyDescent="0.3">
      <c r="F14451" s="1"/>
    </row>
    <row r="14452" spans="6:14" x14ac:dyDescent="0.3">
      <c r="F14452" s="1"/>
    </row>
    <row r="14453" spans="6:14" x14ac:dyDescent="0.3">
      <c r="F14453" s="1"/>
    </row>
    <row r="14455" spans="6:14" x14ac:dyDescent="0.3">
      <c r="F14455" s="1"/>
      <c r="N14455" s="1"/>
    </row>
    <row r="14456" spans="6:14" x14ac:dyDescent="0.3">
      <c r="F14456" s="1"/>
    </row>
    <row r="14457" spans="6:14" x14ac:dyDescent="0.3">
      <c r="F14457" s="1"/>
    </row>
    <row r="14458" spans="6:14" x14ac:dyDescent="0.3">
      <c r="F14458" s="1"/>
    </row>
    <row r="14459" spans="6:14" x14ac:dyDescent="0.3">
      <c r="F14459" s="1"/>
    </row>
    <row r="14460" spans="6:14" x14ac:dyDescent="0.3">
      <c r="F14460" s="1"/>
    </row>
    <row r="14462" spans="6:14" x14ac:dyDescent="0.3">
      <c r="F14462" s="1"/>
    </row>
    <row r="14463" spans="6:14" x14ac:dyDescent="0.3">
      <c r="F14463" s="1"/>
    </row>
    <row r="14464" spans="6:14" x14ac:dyDescent="0.3">
      <c r="F14464" s="1"/>
    </row>
    <row r="14465" spans="6:13" x14ac:dyDescent="0.3">
      <c r="F14465" s="1"/>
    </row>
    <row r="14466" spans="6:13" x14ac:dyDescent="0.3">
      <c r="F14466" s="1"/>
    </row>
    <row r="14467" spans="6:13" x14ac:dyDescent="0.3">
      <c r="F14467" s="1"/>
    </row>
    <row r="14468" spans="6:13" x14ac:dyDescent="0.3">
      <c r="F14468" s="1"/>
    </row>
    <row r="14469" spans="6:13" x14ac:dyDescent="0.3">
      <c r="F14469" s="1"/>
    </row>
    <row r="14470" spans="6:13" x14ac:dyDescent="0.3">
      <c r="F14470" s="1"/>
    </row>
    <row r="14471" spans="6:13" x14ac:dyDescent="0.3">
      <c r="F14471" s="1"/>
    </row>
    <row r="14472" spans="6:13" x14ac:dyDescent="0.3">
      <c r="F14472" s="1"/>
    </row>
    <row r="14473" spans="6:13" x14ac:dyDescent="0.3">
      <c r="F14473" s="1"/>
    </row>
    <row r="14474" spans="6:13" x14ac:dyDescent="0.3">
      <c r="F14474" s="1"/>
    </row>
    <row r="14475" spans="6:13" x14ac:dyDescent="0.3">
      <c r="F14475" s="1"/>
    </row>
    <row r="14476" spans="6:13" x14ac:dyDescent="0.3">
      <c r="F14476" s="1"/>
      <c r="M14476" s="1"/>
    </row>
    <row r="14477" spans="6:13" x14ac:dyDescent="0.3">
      <c r="F14477" s="1"/>
    </row>
    <row r="14478" spans="6:13" x14ac:dyDescent="0.3">
      <c r="F14478" s="1"/>
    </row>
    <row r="14479" spans="6:13" x14ac:dyDescent="0.3">
      <c r="F14479" s="1"/>
    </row>
    <row r="14480" spans="6:13" x14ac:dyDescent="0.3">
      <c r="F14480" s="1"/>
    </row>
    <row r="14481" spans="6:14" x14ac:dyDescent="0.3">
      <c r="F14481" s="1"/>
    </row>
    <row r="14482" spans="6:14" x14ac:dyDescent="0.3">
      <c r="F14482" s="1"/>
    </row>
    <row r="14483" spans="6:14" x14ac:dyDescent="0.3">
      <c r="F14483" s="1"/>
    </row>
    <row r="14485" spans="6:14" x14ac:dyDescent="0.3">
      <c r="F14485" s="1"/>
    </row>
    <row r="14486" spans="6:14" x14ac:dyDescent="0.3">
      <c r="F14486" s="1"/>
    </row>
    <row r="14487" spans="6:14" x14ac:dyDescent="0.3">
      <c r="F14487" s="1"/>
    </row>
    <row r="14488" spans="6:14" x14ac:dyDescent="0.3">
      <c r="F14488" s="1"/>
    </row>
    <row r="14489" spans="6:14" x14ac:dyDescent="0.3">
      <c r="F14489" s="1"/>
      <c r="L14489" s="1"/>
      <c r="M14489" s="1"/>
      <c r="N14489" s="1"/>
    </row>
    <row r="14490" spans="6:14" x14ac:dyDescent="0.3">
      <c r="F14490" s="1"/>
      <c r="M14490" s="1"/>
      <c r="N14490" s="1"/>
    </row>
    <row r="14492" spans="6:14" x14ac:dyDescent="0.3">
      <c r="F14492" s="1"/>
    </row>
    <row r="14493" spans="6:14" x14ac:dyDescent="0.3">
      <c r="F14493" s="1"/>
    </row>
    <row r="14494" spans="6:14" x14ac:dyDescent="0.3">
      <c r="F14494" s="1"/>
      <c r="L14494" s="1"/>
      <c r="N14494" s="1"/>
    </row>
    <row r="14495" spans="6:14" x14ac:dyDescent="0.3">
      <c r="F14495" s="1"/>
    </row>
    <row r="14496" spans="6:14" x14ac:dyDescent="0.3">
      <c r="F14496" s="1"/>
    </row>
    <row r="14497" spans="6:14" x14ac:dyDescent="0.3">
      <c r="F14497" s="1"/>
    </row>
    <row r="14498" spans="6:14" x14ac:dyDescent="0.3">
      <c r="F14498" s="1"/>
    </row>
    <row r="14500" spans="6:14" x14ac:dyDescent="0.3">
      <c r="F14500" s="1"/>
      <c r="M14500" s="1"/>
      <c r="N14500" s="1"/>
    </row>
    <row r="14501" spans="6:14" x14ac:dyDescent="0.3">
      <c r="F14501" s="1"/>
    </row>
    <row r="14502" spans="6:14" x14ac:dyDescent="0.3">
      <c r="F14502" s="1"/>
    </row>
    <row r="14504" spans="6:14" x14ac:dyDescent="0.3">
      <c r="F14504" s="1"/>
    </row>
    <row r="14505" spans="6:14" x14ac:dyDescent="0.3">
      <c r="L14505" s="1"/>
    </row>
    <row r="14506" spans="6:14" x14ac:dyDescent="0.3">
      <c r="F14506" s="1"/>
    </row>
    <row r="14507" spans="6:14" x14ac:dyDescent="0.3">
      <c r="F14507" s="1"/>
    </row>
    <row r="14508" spans="6:14" x14ac:dyDescent="0.3">
      <c r="F14508" s="1"/>
    </row>
    <row r="14509" spans="6:14" x14ac:dyDescent="0.3">
      <c r="F14509" s="1"/>
      <c r="N14509" s="1"/>
    </row>
    <row r="14510" spans="6:14" x14ac:dyDescent="0.3">
      <c r="F14510" s="1"/>
    </row>
    <row r="14511" spans="6:14" x14ac:dyDescent="0.3">
      <c r="F14511" s="1"/>
    </row>
    <row r="14512" spans="6:14" x14ac:dyDescent="0.3">
      <c r="F14512" s="1"/>
    </row>
    <row r="14513" spans="6:15" x14ac:dyDescent="0.3">
      <c r="F14513" s="1"/>
    </row>
    <row r="14514" spans="6:15" x14ac:dyDescent="0.3">
      <c r="F14514" s="1"/>
    </row>
    <row r="14515" spans="6:15" x14ac:dyDescent="0.3">
      <c r="F14515" s="1"/>
    </row>
    <row r="14516" spans="6:15" x14ac:dyDescent="0.3">
      <c r="F14516" s="1"/>
    </row>
    <row r="14517" spans="6:15" x14ac:dyDescent="0.3">
      <c r="L14517" s="1"/>
      <c r="N14517" s="1"/>
    </row>
    <row r="14518" spans="6:15" x14ac:dyDescent="0.3">
      <c r="F14518" s="1"/>
    </row>
    <row r="14519" spans="6:15" x14ac:dyDescent="0.3">
      <c r="F14519" s="1"/>
    </row>
    <row r="14520" spans="6:15" x14ac:dyDescent="0.3">
      <c r="F14520" s="1"/>
    </row>
    <row r="14521" spans="6:15" x14ac:dyDescent="0.3">
      <c r="F14521" s="1"/>
    </row>
    <row r="14522" spans="6:15" x14ac:dyDescent="0.3">
      <c r="F14522" s="1"/>
    </row>
    <row r="14524" spans="6:15" x14ac:dyDescent="0.3">
      <c r="F14524" s="1"/>
    </row>
    <row r="14525" spans="6:15" x14ac:dyDescent="0.3">
      <c r="F14525" s="1"/>
    </row>
    <row r="14526" spans="6:15" x14ac:dyDescent="0.3">
      <c r="F14526" s="1"/>
    </row>
    <row r="14527" spans="6:15" x14ac:dyDescent="0.3">
      <c r="F14527" s="1"/>
      <c r="M14527" s="1"/>
      <c r="O14527" s="1"/>
    </row>
    <row r="14528" spans="6:15" x14ac:dyDescent="0.3">
      <c r="F14528" s="1"/>
    </row>
    <row r="14529" spans="6:13" x14ac:dyDescent="0.3">
      <c r="F14529" s="1"/>
    </row>
    <row r="14530" spans="6:13" x14ac:dyDescent="0.3">
      <c r="F14530" s="1"/>
    </row>
    <row r="14531" spans="6:13" x14ac:dyDescent="0.3">
      <c r="F14531" s="1"/>
    </row>
    <row r="14532" spans="6:13" x14ac:dyDescent="0.3">
      <c r="F14532" s="1"/>
      <c r="M14532" s="1"/>
    </row>
    <row r="14533" spans="6:13" x14ac:dyDescent="0.3">
      <c r="F14533" s="1"/>
    </row>
    <row r="14534" spans="6:13" x14ac:dyDescent="0.3">
      <c r="F14534" s="1"/>
    </row>
    <row r="14535" spans="6:13" x14ac:dyDescent="0.3">
      <c r="F14535" s="1"/>
    </row>
    <row r="14536" spans="6:13" x14ac:dyDescent="0.3">
      <c r="F14536" s="1"/>
    </row>
    <row r="14537" spans="6:13" x14ac:dyDescent="0.3">
      <c r="F14537" s="1"/>
    </row>
    <row r="14538" spans="6:13" x14ac:dyDescent="0.3">
      <c r="F14538" s="1"/>
    </row>
    <row r="14539" spans="6:13" x14ac:dyDescent="0.3">
      <c r="F14539" s="1"/>
      <c r="L14539" s="1"/>
    </row>
    <row r="14540" spans="6:13" x14ac:dyDescent="0.3">
      <c r="F14540" s="1"/>
    </row>
    <row r="14541" spans="6:13" x14ac:dyDescent="0.3">
      <c r="F14541" s="1"/>
    </row>
    <row r="14542" spans="6:13" x14ac:dyDescent="0.3">
      <c r="F14542" s="1"/>
    </row>
    <row r="14543" spans="6:13" x14ac:dyDescent="0.3">
      <c r="F14543" s="1"/>
    </row>
    <row r="14545" spans="6:15" x14ac:dyDescent="0.3">
      <c r="F14545" s="1"/>
      <c r="M14545" s="1"/>
    </row>
    <row r="14546" spans="6:15" x14ac:dyDescent="0.3">
      <c r="F14546" s="1"/>
      <c r="N14546" s="1"/>
    </row>
    <row r="14547" spans="6:15" x14ac:dyDescent="0.3">
      <c r="F14547" s="1"/>
    </row>
    <row r="14548" spans="6:15" x14ac:dyDescent="0.3">
      <c r="F14548" s="1"/>
    </row>
    <row r="14549" spans="6:15" x14ac:dyDescent="0.3">
      <c r="F14549" s="1"/>
    </row>
    <row r="14550" spans="6:15" x14ac:dyDescent="0.3">
      <c r="F14550" s="1"/>
    </row>
    <row r="14551" spans="6:15" x14ac:dyDescent="0.3">
      <c r="F14551" s="1"/>
    </row>
    <row r="14552" spans="6:15" x14ac:dyDescent="0.3">
      <c r="F14552" s="1"/>
      <c r="L14552" s="1"/>
      <c r="M14552" s="1"/>
      <c r="N14552" s="1"/>
      <c r="O14552" s="1"/>
    </row>
    <row r="14554" spans="6:15" x14ac:dyDescent="0.3">
      <c r="F14554" s="1"/>
    </row>
    <row r="14555" spans="6:15" x14ac:dyDescent="0.3">
      <c r="F14555" s="1"/>
      <c r="L14555" s="1"/>
    </row>
    <row r="14556" spans="6:15" x14ac:dyDescent="0.3">
      <c r="M14556" s="1"/>
    </row>
    <row r="14557" spans="6:15" x14ac:dyDescent="0.3">
      <c r="F14557" s="1"/>
    </row>
    <row r="14558" spans="6:15" x14ac:dyDescent="0.3">
      <c r="F14558" s="1"/>
      <c r="L14558" s="1"/>
    </row>
    <row r="14559" spans="6:15" x14ac:dyDescent="0.3">
      <c r="F14559" s="1"/>
    </row>
    <row r="14560" spans="6:15" x14ac:dyDescent="0.3">
      <c r="F14560" s="1"/>
    </row>
    <row r="14561" spans="6:15" x14ac:dyDescent="0.3">
      <c r="M14561" s="1"/>
    </row>
    <row r="14562" spans="6:15" x14ac:dyDescent="0.3">
      <c r="F14562" s="1"/>
    </row>
    <row r="14563" spans="6:15" x14ac:dyDescent="0.3">
      <c r="F14563" s="1"/>
    </row>
    <row r="14564" spans="6:15" x14ac:dyDescent="0.3">
      <c r="F14564" s="1"/>
    </row>
    <row r="14565" spans="6:15" x14ac:dyDescent="0.3">
      <c r="F14565" s="1"/>
      <c r="M14565" s="1"/>
      <c r="N14565" s="1"/>
      <c r="O14565" s="1"/>
    </row>
    <row r="14566" spans="6:15" x14ac:dyDescent="0.3">
      <c r="F14566" s="1"/>
    </row>
    <row r="14568" spans="6:15" x14ac:dyDescent="0.3">
      <c r="F14568" s="1"/>
    </row>
    <row r="14569" spans="6:15" x14ac:dyDescent="0.3">
      <c r="F14569" s="1"/>
    </row>
    <row r="14571" spans="6:15" x14ac:dyDescent="0.3">
      <c r="F14571" s="1"/>
    </row>
    <row r="14572" spans="6:15" x14ac:dyDescent="0.3">
      <c r="F14572" s="1"/>
    </row>
    <row r="14573" spans="6:15" x14ac:dyDescent="0.3">
      <c r="F14573" s="1"/>
    </row>
    <row r="14574" spans="6:15" x14ac:dyDescent="0.3">
      <c r="F14574" s="1"/>
    </row>
    <row r="14576" spans="6:15" x14ac:dyDescent="0.3">
      <c r="F14576" s="1"/>
    </row>
    <row r="14577" spans="6:14" x14ac:dyDescent="0.3">
      <c r="F14577" s="1"/>
    </row>
    <row r="14578" spans="6:14" x14ac:dyDescent="0.3">
      <c r="F14578" s="1"/>
    </row>
    <row r="14579" spans="6:14" x14ac:dyDescent="0.3">
      <c r="F14579" s="1"/>
    </row>
    <row r="14580" spans="6:14" x14ac:dyDescent="0.3">
      <c r="F14580" s="1"/>
    </row>
    <row r="14581" spans="6:14" x14ac:dyDescent="0.3">
      <c r="F14581" s="1"/>
    </row>
    <row r="14582" spans="6:14" x14ac:dyDescent="0.3">
      <c r="F14582" s="1"/>
    </row>
    <row r="14583" spans="6:14" x14ac:dyDescent="0.3">
      <c r="F14583" s="1"/>
    </row>
    <row r="14584" spans="6:14" x14ac:dyDescent="0.3">
      <c r="F14584" s="1"/>
    </row>
    <row r="14585" spans="6:14" x14ac:dyDescent="0.3">
      <c r="F14585" s="1"/>
    </row>
    <row r="14586" spans="6:14" x14ac:dyDescent="0.3">
      <c r="F14586" s="1"/>
    </row>
    <row r="14587" spans="6:14" x14ac:dyDescent="0.3">
      <c r="F14587" s="1"/>
      <c r="N14587" s="1"/>
    </row>
    <row r="14588" spans="6:14" x14ac:dyDescent="0.3">
      <c r="F14588" s="1"/>
    </row>
    <row r="14589" spans="6:14" x14ac:dyDescent="0.3">
      <c r="F14589" s="1"/>
    </row>
    <row r="14590" spans="6:14" x14ac:dyDescent="0.3">
      <c r="F14590" s="1"/>
    </row>
    <row r="14591" spans="6:14" x14ac:dyDescent="0.3">
      <c r="F14591" s="1"/>
    </row>
    <row r="14592" spans="6:14" x14ac:dyDescent="0.3">
      <c r="F14592" s="1"/>
    </row>
    <row r="14593" spans="6:14" x14ac:dyDescent="0.3">
      <c r="F14593" s="1"/>
    </row>
    <row r="14594" spans="6:14" x14ac:dyDescent="0.3">
      <c r="F14594" s="1"/>
    </row>
    <row r="14595" spans="6:14" x14ac:dyDescent="0.3">
      <c r="F14595" s="1"/>
    </row>
    <row r="14596" spans="6:14" x14ac:dyDescent="0.3">
      <c r="F14596" s="1"/>
    </row>
    <row r="14598" spans="6:14" x14ac:dyDescent="0.3">
      <c r="F14598" s="1"/>
    </row>
    <row r="14599" spans="6:14" x14ac:dyDescent="0.3">
      <c r="F14599" s="1"/>
      <c r="L14599" s="1"/>
    </row>
    <row r="14601" spans="6:14" x14ac:dyDescent="0.3">
      <c r="L14601" s="1"/>
      <c r="N14601" s="1"/>
    </row>
    <row r="14602" spans="6:14" x14ac:dyDescent="0.3">
      <c r="F14602" s="1"/>
    </row>
    <row r="14603" spans="6:14" x14ac:dyDescent="0.3">
      <c r="F14603" s="1"/>
    </row>
    <row r="14604" spans="6:14" x14ac:dyDescent="0.3">
      <c r="F14604" s="1"/>
    </row>
    <row r="14605" spans="6:14" x14ac:dyDescent="0.3">
      <c r="F14605" s="1"/>
    </row>
    <row r="14606" spans="6:14" x14ac:dyDescent="0.3">
      <c r="F14606" s="1"/>
    </row>
    <row r="14607" spans="6:14" x14ac:dyDescent="0.3">
      <c r="F14607" s="1"/>
    </row>
    <row r="14608" spans="6:14" x14ac:dyDescent="0.3">
      <c r="F14608" s="1"/>
    </row>
    <row r="14609" spans="6:15" x14ac:dyDescent="0.3">
      <c r="F14609" s="1"/>
    </row>
    <row r="14610" spans="6:15" x14ac:dyDescent="0.3">
      <c r="N14610" s="1"/>
      <c r="O14610" s="1"/>
    </row>
    <row r="14612" spans="6:15" x14ac:dyDescent="0.3">
      <c r="F14612" s="1"/>
    </row>
    <row r="14613" spans="6:15" x14ac:dyDescent="0.3">
      <c r="F14613" s="1"/>
    </row>
    <row r="14614" spans="6:15" x14ac:dyDescent="0.3">
      <c r="F14614" s="1"/>
    </row>
    <row r="14616" spans="6:15" x14ac:dyDescent="0.3">
      <c r="F14616" s="1"/>
    </row>
    <row r="14617" spans="6:15" x14ac:dyDescent="0.3">
      <c r="F14617" s="1"/>
    </row>
    <row r="14618" spans="6:15" x14ac:dyDescent="0.3">
      <c r="F14618" s="1"/>
    </row>
    <row r="14619" spans="6:15" x14ac:dyDescent="0.3">
      <c r="F14619" s="1"/>
    </row>
    <row r="14621" spans="6:15" x14ac:dyDescent="0.3">
      <c r="F14621" s="1"/>
    </row>
    <row r="14622" spans="6:15" x14ac:dyDescent="0.3">
      <c r="F14622" s="1"/>
    </row>
    <row r="14623" spans="6:15" x14ac:dyDescent="0.3">
      <c r="F14623" s="1"/>
      <c r="L14623" s="1"/>
      <c r="M14623" s="1"/>
      <c r="O14623" s="1"/>
    </row>
    <row r="14624" spans="6:15" x14ac:dyDescent="0.3">
      <c r="F14624" s="1"/>
    </row>
    <row r="14625" spans="6:12" x14ac:dyDescent="0.3">
      <c r="F14625" s="1"/>
    </row>
    <row r="14626" spans="6:12" x14ac:dyDescent="0.3">
      <c r="F14626" s="1"/>
    </row>
    <row r="14627" spans="6:12" x14ac:dyDescent="0.3">
      <c r="F14627" s="1"/>
    </row>
    <row r="14628" spans="6:12" x14ac:dyDescent="0.3">
      <c r="F14628" s="1"/>
    </row>
    <row r="14629" spans="6:12" x14ac:dyDescent="0.3">
      <c r="F14629" s="1"/>
    </row>
    <row r="14630" spans="6:12" x14ac:dyDescent="0.3">
      <c r="F14630" s="1"/>
    </row>
    <row r="14631" spans="6:12" x14ac:dyDescent="0.3">
      <c r="F14631" s="1"/>
      <c r="L14631" s="1"/>
    </row>
    <row r="14632" spans="6:12" x14ac:dyDescent="0.3">
      <c r="F14632" s="1"/>
    </row>
    <row r="14633" spans="6:12" x14ac:dyDescent="0.3">
      <c r="F14633" s="1"/>
    </row>
    <row r="14635" spans="6:12" x14ac:dyDescent="0.3">
      <c r="F14635" s="1"/>
    </row>
    <row r="14636" spans="6:12" x14ac:dyDescent="0.3">
      <c r="F14636" s="1"/>
    </row>
    <row r="14637" spans="6:12" x14ac:dyDescent="0.3">
      <c r="F14637" s="1"/>
    </row>
    <row r="14638" spans="6:12" x14ac:dyDescent="0.3">
      <c r="F14638" s="1"/>
    </row>
    <row r="14639" spans="6:12" x14ac:dyDescent="0.3">
      <c r="F14639" s="1"/>
    </row>
    <row r="14640" spans="6:12" x14ac:dyDescent="0.3">
      <c r="F14640" s="1"/>
    </row>
    <row r="14641" spans="6:14" x14ac:dyDescent="0.3">
      <c r="F14641" s="1"/>
    </row>
    <row r="14642" spans="6:14" x14ac:dyDescent="0.3">
      <c r="F14642" s="1"/>
    </row>
    <row r="14643" spans="6:14" x14ac:dyDescent="0.3">
      <c r="F14643" s="1"/>
    </row>
    <row r="14644" spans="6:14" x14ac:dyDescent="0.3">
      <c r="F14644" s="1"/>
    </row>
    <row r="14645" spans="6:14" x14ac:dyDescent="0.3">
      <c r="F14645" s="1"/>
    </row>
    <row r="14646" spans="6:14" x14ac:dyDescent="0.3">
      <c r="F14646" s="1"/>
    </row>
    <row r="14647" spans="6:14" x14ac:dyDescent="0.3">
      <c r="N14647" s="1"/>
    </row>
    <row r="14648" spans="6:14" x14ac:dyDescent="0.3">
      <c r="F14648" s="1"/>
    </row>
    <row r="14649" spans="6:14" x14ac:dyDescent="0.3">
      <c r="F14649" s="1"/>
    </row>
    <row r="14650" spans="6:14" x14ac:dyDescent="0.3">
      <c r="F14650" s="1"/>
    </row>
    <row r="14651" spans="6:14" x14ac:dyDescent="0.3">
      <c r="F14651" s="1"/>
    </row>
    <row r="14652" spans="6:14" x14ac:dyDescent="0.3">
      <c r="F14652" s="1"/>
    </row>
    <row r="14653" spans="6:14" x14ac:dyDescent="0.3">
      <c r="F14653" s="1"/>
    </row>
    <row r="14654" spans="6:14" x14ac:dyDescent="0.3">
      <c r="F14654" s="1"/>
    </row>
    <row r="14658" spans="6:6" x14ac:dyDescent="0.3">
      <c r="F14658" s="1"/>
    </row>
    <row r="14659" spans="6:6" x14ac:dyDescent="0.3">
      <c r="F14659" s="1"/>
    </row>
    <row r="14660" spans="6:6" x14ac:dyDescent="0.3">
      <c r="F14660" s="1"/>
    </row>
    <row r="14661" spans="6:6" x14ac:dyDescent="0.3">
      <c r="F14661" s="1"/>
    </row>
    <row r="14662" spans="6:6" x14ac:dyDescent="0.3">
      <c r="F14662" s="1"/>
    </row>
    <row r="14663" spans="6:6" x14ac:dyDescent="0.3">
      <c r="F14663" s="1"/>
    </row>
    <row r="14664" spans="6:6" x14ac:dyDescent="0.3">
      <c r="F14664" s="1"/>
    </row>
    <row r="14665" spans="6:6" x14ac:dyDescent="0.3">
      <c r="F14665" s="1"/>
    </row>
    <row r="14666" spans="6:6" x14ac:dyDescent="0.3">
      <c r="F14666" s="1"/>
    </row>
    <row r="14667" spans="6:6" x14ac:dyDescent="0.3">
      <c r="F14667" s="1"/>
    </row>
    <row r="14668" spans="6:6" x14ac:dyDescent="0.3">
      <c r="F14668" s="1"/>
    </row>
    <row r="14669" spans="6:6" x14ac:dyDescent="0.3">
      <c r="F14669" s="1"/>
    </row>
    <row r="14671" spans="6:6" x14ac:dyDescent="0.3">
      <c r="F14671" s="1"/>
    </row>
    <row r="14672" spans="6:6" x14ac:dyDescent="0.3">
      <c r="F14672" s="1"/>
    </row>
    <row r="14674" spans="6:13" x14ac:dyDescent="0.3">
      <c r="F14674" s="1"/>
    </row>
    <row r="14676" spans="6:13" x14ac:dyDescent="0.3">
      <c r="F14676" s="1"/>
    </row>
    <row r="14677" spans="6:13" x14ac:dyDescent="0.3">
      <c r="F14677" s="1"/>
    </row>
    <row r="14679" spans="6:13" x14ac:dyDescent="0.3">
      <c r="F14679" s="1"/>
    </row>
    <row r="14680" spans="6:13" x14ac:dyDescent="0.3">
      <c r="F14680" s="1"/>
    </row>
    <row r="14681" spans="6:13" x14ac:dyDescent="0.3">
      <c r="F14681" s="1"/>
    </row>
    <row r="14682" spans="6:13" x14ac:dyDescent="0.3">
      <c r="F14682" s="1"/>
    </row>
    <row r="14683" spans="6:13" x14ac:dyDescent="0.3">
      <c r="F14683" s="1"/>
    </row>
    <row r="14684" spans="6:13" x14ac:dyDescent="0.3">
      <c r="F14684" s="1"/>
      <c r="M14684" s="1"/>
    </row>
    <row r="14685" spans="6:13" x14ac:dyDescent="0.3">
      <c r="F14685" s="1"/>
    </row>
    <row r="14686" spans="6:13" x14ac:dyDescent="0.3">
      <c r="F14686" s="1"/>
    </row>
    <row r="14688" spans="6:13" x14ac:dyDescent="0.3">
      <c r="F14688" s="1"/>
    </row>
    <row r="14689" spans="6:15" x14ac:dyDescent="0.3">
      <c r="F14689" s="1"/>
    </row>
    <row r="14690" spans="6:15" x14ac:dyDescent="0.3">
      <c r="F14690" s="1"/>
      <c r="M14690" s="1"/>
      <c r="N14690" s="1"/>
      <c r="O14690" s="1"/>
    </row>
    <row r="14691" spans="6:15" x14ac:dyDescent="0.3">
      <c r="F14691" s="1"/>
    </row>
    <row r="14692" spans="6:15" x14ac:dyDescent="0.3">
      <c r="F14692" s="1"/>
    </row>
    <row r="14693" spans="6:15" x14ac:dyDescent="0.3">
      <c r="F14693" s="1"/>
    </row>
    <row r="14694" spans="6:15" x14ac:dyDescent="0.3">
      <c r="F14694" s="1"/>
    </row>
    <row r="14695" spans="6:15" x14ac:dyDescent="0.3">
      <c r="F14695" s="1"/>
    </row>
    <row r="14696" spans="6:15" x14ac:dyDescent="0.3">
      <c r="F14696" s="1"/>
    </row>
    <row r="14697" spans="6:15" x14ac:dyDescent="0.3">
      <c r="F14697" s="1"/>
    </row>
    <row r="14698" spans="6:15" x14ac:dyDescent="0.3">
      <c r="F14698" s="1"/>
    </row>
    <row r="14699" spans="6:15" x14ac:dyDescent="0.3">
      <c r="F14699" s="1"/>
    </row>
    <row r="14700" spans="6:15" x14ac:dyDescent="0.3">
      <c r="F14700" s="1"/>
    </row>
    <row r="14701" spans="6:15" x14ac:dyDescent="0.3">
      <c r="F14701" s="1"/>
    </row>
    <row r="14702" spans="6:15" x14ac:dyDescent="0.3">
      <c r="F14702" s="1"/>
    </row>
    <row r="14703" spans="6:15" x14ac:dyDescent="0.3">
      <c r="F14703" s="1"/>
      <c r="L14703" s="1"/>
    </row>
    <row r="14704" spans="6:15" x14ac:dyDescent="0.3">
      <c r="F14704" s="1"/>
    </row>
    <row r="14705" spans="6:13" x14ac:dyDescent="0.3">
      <c r="F14705" s="1"/>
    </row>
    <row r="14706" spans="6:13" x14ac:dyDescent="0.3">
      <c r="F14706" s="1"/>
    </row>
    <row r="14707" spans="6:13" x14ac:dyDescent="0.3">
      <c r="F14707" s="1"/>
    </row>
    <row r="14708" spans="6:13" x14ac:dyDescent="0.3">
      <c r="F14708" s="1"/>
    </row>
    <row r="14709" spans="6:13" x14ac:dyDescent="0.3">
      <c r="F14709" s="1"/>
    </row>
    <row r="14710" spans="6:13" x14ac:dyDescent="0.3">
      <c r="F14710" s="1"/>
    </row>
    <row r="14711" spans="6:13" x14ac:dyDescent="0.3">
      <c r="F14711" s="1"/>
    </row>
    <row r="14712" spans="6:13" x14ac:dyDescent="0.3">
      <c r="F14712" s="1"/>
    </row>
    <row r="14713" spans="6:13" x14ac:dyDescent="0.3">
      <c r="F14713" s="1"/>
    </row>
    <row r="14714" spans="6:13" x14ac:dyDescent="0.3">
      <c r="F14714" s="1"/>
    </row>
    <row r="14715" spans="6:13" x14ac:dyDescent="0.3">
      <c r="F14715" s="1"/>
    </row>
    <row r="14716" spans="6:13" x14ac:dyDescent="0.3">
      <c r="F14716" s="1"/>
    </row>
    <row r="14717" spans="6:13" x14ac:dyDescent="0.3">
      <c r="F14717" s="1"/>
    </row>
    <row r="14718" spans="6:13" x14ac:dyDescent="0.3">
      <c r="F14718" s="1"/>
    </row>
    <row r="14719" spans="6:13" x14ac:dyDescent="0.3">
      <c r="F14719" s="1"/>
      <c r="L14719" s="1"/>
      <c r="M14719" s="1"/>
    </row>
    <row r="14722" spans="6:15" x14ac:dyDescent="0.3">
      <c r="F14722" s="1"/>
      <c r="L14722" s="1"/>
      <c r="M14722" s="1"/>
      <c r="N14722" s="1"/>
      <c r="O14722" s="1"/>
    </row>
    <row r="14723" spans="6:15" x14ac:dyDescent="0.3">
      <c r="F14723" s="1"/>
    </row>
    <row r="14724" spans="6:15" x14ac:dyDescent="0.3">
      <c r="F14724" s="1"/>
    </row>
    <row r="14725" spans="6:15" x14ac:dyDescent="0.3">
      <c r="F14725" s="1"/>
    </row>
    <row r="14726" spans="6:15" x14ac:dyDescent="0.3">
      <c r="F14726" s="1"/>
    </row>
    <row r="14727" spans="6:15" x14ac:dyDescent="0.3">
      <c r="F14727" s="1"/>
    </row>
    <row r="14728" spans="6:15" x14ac:dyDescent="0.3">
      <c r="F14728" s="1"/>
    </row>
    <row r="14729" spans="6:15" x14ac:dyDescent="0.3">
      <c r="F14729" s="1"/>
    </row>
    <row r="14730" spans="6:15" x14ac:dyDescent="0.3">
      <c r="F14730" s="1"/>
    </row>
    <row r="14731" spans="6:15" x14ac:dyDescent="0.3">
      <c r="F14731" s="1"/>
    </row>
    <row r="14732" spans="6:15" x14ac:dyDescent="0.3">
      <c r="F14732" s="1"/>
    </row>
    <row r="14733" spans="6:15" x14ac:dyDescent="0.3">
      <c r="F14733" s="1"/>
      <c r="M14733" s="1"/>
    </row>
    <row r="14734" spans="6:15" x14ac:dyDescent="0.3">
      <c r="F14734" s="1"/>
    </row>
    <row r="14736" spans="6:15" x14ac:dyDescent="0.3">
      <c r="F14736" s="1"/>
    </row>
    <row r="14737" spans="6:15" x14ac:dyDescent="0.3">
      <c r="F14737" s="1"/>
    </row>
    <row r="14738" spans="6:15" x14ac:dyDescent="0.3">
      <c r="F14738" s="1"/>
    </row>
    <row r="14739" spans="6:15" x14ac:dyDescent="0.3">
      <c r="F14739" s="1"/>
    </row>
    <row r="14740" spans="6:15" x14ac:dyDescent="0.3">
      <c r="F14740" s="1"/>
    </row>
    <row r="14741" spans="6:15" x14ac:dyDescent="0.3">
      <c r="F14741" s="1"/>
    </row>
    <row r="14742" spans="6:15" x14ac:dyDescent="0.3">
      <c r="F14742" s="1"/>
    </row>
    <row r="14743" spans="6:15" x14ac:dyDescent="0.3">
      <c r="F14743" s="1"/>
    </row>
    <row r="14744" spans="6:15" x14ac:dyDescent="0.3">
      <c r="F14744" s="1"/>
    </row>
    <row r="14745" spans="6:15" x14ac:dyDescent="0.3">
      <c r="F14745" s="1"/>
    </row>
    <row r="14747" spans="6:15" x14ac:dyDescent="0.3">
      <c r="F14747" s="1"/>
    </row>
    <row r="14748" spans="6:15" x14ac:dyDescent="0.3">
      <c r="F14748" s="1"/>
    </row>
    <row r="14749" spans="6:15" x14ac:dyDescent="0.3">
      <c r="F14749" s="1"/>
    </row>
    <row r="14750" spans="6:15" x14ac:dyDescent="0.3">
      <c r="O14750" s="1"/>
    </row>
    <row r="14751" spans="6:15" x14ac:dyDescent="0.3">
      <c r="F14751" s="1"/>
    </row>
    <row r="14753" spans="6:14" x14ac:dyDescent="0.3">
      <c r="F14753" s="1"/>
    </row>
    <row r="14755" spans="6:14" x14ac:dyDescent="0.3">
      <c r="F14755" s="1"/>
      <c r="M14755" s="1"/>
    </row>
    <row r="14756" spans="6:14" x14ac:dyDescent="0.3">
      <c r="L14756" s="1"/>
      <c r="M14756" s="1"/>
      <c r="N14756" s="1"/>
    </row>
    <row r="14757" spans="6:14" x14ac:dyDescent="0.3">
      <c r="F14757" s="1"/>
    </row>
    <row r="14758" spans="6:14" x14ac:dyDescent="0.3">
      <c r="F14758" s="1"/>
    </row>
    <row r="14759" spans="6:14" x14ac:dyDescent="0.3">
      <c r="F14759" s="1"/>
    </row>
    <row r="14760" spans="6:14" x14ac:dyDescent="0.3">
      <c r="N14760" s="1"/>
    </row>
    <row r="14761" spans="6:14" x14ac:dyDescent="0.3">
      <c r="F14761" s="1"/>
    </row>
    <row r="14762" spans="6:14" x14ac:dyDescent="0.3">
      <c r="F14762" s="1"/>
    </row>
    <row r="14763" spans="6:14" x14ac:dyDescent="0.3">
      <c r="F14763" s="1"/>
    </row>
    <row r="14765" spans="6:14" x14ac:dyDescent="0.3">
      <c r="F14765" s="1"/>
    </row>
    <row r="14766" spans="6:14" x14ac:dyDescent="0.3">
      <c r="F14766" s="1"/>
    </row>
    <row r="14767" spans="6:14" x14ac:dyDescent="0.3">
      <c r="F14767" s="1"/>
    </row>
    <row r="14768" spans="6:14" x14ac:dyDescent="0.3">
      <c r="F14768" s="1"/>
    </row>
    <row r="14769" spans="6:6" x14ac:dyDescent="0.3">
      <c r="F14769" s="1"/>
    </row>
    <row r="14770" spans="6:6" x14ac:dyDescent="0.3">
      <c r="F14770" s="1"/>
    </row>
    <row r="14771" spans="6:6" x14ac:dyDescent="0.3">
      <c r="F14771" s="1"/>
    </row>
    <row r="14772" spans="6:6" x14ac:dyDescent="0.3">
      <c r="F14772" s="1"/>
    </row>
    <row r="14773" spans="6:6" x14ac:dyDescent="0.3">
      <c r="F14773" s="1"/>
    </row>
    <row r="14774" spans="6:6" x14ac:dyDescent="0.3">
      <c r="F14774" s="1"/>
    </row>
    <row r="14775" spans="6:6" x14ac:dyDescent="0.3">
      <c r="F14775" s="1"/>
    </row>
    <row r="14776" spans="6:6" x14ac:dyDescent="0.3">
      <c r="F14776" s="1"/>
    </row>
    <row r="14777" spans="6:6" x14ac:dyDescent="0.3">
      <c r="F14777" s="1"/>
    </row>
    <row r="14778" spans="6:6" x14ac:dyDescent="0.3">
      <c r="F14778" s="1"/>
    </row>
    <row r="14779" spans="6:6" x14ac:dyDescent="0.3">
      <c r="F14779" s="1"/>
    </row>
    <row r="14780" spans="6:6" x14ac:dyDescent="0.3">
      <c r="F14780" s="1"/>
    </row>
    <row r="14782" spans="6:6" x14ac:dyDescent="0.3">
      <c r="F14782" s="1"/>
    </row>
    <row r="14783" spans="6:6" x14ac:dyDescent="0.3">
      <c r="F14783" s="1"/>
    </row>
    <row r="14784" spans="6:6" x14ac:dyDescent="0.3">
      <c r="F14784" s="1"/>
    </row>
    <row r="14785" spans="6:13" x14ac:dyDescent="0.3">
      <c r="F14785" s="1"/>
    </row>
    <row r="14786" spans="6:13" x14ac:dyDescent="0.3">
      <c r="F14786" s="1"/>
    </row>
    <row r="14787" spans="6:13" x14ac:dyDescent="0.3">
      <c r="F14787" s="1"/>
    </row>
    <row r="14788" spans="6:13" x14ac:dyDescent="0.3">
      <c r="F14788" s="1"/>
    </row>
    <row r="14789" spans="6:13" x14ac:dyDescent="0.3">
      <c r="F14789" s="1"/>
    </row>
    <row r="14791" spans="6:13" x14ac:dyDescent="0.3">
      <c r="F14791" s="1"/>
    </row>
    <row r="14792" spans="6:13" x14ac:dyDescent="0.3">
      <c r="F14792" s="1"/>
    </row>
    <row r="14793" spans="6:13" x14ac:dyDescent="0.3">
      <c r="F14793" s="1"/>
    </row>
    <row r="14794" spans="6:13" x14ac:dyDescent="0.3">
      <c r="F14794" s="1"/>
    </row>
    <row r="14795" spans="6:13" x14ac:dyDescent="0.3">
      <c r="F14795" s="1"/>
    </row>
    <row r="14796" spans="6:13" x14ac:dyDescent="0.3">
      <c r="F14796" s="1"/>
      <c r="M14796" s="1"/>
    </row>
    <row r="14797" spans="6:13" x14ac:dyDescent="0.3">
      <c r="F14797" s="1"/>
    </row>
    <row r="14798" spans="6:13" x14ac:dyDescent="0.3">
      <c r="F14798" s="1"/>
    </row>
    <row r="14799" spans="6:13" x14ac:dyDescent="0.3">
      <c r="F14799" s="1"/>
    </row>
    <row r="14800" spans="6:13" x14ac:dyDescent="0.3">
      <c r="F14800" s="1"/>
    </row>
    <row r="14801" spans="6:13" x14ac:dyDescent="0.3">
      <c r="F14801" s="1"/>
    </row>
    <row r="14802" spans="6:13" x14ac:dyDescent="0.3">
      <c r="F14802" s="1"/>
    </row>
    <row r="14803" spans="6:13" x14ac:dyDescent="0.3">
      <c r="F14803" s="1"/>
    </row>
    <row r="14804" spans="6:13" x14ac:dyDescent="0.3">
      <c r="F14804" s="1"/>
    </row>
    <row r="14805" spans="6:13" x14ac:dyDescent="0.3">
      <c r="F14805" s="1"/>
    </row>
    <row r="14806" spans="6:13" x14ac:dyDescent="0.3">
      <c r="F14806" s="1"/>
    </row>
    <row r="14809" spans="6:13" x14ac:dyDescent="0.3">
      <c r="F14809" s="1"/>
    </row>
    <row r="14810" spans="6:13" x14ac:dyDescent="0.3">
      <c r="F14810" s="1"/>
    </row>
    <row r="14811" spans="6:13" x14ac:dyDescent="0.3">
      <c r="F14811" s="1"/>
    </row>
    <row r="14812" spans="6:13" x14ac:dyDescent="0.3">
      <c r="F14812" s="1"/>
    </row>
    <row r="14813" spans="6:13" x14ac:dyDescent="0.3">
      <c r="F14813" s="1"/>
    </row>
    <row r="14816" spans="6:13" x14ac:dyDescent="0.3">
      <c r="F14816" s="1"/>
      <c r="M14816" s="1"/>
    </row>
    <row r="14818" spans="6:15" x14ac:dyDescent="0.3">
      <c r="F14818" s="1"/>
    </row>
    <row r="14819" spans="6:15" x14ac:dyDescent="0.3">
      <c r="F14819" s="1"/>
    </row>
    <row r="14820" spans="6:15" x14ac:dyDescent="0.3">
      <c r="F14820" s="1"/>
    </row>
    <row r="14821" spans="6:15" x14ac:dyDescent="0.3">
      <c r="F14821" s="1"/>
    </row>
    <row r="14822" spans="6:15" x14ac:dyDescent="0.3">
      <c r="F14822" s="1"/>
    </row>
    <row r="14823" spans="6:15" x14ac:dyDescent="0.3">
      <c r="F14823" s="1"/>
      <c r="L14823" s="1"/>
      <c r="N14823" s="1"/>
    </row>
    <row r="14824" spans="6:15" x14ac:dyDescent="0.3">
      <c r="F14824" s="1"/>
      <c r="L14824" s="1"/>
      <c r="M14824" s="1"/>
      <c r="O14824" s="1"/>
    </row>
    <row r="14825" spans="6:15" x14ac:dyDescent="0.3">
      <c r="F14825" s="1"/>
    </row>
    <row r="14826" spans="6:15" x14ac:dyDescent="0.3">
      <c r="F14826" s="1"/>
    </row>
    <row r="14827" spans="6:15" x14ac:dyDescent="0.3">
      <c r="F14827" s="1"/>
    </row>
    <row r="14828" spans="6:15" x14ac:dyDescent="0.3">
      <c r="F14828" s="1"/>
      <c r="L14828" s="1"/>
      <c r="M14828" s="1"/>
      <c r="N14828" s="1"/>
      <c r="O14828" s="1"/>
    </row>
    <row r="14830" spans="6:15" x14ac:dyDescent="0.3">
      <c r="F14830" s="1"/>
    </row>
    <row r="14831" spans="6:15" x14ac:dyDescent="0.3">
      <c r="F14831" s="1"/>
    </row>
    <row r="14832" spans="6:15" x14ac:dyDescent="0.3">
      <c r="F14832" s="1"/>
    </row>
    <row r="14833" spans="6:15" x14ac:dyDescent="0.3">
      <c r="F14833" s="1"/>
    </row>
    <row r="14834" spans="6:15" x14ac:dyDescent="0.3">
      <c r="F14834" s="1"/>
    </row>
    <row r="14835" spans="6:15" x14ac:dyDescent="0.3">
      <c r="F14835" s="1"/>
    </row>
    <row r="14836" spans="6:15" x14ac:dyDescent="0.3">
      <c r="F14836" s="1"/>
    </row>
    <row r="14837" spans="6:15" x14ac:dyDescent="0.3">
      <c r="F14837" s="1"/>
    </row>
    <row r="14838" spans="6:15" x14ac:dyDescent="0.3">
      <c r="L14838" s="1"/>
      <c r="M14838" s="1"/>
      <c r="N14838" s="1"/>
      <c r="O14838" s="1"/>
    </row>
    <row r="14839" spans="6:15" x14ac:dyDescent="0.3">
      <c r="F14839" s="1"/>
    </row>
    <row r="14840" spans="6:15" x14ac:dyDescent="0.3">
      <c r="F14840" s="1"/>
    </row>
    <row r="14841" spans="6:15" x14ac:dyDescent="0.3">
      <c r="F14841" s="1"/>
      <c r="M14841" s="1"/>
    </row>
    <row r="14842" spans="6:15" x14ac:dyDescent="0.3">
      <c r="F14842" s="1"/>
    </row>
    <row r="14843" spans="6:15" x14ac:dyDescent="0.3">
      <c r="F14843" s="1"/>
    </row>
    <row r="14844" spans="6:15" x14ac:dyDescent="0.3">
      <c r="F14844" s="1"/>
    </row>
    <row r="14845" spans="6:15" x14ac:dyDescent="0.3">
      <c r="F14845" s="1"/>
    </row>
    <row r="14846" spans="6:15" x14ac:dyDescent="0.3">
      <c r="F14846" s="1"/>
    </row>
    <row r="14847" spans="6:15" x14ac:dyDescent="0.3">
      <c r="F14847" s="1"/>
    </row>
    <row r="14848" spans="6:15" x14ac:dyDescent="0.3">
      <c r="F14848" s="1"/>
    </row>
    <row r="14849" spans="6:13" x14ac:dyDescent="0.3">
      <c r="F14849" s="1"/>
    </row>
    <row r="14850" spans="6:13" x14ac:dyDescent="0.3">
      <c r="F14850" s="1"/>
    </row>
    <row r="14851" spans="6:13" x14ac:dyDescent="0.3">
      <c r="F14851" s="1"/>
    </row>
    <row r="14852" spans="6:13" x14ac:dyDescent="0.3">
      <c r="F14852" s="1"/>
    </row>
    <row r="14853" spans="6:13" x14ac:dyDescent="0.3">
      <c r="F14853" s="1"/>
    </row>
    <row r="14855" spans="6:13" x14ac:dyDescent="0.3">
      <c r="F14855" s="1"/>
    </row>
    <row r="14857" spans="6:13" x14ac:dyDescent="0.3">
      <c r="F14857" s="1"/>
    </row>
    <row r="14858" spans="6:13" x14ac:dyDescent="0.3">
      <c r="F14858" s="1"/>
    </row>
    <row r="14859" spans="6:13" x14ac:dyDescent="0.3">
      <c r="F14859" s="1"/>
    </row>
    <row r="14860" spans="6:13" x14ac:dyDescent="0.3">
      <c r="F14860" s="1"/>
    </row>
    <row r="14861" spans="6:13" x14ac:dyDescent="0.3">
      <c r="F14861" s="1"/>
      <c r="M14861" s="1"/>
    </row>
    <row r="14862" spans="6:13" x14ac:dyDescent="0.3">
      <c r="F14862" s="1"/>
    </row>
    <row r="14863" spans="6:13" x14ac:dyDescent="0.3">
      <c r="F14863" s="1"/>
    </row>
    <row r="14864" spans="6:13" x14ac:dyDescent="0.3">
      <c r="F14864" s="1"/>
    </row>
    <row r="14865" spans="6:15" x14ac:dyDescent="0.3">
      <c r="F14865" s="1"/>
    </row>
    <row r="14868" spans="6:15" x14ac:dyDescent="0.3">
      <c r="F14868" s="1"/>
    </row>
    <row r="14869" spans="6:15" x14ac:dyDescent="0.3">
      <c r="F14869" s="1"/>
      <c r="L14869" s="1"/>
    </row>
    <row r="14870" spans="6:15" x14ac:dyDescent="0.3">
      <c r="F14870" s="1"/>
    </row>
    <row r="14871" spans="6:15" x14ac:dyDescent="0.3">
      <c r="F14871" s="1"/>
    </row>
    <row r="14872" spans="6:15" x14ac:dyDescent="0.3">
      <c r="F14872" s="1"/>
    </row>
    <row r="14873" spans="6:15" x14ac:dyDescent="0.3">
      <c r="F14873" s="1"/>
    </row>
    <row r="14874" spans="6:15" x14ac:dyDescent="0.3">
      <c r="F14874" s="1"/>
    </row>
    <row r="14875" spans="6:15" x14ac:dyDescent="0.3">
      <c r="F14875" s="1"/>
    </row>
    <row r="14876" spans="6:15" x14ac:dyDescent="0.3">
      <c r="F14876" s="1"/>
    </row>
    <row r="14877" spans="6:15" x14ac:dyDescent="0.3">
      <c r="F14877" s="1"/>
    </row>
    <row r="14878" spans="6:15" x14ac:dyDescent="0.3">
      <c r="F14878" s="1"/>
    </row>
    <row r="14880" spans="6:15" x14ac:dyDescent="0.3">
      <c r="M14880" s="1"/>
      <c r="O14880" s="1"/>
    </row>
    <row r="14881" spans="6:13" x14ac:dyDescent="0.3">
      <c r="F14881" s="1"/>
    </row>
    <row r="14882" spans="6:13" x14ac:dyDescent="0.3">
      <c r="F14882" s="1"/>
    </row>
    <row r="14883" spans="6:13" x14ac:dyDescent="0.3">
      <c r="F14883" s="1"/>
    </row>
    <row r="14884" spans="6:13" x14ac:dyDescent="0.3">
      <c r="F14884" s="1"/>
    </row>
    <row r="14885" spans="6:13" x14ac:dyDescent="0.3">
      <c r="F14885" s="1"/>
    </row>
    <row r="14886" spans="6:13" x14ac:dyDescent="0.3">
      <c r="F14886" s="1"/>
    </row>
    <row r="14887" spans="6:13" x14ac:dyDescent="0.3">
      <c r="F14887" s="1"/>
    </row>
    <row r="14888" spans="6:13" x14ac:dyDescent="0.3">
      <c r="F14888" s="1"/>
    </row>
    <row r="14889" spans="6:13" x14ac:dyDescent="0.3">
      <c r="F14889" s="1"/>
    </row>
    <row r="14890" spans="6:13" x14ac:dyDescent="0.3">
      <c r="F14890" s="1"/>
    </row>
    <row r="14891" spans="6:13" x14ac:dyDescent="0.3">
      <c r="F14891" s="1"/>
      <c r="L14891" s="1"/>
      <c r="M14891" s="1"/>
    </row>
    <row r="14892" spans="6:13" x14ac:dyDescent="0.3">
      <c r="F14892" s="1"/>
    </row>
    <row r="14893" spans="6:13" x14ac:dyDescent="0.3">
      <c r="F14893" s="1"/>
    </row>
    <row r="14894" spans="6:13" x14ac:dyDescent="0.3">
      <c r="F14894" s="1"/>
    </row>
    <row r="14895" spans="6:13" x14ac:dyDescent="0.3">
      <c r="F14895" s="1"/>
    </row>
    <row r="14897" spans="6:14" x14ac:dyDescent="0.3">
      <c r="F14897" s="1"/>
    </row>
    <row r="14898" spans="6:14" x14ac:dyDescent="0.3">
      <c r="F14898" s="1"/>
    </row>
    <row r="14899" spans="6:14" x14ac:dyDescent="0.3">
      <c r="F14899" s="1"/>
    </row>
    <row r="14900" spans="6:14" x14ac:dyDescent="0.3">
      <c r="F14900" s="1"/>
    </row>
    <row r="14901" spans="6:14" x14ac:dyDescent="0.3">
      <c r="F14901" s="1"/>
    </row>
    <row r="14903" spans="6:14" x14ac:dyDescent="0.3">
      <c r="F14903" s="1"/>
    </row>
    <row r="14904" spans="6:14" x14ac:dyDescent="0.3">
      <c r="F14904" s="1"/>
    </row>
    <row r="14905" spans="6:14" x14ac:dyDescent="0.3">
      <c r="F14905" s="1"/>
    </row>
    <row r="14906" spans="6:14" x14ac:dyDescent="0.3">
      <c r="F14906" s="1"/>
    </row>
    <row r="14907" spans="6:14" x14ac:dyDescent="0.3">
      <c r="F14907" s="1"/>
    </row>
    <row r="14909" spans="6:14" x14ac:dyDescent="0.3">
      <c r="F14909" s="1"/>
      <c r="N14909" s="1"/>
    </row>
    <row r="14910" spans="6:14" x14ac:dyDescent="0.3">
      <c r="F14910" s="1"/>
    </row>
    <row r="14911" spans="6:14" x14ac:dyDescent="0.3">
      <c r="F14911" s="1"/>
    </row>
    <row r="14912" spans="6:14" x14ac:dyDescent="0.3">
      <c r="F14912" s="1"/>
    </row>
    <row r="14914" spans="6:14" x14ac:dyDescent="0.3">
      <c r="F14914" s="1"/>
    </row>
    <row r="14915" spans="6:14" x14ac:dyDescent="0.3">
      <c r="F14915" s="1"/>
    </row>
    <row r="14916" spans="6:14" x14ac:dyDescent="0.3">
      <c r="F14916" s="1"/>
    </row>
    <row r="14917" spans="6:14" x14ac:dyDescent="0.3">
      <c r="F14917" s="1"/>
    </row>
    <row r="14918" spans="6:14" x14ac:dyDescent="0.3">
      <c r="F14918" s="1"/>
    </row>
    <row r="14919" spans="6:14" x14ac:dyDescent="0.3">
      <c r="F14919" s="1"/>
      <c r="L14919" s="1"/>
      <c r="N14919" s="1"/>
    </row>
    <row r="14920" spans="6:14" x14ac:dyDescent="0.3">
      <c r="F14920" s="1"/>
      <c r="L14920" s="1"/>
    </row>
    <row r="14921" spans="6:14" x14ac:dyDescent="0.3">
      <c r="F14921" s="1"/>
    </row>
    <row r="14922" spans="6:14" x14ac:dyDescent="0.3">
      <c r="F14922" s="1"/>
    </row>
    <row r="14923" spans="6:14" x14ac:dyDescent="0.3">
      <c r="F14923" s="1"/>
    </row>
    <row r="14924" spans="6:14" x14ac:dyDescent="0.3">
      <c r="F14924" s="1"/>
    </row>
    <row r="14925" spans="6:14" x14ac:dyDescent="0.3">
      <c r="F14925" s="1"/>
    </row>
    <row r="14926" spans="6:14" x14ac:dyDescent="0.3">
      <c r="F14926" s="1"/>
    </row>
    <row r="14927" spans="6:14" x14ac:dyDescent="0.3">
      <c r="F14927" s="1"/>
    </row>
    <row r="14928" spans="6:14" x14ac:dyDescent="0.3">
      <c r="F14928" s="1"/>
      <c r="N14928" s="1"/>
    </row>
    <row r="14929" spans="6:14" x14ac:dyDescent="0.3">
      <c r="F14929" s="1"/>
    </row>
    <row r="14930" spans="6:14" x14ac:dyDescent="0.3">
      <c r="F14930" s="1"/>
    </row>
    <row r="14931" spans="6:14" x14ac:dyDescent="0.3">
      <c r="F14931" s="1"/>
    </row>
    <row r="14932" spans="6:14" x14ac:dyDescent="0.3">
      <c r="F14932" s="1"/>
    </row>
    <row r="14933" spans="6:14" x14ac:dyDescent="0.3">
      <c r="F14933" s="1"/>
      <c r="L14933" s="1"/>
      <c r="N14933" s="1"/>
    </row>
    <row r="14934" spans="6:14" x14ac:dyDescent="0.3">
      <c r="F14934" s="1"/>
    </row>
    <row r="14935" spans="6:14" x14ac:dyDescent="0.3">
      <c r="F14935" s="1"/>
    </row>
    <row r="14936" spans="6:14" x14ac:dyDescent="0.3">
      <c r="F14936" s="1"/>
    </row>
    <row r="14937" spans="6:14" x14ac:dyDescent="0.3">
      <c r="L14937" s="1"/>
      <c r="N14937" s="1"/>
    </row>
    <row r="14938" spans="6:14" x14ac:dyDescent="0.3">
      <c r="F14938" s="1"/>
    </row>
    <row r="14939" spans="6:14" x14ac:dyDescent="0.3">
      <c r="F14939" s="1"/>
    </row>
    <row r="14940" spans="6:14" x14ac:dyDescent="0.3">
      <c r="F14940" s="1"/>
    </row>
    <row r="14941" spans="6:14" x14ac:dyDescent="0.3">
      <c r="F14941" s="1"/>
    </row>
    <row r="14942" spans="6:14" x14ac:dyDescent="0.3">
      <c r="F14942" s="1"/>
    </row>
    <row r="14945" spans="6:15" x14ac:dyDescent="0.3">
      <c r="F14945" s="1"/>
    </row>
    <row r="14946" spans="6:15" x14ac:dyDescent="0.3">
      <c r="F14946" s="1"/>
    </row>
    <row r="14947" spans="6:15" x14ac:dyDescent="0.3">
      <c r="F14947" s="1"/>
    </row>
    <row r="14948" spans="6:15" x14ac:dyDescent="0.3">
      <c r="F14948" s="1"/>
    </row>
    <row r="14949" spans="6:15" x14ac:dyDescent="0.3">
      <c r="F14949" s="1"/>
    </row>
    <row r="14950" spans="6:15" x14ac:dyDescent="0.3">
      <c r="F14950" s="1"/>
    </row>
    <row r="14951" spans="6:15" x14ac:dyDescent="0.3">
      <c r="F14951" s="1"/>
    </row>
    <row r="14952" spans="6:15" x14ac:dyDescent="0.3">
      <c r="F14952" s="1"/>
      <c r="M14952" s="1"/>
    </row>
    <row r="14953" spans="6:15" x14ac:dyDescent="0.3">
      <c r="F14953" s="1"/>
    </row>
    <row r="14954" spans="6:15" x14ac:dyDescent="0.3">
      <c r="F14954" s="1"/>
    </row>
    <row r="14955" spans="6:15" x14ac:dyDescent="0.3">
      <c r="F14955" s="1"/>
    </row>
    <row r="14956" spans="6:15" x14ac:dyDescent="0.3">
      <c r="F14956" s="1"/>
    </row>
    <row r="14957" spans="6:15" x14ac:dyDescent="0.3">
      <c r="F14957" s="1"/>
      <c r="L14957" s="1"/>
      <c r="M14957" s="1"/>
      <c r="O14957" s="1"/>
    </row>
    <row r="14958" spans="6:15" x14ac:dyDescent="0.3">
      <c r="F14958" s="1"/>
    </row>
    <row r="14959" spans="6:15" x14ac:dyDescent="0.3">
      <c r="F14959" s="1"/>
    </row>
    <row r="14960" spans="6:15" x14ac:dyDescent="0.3">
      <c r="F14960" s="1"/>
    </row>
    <row r="14961" spans="6:13" x14ac:dyDescent="0.3">
      <c r="F14961" s="1"/>
    </row>
    <row r="14962" spans="6:13" x14ac:dyDescent="0.3">
      <c r="F14962" s="1"/>
    </row>
    <row r="14963" spans="6:13" x14ac:dyDescent="0.3">
      <c r="F14963" s="1"/>
    </row>
    <row r="14965" spans="6:13" x14ac:dyDescent="0.3">
      <c r="F14965" s="1"/>
    </row>
    <row r="14966" spans="6:13" x14ac:dyDescent="0.3">
      <c r="F14966" s="1"/>
    </row>
    <row r="14968" spans="6:13" x14ac:dyDescent="0.3">
      <c r="F14968" s="1"/>
    </row>
    <row r="14969" spans="6:13" x14ac:dyDescent="0.3">
      <c r="F14969" s="1"/>
    </row>
    <row r="14970" spans="6:13" x14ac:dyDescent="0.3">
      <c r="F14970" s="1"/>
      <c r="L14970" s="1"/>
    </row>
    <row r="14971" spans="6:13" x14ac:dyDescent="0.3">
      <c r="F14971" s="1"/>
    </row>
    <row r="14973" spans="6:13" x14ac:dyDescent="0.3">
      <c r="F14973" s="1"/>
      <c r="M14973" s="1"/>
    </row>
    <row r="14974" spans="6:13" x14ac:dyDescent="0.3">
      <c r="F14974" s="1"/>
    </row>
    <row r="14975" spans="6:13" x14ac:dyDescent="0.3">
      <c r="F14975" s="1"/>
    </row>
    <row r="14976" spans="6:13" x14ac:dyDescent="0.3">
      <c r="F14976" s="1"/>
    </row>
    <row r="14977" spans="6:14" x14ac:dyDescent="0.3">
      <c r="F14977" s="1"/>
    </row>
    <row r="14978" spans="6:14" x14ac:dyDescent="0.3">
      <c r="F14978" s="1"/>
    </row>
    <row r="14979" spans="6:14" x14ac:dyDescent="0.3">
      <c r="F14979" s="1"/>
    </row>
    <row r="14980" spans="6:14" x14ac:dyDescent="0.3">
      <c r="F14980" s="1"/>
    </row>
    <row r="14981" spans="6:14" x14ac:dyDescent="0.3">
      <c r="F14981" s="1"/>
    </row>
    <row r="14982" spans="6:14" x14ac:dyDescent="0.3">
      <c r="F14982" s="1"/>
    </row>
    <row r="14983" spans="6:14" x14ac:dyDescent="0.3">
      <c r="F14983" s="1"/>
    </row>
    <row r="14984" spans="6:14" x14ac:dyDescent="0.3">
      <c r="F14984" s="1"/>
    </row>
    <row r="14985" spans="6:14" x14ac:dyDescent="0.3">
      <c r="F14985" s="1"/>
    </row>
    <row r="14986" spans="6:14" x14ac:dyDescent="0.3">
      <c r="F14986" s="1"/>
    </row>
    <row r="14987" spans="6:14" x14ac:dyDescent="0.3">
      <c r="F14987" s="1"/>
    </row>
    <row r="14988" spans="6:14" x14ac:dyDescent="0.3">
      <c r="F14988" s="1"/>
      <c r="N14988" s="1"/>
    </row>
    <row r="14989" spans="6:14" x14ac:dyDescent="0.3">
      <c r="F14989" s="1"/>
    </row>
    <row r="14990" spans="6:14" x14ac:dyDescent="0.3">
      <c r="F14990" s="1"/>
    </row>
    <row r="14991" spans="6:14" x14ac:dyDescent="0.3">
      <c r="F14991" s="1"/>
    </row>
    <row r="14992" spans="6:14" x14ac:dyDescent="0.3">
      <c r="F14992" s="1"/>
    </row>
    <row r="14993" spans="6:15" x14ac:dyDescent="0.3">
      <c r="F14993" s="1"/>
    </row>
    <row r="14994" spans="6:15" x14ac:dyDescent="0.3">
      <c r="F14994" s="1"/>
    </row>
    <row r="14995" spans="6:15" x14ac:dyDescent="0.3">
      <c r="F14995" s="1"/>
    </row>
    <row r="14996" spans="6:15" x14ac:dyDescent="0.3">
      <c r="F14996" s="1"/>
    </row>
    <row r="14997" spans="6:15" x14ac:dyDescent="0.3">
      <c r="F14997" s="1"/>
      <c r="N14997" s="1"/>
    </row>
    <row r="14998" spans="6:15" x14ac:dyDescent="0.3">
      <c r="F14998" s="1"/>
    </row>
    <row r="14999" spans="6:15" x14ac:dyDescent="0.3">
      <c r="F14999" s="1"/>
    </row>
    <row r="15000" spans="6:15" x14ac:dyDescent="0.3">
      <c r="L15000" s="1"/>
      <c r="N15000" s="1"/>
    </row>
    <row r="15001" spans="6:15" x14ac:dyDescent="0.3">
      <c r="M15001" s="1"/>
    </row>
    <row r="15002" spans="6:15" x14ac:dyDescent="0.3">
      <c r="F15002" s="1"/>
      <c r="M15002" s="1"/>
      <c r="N15002" s="1"/>
      <c r="O15002" s="1"/>
    </row>
    <row r="15004" spans="6:15" x14ac:dyDescent="0.3">
      <c r="F15004" s="1"/>
      <c r="N15004" s="1"/>
    </row>
    <row r="15005" spans="6:15" x14ac:dyDescent="0.3">
      <c r="M15005" s="1"/>
      <c r="N15005" s="1"/>
      <c r="O15005" s="1"/>
    </row>
    <row r="15006" spans="6:15" x14ac:dyDescent="0.3">
      <c r="F15006" s="1"/>
    </row>
    <row r="15008" spans="6:15" x14ac:dyDescent="0.3">
      <c r="F15008" s="1"/>
    </row>
    <row r="15009" spans="6:14" x14ac:dyDescent="0.3">
      <c r="F15009" s="1"/>
    </row>
    <row r="15010" spans="6:14" x14ac:dyDescent="0.3">
      <c r="F15010" s="1"/>
      <c r="L15010" s="1"/>
    </row>
    <row r="15011" spans="6:14" x14ac:dyDescent="0.3">
      <c r="F15011" s="1"/>
    </row>
    <row r="15012" spans="6:14" x14ac:dyDescent="0.3">
      <c r="F15012" s="1"/>
    </row>
    <row r="15013" spans="6:14" x14ac:dyDescent="0.3">
      <c r="F15013" s="1"/>
    </row>
    <row r="15014" spans="6:14" x14ac:dyDescent="0.3">
      <c r="F15014" s="1"/>
    </row>
    <row r="15015" spans="6:14" x14ac:dyDescent="0.3">
      <c r="F15015" s="1"/>
    </row>
    <row r="15017" spans="6:14" x14ac:dyDescent="0.3">
      <c r="F15017" s="1"/>
    </row>
    <row r="15018" spans="6:14" x14ac:dyDescent="0.3">
      <c r="F15018" s="1"/>
      <c r="N15018" s="1"/>
    </row>
    <row r="15020" spans="6:14" x14ac:dyDescent="0.3">
      <c r="F15020" s="1"/>
    </row>
    <row r="15022" spans="6:14" x14ac:dyDescent="0.3">
      <c r="F15022" s="1"/>
    </row>
    <row r="15023" spans="6:14" x14ac:dyDescent="0.3">
      <c r="F15023" s="1"/>
    </row>
    <row r="15025" spans="6:15" x14ac:dyDescent="0.3">
      <c r="F15025" s="1"/>
    </row>
    <row r="15026" spans="6:15" x14ac:dyDescent="0.3">
      <c r="F15026" s="1"/>
    </row>
    <row r="15027" spans="6:15" x14ac:dyDescent="0.3">
      <c r="F15027" s="1"/>
      <c r="L15027" s="1"/>
      <c r="M15027" s="1"/>
      <c r="N15027" s="1"/>
      <c r="O15027" s="1"/>
    </row>
    <row r="15030" spans="6:15" x14ac:dyDescent="0.3">
      <c r="L15030" s="1"/>
      <c r="M15030" s="1"/>
    </row>
    <row r="15031" spans="6:15" x14ac:dyDescent="0.3">
      <c r="F15031" s="1"/>
    </row>
    <row r="15032" spans="6:15" x14ac:dyDescent="0.3">
      <c r="F15032" s="1"/>
    </row>
    <row r="15033" spans="6:15" x14ac:dyDescent="0.3">
      <c r="F15033" s="1"/>
      <c r="N15033" s="1"/>
    </row>
    <row r="15034" spans="6:15" x14ac:dyDescent="0.3">
      <c r="F15034" s="1"/>
    </row>
    <row r="15035" spans="6:15" x14ac:dyDescent="0.3">
      <c r="F15035" s="1"/>
    </row>
    <row r="15036" spans="6:15" x14ac:dyDescent="0.3">
      <c r="F15036" s="1"/>
    </row>
    <row r="15038" spans="6:15" x14ac:dyDescent="0.3">
      <c r="F15038" s="1"/>
    </row>
    <row r="15039" spans="6:15" x14ac:dyDescent="0.3">
      <c r="F15039" s="1"/>
    </row>
    <row r="15040" spans="6:15" x14ac:dyDescent="0.3">
      <c r="F15040" s="1"/>
    </row>
    <row r="15041" spans="6:15" x14ac:dyDescent="0.3">
      <c r="F15041" s="1"/>
    </row>
    <row r="15042" spans="6:15" x14ac:dyDescent="0.3">
      <c r="F15042" s="1"/>
    </row>
    <row r="15044" spans="6:15" x14ac:dyDescent="0.3">
      <c r="F15044" s="1"/>
    </row>
    <row r="15046" spans="6:15" x14ac:dyDescent="0.3">
      <c r="M15046" s="1"/>
      <c r="N15046" s="1"/>
    </row>
    <row r="15047" spans="6:15" x14ac:dyDescent="0.3">
      <c r="F15047" s="1"/>
    </row>
    <row r="15048" spans="6:15" x14ac:dyDescent="0.3">
      <c r="F15048" s="1"/>
    </row>
    <row r="15049" spans="6:15" x14ac:dyDescent="0.3">
      <c r="F15049" s="1"/>
    </row>
    <row r="15050" spans="6:15" x14ac:dyDescent="0.3">
      <c r="F15050" s="1"/>
    </row>
    <row r="15051" spans="6:15" x14ac:dyDescent="0.3">
      <c r="F15051" s="1"/>
    </row>
    <row r="15052" spans="6:15" x14ac:dyDescent="0.3">
      <c r="F15052" s="1"/>
    </row>
    <row r="15053" spans="6:15" x14ac:dyDescent="0.3">
      <c r="F15053" s="1"/>
    </row>
    <row r="15054" spans="6:15" x14ac:dyDescent="0.3">
      <c r="L15054" s="1"/>
      <c r="N15054" s="1"/>
      <c r="O15054" s="1"/>
    </row>
    <row r="15055" spans="6:15" x14ac:dyDescent="0.3">
      <c r="F15055" s="1"/>
    </row>
    <row r="15056" spans="6:15" x14ac:dyDescent="0.3">
      <c r="F15056" s="1"/>
    </row>
    <row r="15057" spans="6:15" x14ac:dyDescent="0.3">
      <c r="F15057" s="1"/>
    </row>
    <row r="15058" spans="6:15" x14ac:dyDescent="0.3">
      <c r="F15058" s="1"/>
    </row>
    <row r="15059" spans="6:15" x14ac:dyDescent="0.3">
      <c r="F15059" s="1"/>
    </row>
    <row r="15060" spans="6:15" x14ac:dyDescent="0.3">
      <c r="F15060" s="1"/>
      <c r="L15060" s="1"/>
    </row>
    <row r="15061" spans="6:15" x14ac:dyDescent="0.3">
      <c r="F15061" s="1"/>
    </row>
    <row r="15064" spans="6:15" x14ac:dyDescent="0.3">
      <c r="F15064" s="1"/>
    </row>
    <row r="15065" spans="6:15" x14ac:dyDescent="0.3">
      <c r="F15065" s="1"/>
    </row>
    <row r="15066" spans="6:15" x14ac:dyDescent="0.3">
      <c r="F15066" s="1"/>
    </row>
    <row r="15067" spans="6:15" x14ac:dyDescent="0.3">
      <c r="N15067" s="1"/>
    </row>
    <row r="15068" spans="6:15" x14ac:dyDescent="0.3">
      <c r="F15068" s="1"/>
      <c r="L15068" s="1"/>
      <c r="M15068" s="1"/>
      <c r="N15068" s="1"/>
      <c r="O15068" s="1"/>
    </row>
    <row r="15069" spans="6:15" x14ac:dyDescent="0.3">
      <c r="F15069" s="1"/>
    </row>
    <row r="15070" spans="6:15" x14ac:dyDescent="0.3">
      <c r="F15070" s="1"/>
    </row>
    <row r="15071" spans="6:15" x14ac:dyDescent="0.3">
      <c r="F15071" s="1"/>
    </row>
    <row r="15072" spans="6:15" x14ac:dyDescent="0.3">
      <c r="F15072" s="1"/>
    </row>
    <row r="15073" spans="6:15" x14ac:dyDescent="0.3">
      <c r="F15073" s="1"/>
    </row>
    <row r="15074" spans="6:15" x14ac:dyDescent="0.3">
      <c r="F15074" s="1"/>
    </row>
    <row r="15075" spans="6:15" x14ac:dyDescent="0.3">
      <c r="F15075" s="1"/>
    </row>
    <row r="15076" spans="6:15" x14ac:dyDescent="0.3">
      <c r="F15076" s="1"/>
    </row>
    <row r="15077" spans="6:15" x14ac:dyDescent="0.3">
      <c r="F15077" s="1"/>
    </row>
    <row r="15078" spans="6:15" x14ac:dyDescent="0.3">
      <c r="F15078" s="1"/>
    </row>
    <row r="15079" spans="6:15" x14ac:dyDescent="0.3">
      <c r="F15079" s="1"/>
    </row>
    <row r="15080" spans="6:15" x14ac:dyDescent="0.3">
      <c r="F15080" s="1"/>
    </row>
    <row r="15081" spans="6:15" x14ac:dyDescent="0.3">
      <c r="F15081" s="1"/>
    </row>
    <row r="15082" spans="6:15" x14ac:dyDescent="0.3">
      <c r="F15082" s="1"/>
    </row>
    <row r="15083" spans="6:15" x14ac:dyDescent="0.3">
      <c r="F15083" s="1"/>
    </row>
    <row r="15084" spans="6:15" x14ac:dyDescent="0.3">
      <c r="F15084" s="1"/>
    </row>
    <row r="15085" spans="6:15" x14ac:dyDescent="0.3">
      <c r="F15085" s="1"/>
    </row>
    <row r="15086" spans="6:15" x14ac:dyDescent="0.3">
      <c r="F15086" s="1"/>
    </row>
    <row r="15087" spans="6:15" x14ac:dyDescent="0.3">
      <c r="F15087" s="1"/>
      <c r="L15087" s="1"/>
      <c r="O15087" s="1"/>
    </row>
    <row r="15088" spans="6:15" x14ac:dyDescent="0.3">
      <c r="F15088" s="1"/>
    </row>
    <row r="15089" spans="6:15" x14ac:dyDescent="0.3">
      <c r="L15089" s="1"/>
      <c r="N15089" s="1"/>
      <c r="O15089" s="1"/>
    </row>
    <row r="15090" spans="6:15" x14ac:dyDescent="0.3">
      <c r="F15090" s="1"/>
    </row>
    <row r="15091" spans="6:15" x14ac:dyDescent="0.3">
      <c r="F15091" s="1"/>
    </row>
    <row r="15092" spans="6:15" x14ac:dyDescent="0.3">
      <c r="F15092" s="1"/>
      <c r="N15092" s="1"/>
    </row>
    <row r="15093" spans="6:15" x14ac:dyDescent="0.3">
      <c r="F15093" s="1"/>
    </row>
    <row r="15094" spans="6:15" x14ac:dyDescent="0.3">
      <c r="F15094" s="1"/>
    </row>
    <row r="15095" spans="6:15" x14ac:dyDescent="0.3">
      <c r="F15095" s="1"/>
    </row>
    <row r="15097" spans="6:15" x14ac:dyDescent="0.3">
      <c r="F15097" s="1"/>
    </row>
    <row r="15098" spans="6:15" x14ac:dyDescent="0.3">
      <c r="F15098" s="1"/>
    </row>
    <row r="15099" spans="6:15" x14ac:dyDescent="0.3">
      <c r="F15099" s="1"/>
    </row>
    <row r="15101" spans="6:15" x14ac:dyDescent="0.3">
      <c r="F15101" s="1"/>
    </row>
    <row r="15102" spans="6:15" x14ac:dyDescent="0.3">
      <c r="F15102" s="1"/>
    </row>
    <row r="15103" spans="6:15" x14ac:dyDescent="0.3">
      <c r="F15103" s="1"/>
    </row>
    <row r="15104" spans="6:15" x14ac:dyDescent="0.3">
      <c r="F15104" s="1"/>
    </row>
    <row r="15105" spans="6:15" x14ac:dyDescent="0.3">
      <c r="F15105" s="1"/>
      <c r="N15105" s="1"/>
      <c r="O15105" s="1"/>
    </row>
    <row r="15107" spans="6:15" x14ac:dyDescent="0.3">
      <c r="F15107" s="1"/>
    </row>
    <row r="15108" spans="6:15" x14ac:dyDescent="0.3">
      <c r="F15108" s="1"/>
    </row>
    <row r="15109" spans="6:15" x14ac:dyDescent="0.3">
      <c r="F15109" s="1"/>
      <c r="L15109" s="1"/>
      <c r="N15109" s="1"/>
    </row>
    <row r="15110" spans="6:15" x14ac:dyDescent="0.3">
      <c r="F15110" s="1"/>
    </row>
    <row r="15111" spans="6:15" x14ac:dyDescent="0.3">
      <c r="F15111" s="1"/>
      <c r="M15111" s="1"/>
    </row>
    <row r="15112" spans="6:15" x14ac:dyDescent="0.3">
      <c r="F15112" s="1"/>
    </row>
    <row r="15113" spans="6:15" x14ac:dyDescent="0.3">
      <c r="F15113" s="1"/>
    </row>
    <row r="15114" spans="6:15" x14ac:dyDescent="0.3">
      <c r="F15114" s="1"/>
    </row>
    <row r="15115" spans="6:15" x14ac:dyDescent="0.3">
      <c r="F15115" s="1"/>
    </row>
    <row r="15116" spans="6:15" x14ac:dyDescent="0.3">
      <c r="F15116" s="1"/>
    </row>
    <row r="15117" spans="6:15" x14ac:dyDescent="0.3">
      <c r="F15117" s="1"/>
    </row>
    <row r="15118" spans="6:15" x14ac:dyDescent="0.3">
      <c r="F15118" s="1"/>
    </row>
    <row r="15119" spans="6:15" x14ac:dyDescent="0.3">
      <c r="F15119" s="1"/>
    </row>
    <row r="15120" spans="6:15" x14ac:dyDescent="0.3">
      <c r="L15120" s="1"/>
      <c r="M15120" s="1"/>
      <c r="N15120" s="1"/>
      <c r="O15120" s="1"/>
    </row>
    <row r="15121" spans="6:15" x14ac:dyDescent="0.3">
      <c r="F15121" s="1"/>
    </row>
    <row r="15125" spans="6:15" x14ac:dyDescent="0.3">
      <c r="F15125" s="1"/>
    </row>
    <row r="15126" spans="6:15" x14ac:dyDescent="0.3">
      <c r="F15126" s="1"/>
    </row>
    <row r="15127" spans="6:15" x14ac:dyDescent="0.3">
      <c r="F15127" s="1"/>
    </row>
    <row r="15128" spans="6:15" x14ac:dyDescent="0.3">
      <c r="F15128" s="1"/>
    </row>
    <row r="15129" spans="6:15" x14ac:dyDescent="0.3">
      <c r="F15129" s="1"/>
    </row>
    <row r="15130" spans="6:15" x14ac:dyDescent="0.3">
      <c r="F15130" s="1"/>
    </row>
    <row r="15131" spans="6:15" x14ac:dyDescent="0.3">
      <c r="F15131" s="1"/>
    </row>
    <row r="15132" spans="6:15" x14ac:dyDescent="0.3">
      <c r="L15132" s="1"/>
      <c r="M15132" s="1"/>
      <c r="N15132" s="1"/>
      <c r="O15132" s="1"/>
    </row>
    <row r="15133" spans="6:15" x14ac:dyDescent="0.3">
      <c r="F15133" s="1"/>
    </row>
    <row r="15134" spans="6:15" x14ac:dyDescent="0.3">
      <c r="F15134" s="1"/>
    </row>
    <row r="15135" spans="6:15" x14ac:dyDescent="0.3">
      <c r="F15135" s="1"/>
      <c r="L15135" s="1"/>
    </row>
    <row r="15136" spans="6:15" x14ac:dyDescent="0.3">
      <c r="F15136" s="1"/>
    </row>
    <row r="15137" spans="6:13" x14ac:dyDescent="0.3">
      <c r="F15137" s="1"/>
    </row>
    <row r="15138" spans="6:13" x14ac:dyDescent="0.3">
      <c r="F15138" s="1"/>
    </row>
    <row r="15139" spans="6:13" x14ac:dyDescent="0.3">
      <c r="F15139" s="1"/>
    </row>
    <row r="15140" spans="6:13" x14ac:dyDescent="0.3">
      <c r="F15140" s="1"/>
    </row>
    <row r="15141" spans="6:13" x14ac:dyDescent="0.3">
      <c r="F15141" s="1"/>
    </row>
    <row r="15142" spans="6:13" x14ac:dyDescent="0.3">
      <c r="F15142" s="1"/>
    </row>
    <row r="15143" spans="6:13" x14ac:dyDescent="0.3">
      <c r="F15143" s="1"/>
    </row>
    <row r="15144" spans="6:13" x14ac:dyDescent="0.3">
      <c r="F15144" s="1"/>
    </row>
    <row r="15145" spans="6:13" x14ac:dyDescent="0.3">
      <c r="L15145" s="1"/>
      <c r="M15145" s="1"/>
    </row>
    <row r="15146" spans="6:13" x14ac:dyDescent="0.3">
      <c r="F15146" s="1"/>
    </row>
    <row r="15147" spans="6:13" x14ac:dyDescent="0.3">
      <c r="F15147" s="1"/>
    </row>
    <row r="15149" spans="6:13" x14ac:dyDescent="0.3">
      <c r="F15149" s="1"/>
    </row>
    <row r="15150" spans="6:13" x14ac:dyDescent="0.3">
      <c r="F15150" s="1"/>
    </row>
    <row r="15151" spans="6:13" x14ac:dyDescent="0.3">
      <c r="F15151" s="1"/>
    </row>
    <row r="15152" spans="6:13" x14ac:dyDescent="0.3">
      <c r="F15152" s="1"/>
    </row>
    <row r="15153" spans="6:13" x14ac:dyDescent="0.3">
      <c r="F15153" s="1"/>
      <c r="M15153" s="1"/>
    </row>
    <row r="15155" spans="6:13" x14ac:dyDescent="0.3">
      <c r="F15155" s="1"/>
    </row>
    <row r="15156" spans="6:13" x14ac:dyDescent="0.3">
      <c r="F15156" s="1"/>
    </row>
    <row r="15157" spans="6:13" x14ac:dyDescent="0.3">
      <c r="F15157" s="1"/>
    </row>
    <row r="15158" spans="6:13" x14ac:dyDescent="0.3">
      <c r="F15158" s="1"/>
    </row>
    <row r="15159" spans="6:13" x14ac:dyDescent="0.3">
      <c r="F15159" s="1"/>
    </row>
    <row r="15160" spans="6:13" x14ac:dyDescent="0.3">
      <c r="L15160" s="1"/>
      <c r="M15160" s="1"/>
    </row>
    <row r="15161" spans="6:13" x14ac:dyDescent="0.3">
      <c r="F15161" s="1"/>
    </row>
    <row r="15162" spans="6:13" x14ac:dyDescent="0.3">
      <c r="F15162" s="1"/>
    </row>
    <row r="15163" spans="6:13" x14ac:dyDescent="0.3">
      <c r="F15163" s="1"/>
    </row>
    <row r="15164" spans="6:13" x14ac:dyDescent="0.3">
      <c r="F15164" s="1"/>
    </row>
    <row r="15165" spans="6:13" x14ac:dyDescent="0.3">
      <c r="F15165" s="1"/>
    </row>
    <row r="15166" spans="6:13" x14ac:dyDescent="0.3">
      <c r="F15166" s="1"/>
    </row>
    <row r="15167" spans="6:13" x14ac:dyDescent="0.3">
      <c r="F15167" s="1"/>
    </row>
    <row r="15168" spans="6:13" x14ac:dyDescent="0.3">
      <c r="F15168" s="1"/>
    </row>
    <row r="15169" spans="6:6" x14ac:dyDescent="0.3">
      <c r="F15169" s="1"/>
    </row>
    <row r="15173" spans="6:6" x14ac:dyDescent="0.3">
      <c r="F15173" s="1"/>
    </row>
    <row r="15174" spans="6:6" x14ac:dyDescent="0.3">
      <c r="F15174" s="1"/>
    </row>
    <row r="15175" spans="6:6" x14ac:dyDescent="0.3">
      <c r="F15175" s="1"/>
    </row>
    <row r="15177" spans="6:6" x14ac:dyDescent="0.3">
      <c r="F15177" s="1"/>
    </row>
    <row r="15178" spans="6:6" x14ac:dyDescent="0.3">
      <c r="F15178" s="1"/>
    </row>
    <row r="15179" spans="6:6" x14ac:dyDescent="0.3">
      <c r="F15179" s="1"/>
    </row>
    <row r="15180" spans="6:6" x14ac:dyDescent="0.3">
      <c r="F15180" s="1"/>
    </row>
    <row r="15181" spans="6:6" x14ac:dyDescent="0.3">
      <c r="F15181" s="1"/>
    </row>
    <row r="15182" spans="6:6" x14ac:dyDescent="0.3">
      <c r="F15182" s="1"/>
    </row>
    <row r="15183" spans="6:6" x14ac:dyDescent="0.3">
      <c r="F15183" s="1"/>
    </row>
    <row r="15185" spans="6:15" x14ac:dyDescent="0.3">
      <c r="F15185" s="1"/>
    </row>
    <row r="15186" spans="6:15" x14ac:dyDescent="0.3">
      <c r="F15186" s="1"/>
    </row>
    <row r="15187" spans="6:15" x14ac:dyDescent="0.3">
      <c r="F15187" s="1"/>
    </row>
    <row r="15188" spans="6:15" x14ac:dyDescent="0.3">
      <c r="F15188" s="1"/>
      <c r="M15188" s="1"/>
      <c r="N15188" s="1"/>
      <c r="O15188" s="1"/>
    </row>
    <row r="15189" spans="6:15" x14ac:dyDescent="0.3">
      <c r="F15189" s="1"/>
    </row>
    <row r="15190" spans="6:15" x14ac:dyDescent="0.3">
      <c r="N15190" s="1"/>
    </row>
    <row r="15191" spans="6:15" x14ac:dyDescent="0.3">
      <c r="F15191" s="1"/>
      <c r="L15191" s="1"/>
      <c r="N15191" s="1"/>
      <c r="O15191" s="1"/>
    </row>
    <row r="15192" spans="6:15" x14ac:dyDescent="0.3">
      <c r="F15192" s="1"/>
    </row>
    <row r="15193" spans="6:15" x14ac:dyDescent="0.3">
      <c r="F15193" s="1"/>
    </row>
    <row r="15194" spans="6:15" x14ac:dyDescent="0.3">
      <c r="F15194" s="1"/>
    </row>
    <row r="15195" spans="6:15" x14ac:dyDescent="0.3">
      <c r="F15195" s="1"/>
    </row>
    <row r="15196" spans="6:15" x14ac:dyDescent="0.3">
      <c r="F15196" s="1"/>
    </row>
    <row r="15198" spans="6:15" x14ac:dyDescent="0.3">
      <c r="F15198" s="1"/>
    </row>
    <row r="15199" spans="6:15" x14ac:dyDescent="0.3">
      <c r="F15199" s="1"/>
    </row>
    <row r="15200" spans="6:15" x14ac:dyDescent="0.3">
      <c r="F15200" s="1"/>
      <c r="L15200" s="1"/>
      <c r="N15200" s="1"/>
    </row>
    <row r="15201" spans="6:15" x14ac:dyDescent="0.3">
      <c r="F15201" s="1"/>
    </row>
    <row r="15202" spans="6:15" x14ac:dyDescent="0.3">
      <c r="F15202" s="1"/>
    </row>
    <row r="15204" spans="6:15" x14ac:dyDescent="0.3">
      <c r="F15204" s="1"/>
    </row>
    <row r="15205" spans="6:15" x14ac:dyDescent="0.3">
      <c r="F15205" s="1"/>
      <c r="M15205" s="1"/>
      <c r="O15205" s="1"/>
    </row>
    <row r="15206" spans="6:15" x14ac:dyDescent="0.3">
      <c r="F15206" s="1"/>
    </row>
    <row r="15208" spans="6:15" x14ac:dyDescent="0.3">
      <c r="F15208" s="1"/>
      <c r="M15208" s="1"/>
    </row>
    <row r="15209" spans="6:15" x14ac:dyDescent="0.3">
      <c r="F15209" s="1"/>
    </row>
    <row r="15210" spans="6:15" x14ac:dyDescent="0.3">
      <c r="F15210" s="1"/>
      <c r="N15210" s="1"/>
    </row>
    <row r="15211" spans="6:15" x14ac:dyDescent="0.3">
      <c r="F15211" s="1"/>
    </row>
    <row r="15212" spans="6:15" x14ac:dyDescent="0.3">
      <c r="F15212" s="1"/>
    </row>
    <row r="15213" spans="6:15" x14ac:dyDescent="0.3">
      <c r="F15213" s="1"/>
      <c r="L15213" s="1"/>
      <c r="N15213" s="1"/>
      <c r="O15213" s="1"/>
    </row>
    <row r="15214" spans="6:15" x14ac:dyDescent="0.3">
      <c r="F15214" s="1"/>
    </row>
    <row r="15215" spans="6:15" x14ac:dyDescent="0.3">
      <c r="F15215" s="1"/>
    </row>
    <row r="15216" spans="6:15" x14ac:dyDescent="0.3">
      <c r="F15216" s="1"/>
    </row>
    <row r="15217" spans="6:14" x14ac:dyDescent="0.3">
      <c r="F15217" s="1"/>
    </row>
    <row r="15218" spans="6:14" x14ac:dyDescent="0.3">
      <c r="F15218" s="1"/>
    </row>
    <row r="15219" spans="6:14" x14ac:dyDescent="0.3">
      <c r="F15219" s="1"/>
    </row>
    <row r="15220" spans="6:14" x14ac:dyDescent="0.3">
      <c r="F15220" s="1"/>
    </row>
    <row r="15222" spans="6:14" x14ac:dyDescent="0.3">
      <c r="F15222" s="1"/>
    </row>
    <row r="15223" spans="6:14" x14ac:dyDescent="0.3">
      <c r="F15223" s="1"/>
    </row>
    <row r="15225" spans="6:14" x14ac:dyDescent="0.3">
      <c r="F15225" s="1"/>
    </row>
    <row r="15227" spans="6:14" x14ac:dyDescent="0.3">
      <c r="F15227" s="1"/>
    </row>
    <row r="15228" spans="6:14" x14ac:dyDescent="0.3">
      <c r="F15228" s="1"/>
      <c r="N15228" s="1"/>
    </row>
    <row r="15229" spans="6:14" x14ac:dyDescent="0.3">
      <c r="F15229" s="1"/>
    </row>
    <row r="15230" spans="6:14" x14ac:dyDescent="0.3">
      <c r="F15230" s="1"/>
    </row>
    <row r="15231" spans="6:14" x14ac:dyDescent="0.3">
      <c r="F15231" s="1"/>
    </row>
    <row r="15232" spans="6:14" x14ac:dyDescent="0.3">
      <c r="F15232" s="1"/>
    </row>
    <row r="15234" spans="6:15" x14ac:dyDescent="0.3">
      <c r="F15234" s="1"/>
    </row>
    <row r="15235" spans="6:15" x14ac:dyDescent="0.3">
      <c r="F15235" s="1"/>
    </row>
    <row r="15236" spans="6:15" x14ac:dyDescent="0.3">
      <c r="F15236" s="1"/>
      <c r="L15236" s="1"/>
      <c r="M15236" s="1"/>
      <c r="O15236" s="1"/>
    </row>
    <row r="15237" spans="6:15" x14ac:dyDescent="0.3">
      <c r="F15237" s="1"/>
    </row>
    <row r="15238" spans="6:15" x14ac:dyDescent="0.3">
      <c r="F15238" s="1"/>
    </row>
    <row r="15239" spans="6:15" x14ac:dyDescent="0.3">
      <c r="F15239" s="1"/>
    </row>
    <row r="15240" spans="6:15" x14ac:dyDescent="0.3">
      <c r="F15240" s="1"/>
      <c r="L15240" s="1"/>
      <c r="N15240" s="1"/>
    </row>
    <row r="15241" spans="6:15" x14ac:dyDescent="0.3">
      <c r="F15241" s="1"/>
    </row>
    <row r="15242" spans="6:15" x14ac:dyDescent="0.3">
      <c r="F15242" s="1"/>
    </row>
    <row r="15243" spans="6:15" x14ac:dyDescent="0.3">
      <c r="F15243" s="1"/>
    </row>
    <row r="15244" spans="6:15" x14ac:dyDescent="0.3">
      <c r="F15244" s="1"/>
    </row>
    <row r="15245" spans="6:15" x14ac:dyDescent="0.3">
      <c r="F15245" s="1"/>
    </row>
    <row r="15246" spans="6:15" x14ac:dyDescent="0.3">
      <c r="F15246" s="1"/>
    </row>
    <row r="15247" spans="6:15" x14ac:dyDescent="0.3">
      <c r="F15247" s="1"/>
    </row>
    <row r="15248" spans="6:15" x14ac:dyDescent="0.3">
      <c r="F15248" s="1"/>
    </row>
    <row r="15249" spans="6:14" x14ac:dyDescent="0.3">
      <c r="F15249" s="1"/>
    </row>
    <row r="15251" spans="6:14" x14ac:dyDescent="0.3">
      <c r="F15251" s="1"/>
    </row>
    <row r="15252" spans="6:14" x14ac:dyDescent="0.3">
      <c r="M15252" s="1"/>
      <c r="N15252" s="1"/>
    </row>
    <row r="15253" spans="6:14" x14ac:dyDescent="0.3">
      <c r="F15253" s="1"/>
    </row>
    <row r="15254" spans="6:14" x14ac:dyDescent="0.3">
      <c r="F15254" s="1"/>
    </row>
    <row r="15255" spans="6:14" x14ac:dyDescent="0.3">
      <c r="F15255" s="1"/>
    </row>
    <row r="15256" spans="6:14" x14ac:dyDescent="0.3">
      <c r="F15256" s="1"/>
    </row>
    <row r="15257" spans="6:14" x14ac:dyDescent="0.3">
      <c r="F15257" s="1"/>
    </row>
    <row r="15258" spans="6:14" x14ac:dyDescent="0.3">
      <c r="F15258" s="1"/>
    </row>
    <row r="15259" spans="6:14" x14ac:dyDescent="0.3">
      <c r="F15259" s="1"/>
    </row>
    <row r="15260" spans="6:14" x14ac:dyDescent="0.3">
      <c r="F15260" s="1"/>
    </row>
    <row r="15261" spans="6:14" x14ac:dyDescent="0.3">
      <c r="F15261" s="1"/>
    </row>
    <row r="15262" spans="6:14" x14ac:dyDescent="0.3">
      <c r="F15262" s="1"/>
    </row>
    <row r="15265" spans="6:14" x14ac:dyDescent="0.3">
      <c r="F15265" s="1"/>
    </row>
    <row r="15266" spans="6:14" x14ac:dyDescent="0.3">
      <c r="F15266" s="1"/>
      <c r="M15266" s="1"/>
    </row>
    <row r="15267" spans="6:14" x14ac:dyDescent="0.3">
      <c r="F15267" s="1"/>
    </row>
    <row r="15268" spans="6:14" x14ac:dyDescent="0.3">
      <c r="F15268" s="1"/>
      <c r="M15268" s="1"/>
    </row>
    <row r="15269" spans="6:14" x14ac:dyDescent="0.3">
      <c r="F15269" s="1"/>
    </row>
    <row r="15270" spans="6:14" x14ac:dyDescent="0.3">
      <c r="F15270" s="1"/>
    </row>
    <row r="15271" spans="6:14" x14ac:dyDescent="0.3">
      <c r="F15271" s="1"/>
    </row>
    <row r="15272" spans="6:14" x14ac:dyDescent="0.3">
      <c r="F15272" s="1"/>
    </row>
    <row r="15273" spans="6:14" x14ac:dyDescent="0.3">
      <c r="F15273" s="1"/>
    </row>
    <row r="15274" spans="6:14" x14ac:dyDescent="0.3">
      <c r="F15274" s="1"/>
    </row>
    <row r="15275" spans="6:14" x14ac:dyDescent="0.3">
      <c r="F15275" s="1"/>
    </row>
    <row r="15276" spans="6:14" x14ac:dyDescent="0.3">
      <c r="F15276" s="1"/>
      <c r="L15276" s="1"/>
      <c r="N15276" s="1"/>
    </row>
    <row r="15277" spans="6:14" x14ac:dyDescent="0.3">
      <c r="F15277" s="1"/>
    </row>
    <row r="15278" spans="6:14" x14ac:dyDescent="0.3">
      <c r="F15278" s="1"/>
    </row>
    <row r="15279" spans="6:14" x14ac:dyDescent="0.3">
      <c r="F15279" s="1"/>
      <c r="N15279" s="1"/>
    </row>
    <row r="15280" spans="6:14" x14ac:dyDescent="0.3">
      <c r="F15280" s="1"/>
    </row>
    <row r="15281" spans="6:15" x14ac:dyDescent="0.3">
      <c r="F15281" s="1"/>
    </row>
    <row r="15282" spans="6:15" x14ac:dyDescent="0.3">
      <c r="F15282" s="1"/>
      <c r="O15282" s="1"/>
    </row>
    <row r="15284" spans="6:15" x14ac:dyDescent="0.3">
      <c r="F15284" s="1"/>
    </row>
    <row r="15285" spans="6:15" x14ac:dyDescent="0.3">
      <c r="F15285" s="1"/>
    </row>
    <row r="15286" spans="6:15" x14ac:dyDescent="0.3">
      <c r="F15286" s="1"/>
    </row>
    <row r="15287" spans="6:15" x14ac:dyDescent="0.3">
      <c r="F15287" s="1"/>
    </row>
    <row r="15288" spans="6:15" x14ac:dyDescent="0.3">
      <c r="F15288" s="1"/>
    </row>
    <row r="15289" spans="6:15" x14ac:dyDescent="0.3">
      <c r="F15289" s="1"/>
    </row>
    <row r="15290" spans="6:15" x14ac:dyDescent="0.3">
      <c r="F15290" s="1"/>
    </row>
    <row r="15291" spans="6:15" x14ac:dyDescent="0.3">
      <c r="F15291" s="1"/>
    </row>
    <row r="15292" spans="6:15" x14ac:dyDescent="0.3">
      <c r="F15292" s="1"/>
    </row>
    <row r="15293" spans="6:15" x14ac:dyDescent="0.3">
      <c r="F15293" s="1"/>
    </row>
    <row r="15294" spans="6:15" x14ac:dyDescent="0.3">
      <c r="F15294" s="1"/>
    </row>
    <row r="15295" spans="6:15" x14ac:dyDescent="0.3">
      <c r="F15295" s="1"/>
    </row>
    <row r="15296" spans="6:15" x14ac:dyDescent="0.3">
      <c r="F15296" s="1"/>
    </row>
    <row r="15297" spans="6:15" x14ac:dyDescent="0.3">
      <c r="F15297" s="1"/>
    </row>
    <row r="15298" spans="6:15" x14ac:dyDescent="0.3">
      <c r="F15298" s="1"/>
    </row>
    <row r="15299" spans="6:15" x14ac:dyDescent="0.3">
      <c r="F15299" s="1"/>
    </row>
    <row r="15300" spans="6:15" x14ac:dyDescent="0.3">
      <c r="F15300" s="1"/>
    </row>
    <row r="15301" spans="6:15" x14ac:dyDescent="0.3">
      <c r="F15301" s="1"/>
    </row>
    <row r="15302" spans="6:15" x14ac:dyDescent="0.3">
      <c r="F15302" s="1"/>
      <c r="M15302" s="1"/>
      <c r="N15302" s="1"/>
      <c r="O15302" s="1"/>
    </row>
    <row r="15303" spans="6:15" x14ac:dyDescent="0.3">
      <c r="F15303" s="1"/>
    </row>
    <row r="15304" spans="6:15" x14ac:dyDescent="0.3">
      <c r="F15304" s="1"/>
    </row>
    <row r="15305" spans="6:15" x14ac:dyDescent="0.3">
      <c r="F15305" s="1"/>
      <c r="M15305" s="1"/>
    </row>
    <row r="15306" spans="6:15" x14ac:dyDescent="0.3">
      <c r="F15306" s="1"/>
    </row>
    <row r="15307" spans="6:15" x14ac:dyDescent="0.3">
      <c r="F15307" s="1"/>
    </row>
    <row r="15308" spans="6:15" x14ac:dyDescent="0.3">
      <c r="F15308" s="1"/>
    </row>
    <row r="15309" spans="6:15" x14ac:dyDescent="0.3">
      <c r="F15309" s="1"/>
    </row>
    <row r="15310" spans="6:15" x14ac:dyDescent="0.3">
      <c r="F15310" s="1"/>
    </row>
    <row r="15311" spans="6:15" x14ac:dyDescent="0.3">
      <c r="F15311" s="1"/>
    </row>
    <row r="15312" spans="6:15" x14ac:dyDescent="0.3">
      <c r="F15312" s="1"/>
    </row>
    <row r="15313" spans="6:15" x14ac:dyDescent="0.3">
      <c r="F15313" s="1"/>
    </row>
    <row r="15314" spans="6:15" x14ac:dyDescent="0.3">
      <c r="F15314" s="1"/>
    </row>
    <row r="15315" spans="6:15" x14ac:dyDescent="0.3">
      <c r="L15315" s="1"/>
      <c r="M15315" s="1"/>
      <c r="O15315" s="1"/>
    </row>
    <row r="15316" spans="6:15" x14ac:dyDescent="0.3">
      <c r="F15316" s="1"/>
    </row>
    <row r="15317" spans="6:15" x14ac:dyDescent="0.3">
      <c r="F15317" s="1"/>
    </row>
    <row r="15318" spans="6:15" x14ac:dyDescent="0.3">
      <c r="F15318" s="1"/>
    </row>
    <row r="15319" spans="6:15" x14ac:dyDescent="0.3">
      <c r="F15319" s="1"/>
    </row>
    <row r="15320" spans="6:15" x14ac:dyDescent="0.3">
      <c r="F15320" s="1"/>
    </row>
    <row r="15321" spans="6:15" x14ac:dyDescent="0.3">
      <c r="F15321" s="1"/>
    </row>
    <row r="15322" spans="6:15" x14ac:dyDescent="0.3">
      <c r="F15322" s="1"/>
    </row>
    <row r="15323" spans="6:15" x14ac:dyDescent="0.3">
      <c r="F15323" s="1"/>
    </row>
    <row r="15324" spans="6:15" x14ac:dyDescent="0.3">
      <c r="L15324" s="1"/>
      <c r="N15324" s="1"/>
    </row>
    <row r="15325" spans="6:15" x14ac:dyDescent="0.3">
      <c r="F15325" s="1"/>
    </row>
    <row r="15327" spans="6:15" x14ac:dyDescent="0.3">
      <c r="F15327" s="1"/>
    </row>
    <row r="15328" spans="6:15" x14ac:dyDescent="0.3">
      <c r="F15328" s="1"/>
    </row>
    <row r="15329" spans="6:14" x14ac:dyDescent="0.3">
      <c r="F15329" s="1"/>
    </row>
    <row r="15330" spans="6:14" x14ac:dyDescent="0.3">
      <c r="F15330" s="1"/>
    </row>
    <row r="15331" spans="6:14" x14ac:dyDescent="0.3">
      <c r="F15331" s="1"/>
    </row>
    <row r="15332" spans="6:14" x14ac:dyDescent="0.3">
      <c r="F15332" s="1"/>
    </row>
    <row r="15333" spans="6:14" x14ac:dyDescent="0.3">
      <c r="F15333" s="1"/>
    </row>
    <row r="15334" spans="6:14" x14ac:dyDescent="0.3">
      <c r="F15334" s="1"/>
      <c r="N15334" s="1"/>
    </row>
    <row r="15335" spans="6:14" x14ac:dyDescent="0.3">
      <c r="F15335" s="1"/>
    </row>
    <row r="15337" spans="6:14" x14ac:dyDescent="0.3">
      <c r="F15337" s="1"/>
    </row>
    <row r="15338" spans="6:14" x14ac:dyDescent="0.3">
      <c r="F15338" s="1"/>
    </row>
    <row r="15339" spans="6:14" x14ac:dyDescent="0.3">
      <c r="F15339" s="1"/>
    </row>
    <row r="15340" spans="6:14" x14ac:dyDescent="0.3">
      <c r="F15340" s="1"/>
    </row>
    <row r="15341" spans="6:14" x14ac:dyDescent="0.3">
      <c r="F15341" s="1"/>
    </row>
    <row r="15342" spans="6:14" x14ac:dyDescent="0.3">
      <c r="F15342" s="1"/>
    </row>
    <row r="15343" spans="6:14" x14ac:dyDescent="0.3">
      <c r="F15343" s="1"/>
    </row>
    <row r="15344" spans="6:14" x14ac:dyDescent="0.3">
      <c r="F15344" s="1"/>
    </row>
    <row r="15345" spans="6:6" x14ac:dyDescent="0.3">
      <c r="F15345" s="1"/>
    </row>
    <row r="15346" spans="6:6" x14ac:dyDescent="0.3">
      <c r="F15346" s="1"/>
    </row>
    <row r="15348" spans="6:6" x14ac:dyDescent="0.3">
      <c r="F15348" s="1"/>
    </row>
    <row r="15349" spans="6:6" x14ac:dyDescent="0.3">
      <c r="F15349" s="1"/>
    </row>
    <row r="15350" spans="6:6" x14ac:dyDescent="0.3">
      <c r="F15350" s="1"/>
    </row>
    <row r="15351" spans="6:6" x14ac:dyDescent="0.3">
      <c r="F15351" s="1"/>
    </row>
    <row r="15352" spans="6:6" x14ac:dyDescent="0.3">
      <c r="F15352" s="1"/>
    </row>
    <row r="15353" spans="6:6" x14ac:dyDescent="0.3">
      <c r="F15353" s="1"/>
    </row>
    <row r="15354" spans="6:6" x14ac:dyDescent="0.3">
      <c r="F15354" s="1"/>
    </row>
    <row r="15356" spans="6:6" x14ac:dyDescent="0.3">
      <c r="F15356" s="1"/>
    </row>
    <row r="15357" spans="6:6" x14ac:dyDescent="0.3">
      <c r="F15357" s="1"/>
    </row>
    <row r="15358" spans="6:6" x14ac:dyDescent="0.3">
      <c r="F15358" s="1"/>
    </row>
    <row r="15359" spans="6:6" x14ac:dyDescent="0.3">
      <c r="F15359" s="1"/>
    </row>
    <row r="15360" spans="6:6" x14ac:dyDescent="0.3">
      <c r="F15360" s="1"/>
    </row>
    <row r="15361" spans="6:14" x14ac:dyDescent="0.3">
      <c r="F15361" s="1"/>
    </row>
    <row r="15362" spans="6:14" x14ac:dyDescent="0.3">
      <c r="F15362" s="1"/>
    </row>
    <row r="15363" spans="6:14" x14ac:dyDescent="0.3">
      <c r="L15363" s="1"/>
      <c r="M15363" s="1"/>
      <c r="N15363" s="1"/>
    </row>
    <row r="15365" spans="6:14" x14ac:dyDescent="0.3">
      <c r="F15365" s="1"/>
    </row>
    <row r="15366" spans="6:14" x14ac:dyDescent="0.3">
      <c r="F15366" s="1"/>
    </row>
    <row r="15367" spans="6:14" x14ac:dyDescent="0.3">
      <c r="F15367" s="1"/>
      <c r="N15367" s="1"/>
    </row>
    <row r="15368" spans="6:14" x14ac:dyDescent="0.3">
      <c r="F15368" s="1"/>
    </row>
    <row r="15369" spans="6:14" x14ac:dyDescent="0.3">
      <c r="F15369" s="1"/>
      <c r="N15369" s="1"/>
    </row>
    <row r="15370" spans="6:14" x14ac:dyDescent="0.3">
      <c r="F15370" s="1"/>
    </row>
    <row r="15371" spans="6:14" x14ac:dyDescent="0.3">
      <c r="F15371" s="1"/>
    </row>
    <row r="15372" spans="6:14" x14ac:dyDescent="0.3">
      <c r="F15372" s="1"/>
    </row>
    <row r="15373" spans="6:14" x14ac:dyDescent="0.3">
      <c r="F15373" s="1"/>
    </row>
    <row r="15374" spans="6:14" x14ac:dyDescent="0.3">
      <c r="F15374" s="1"/>
    </row>
    <row r="15375" spans="6:14" x14ac:dyDescent="0.3">
      <c r="F15375" s="1"/>
    </row>
    <row r="15376" spans="6:14" x14ac:dyDescent="0.3">
      <c r="F15376" s="1"/>
    </row>
    <row r="15377" spans="6:15" x14ac:dyDescent="0.3">
      <c r="F15377" s="1"/>
    </row>
    <row r="15378" spans="6:15" x14ac:dyDescent="0.3">
      <c r="F15378" s="1"/>
    </row>
    <row r="15380" spans="6:15" x14ac:dyDescent="0.3">
      <c r="F15380" s="1"/>
      <c r="L15380" s="1"/>
      <c r="M15380" s="1"/>
      <c r="N15380" s="1"/>
      <c r="O15380" s="1"/>
    </row>
    <row r="15381" spans="6:15" x14ac:dyDescent="0.3">
      <c r="F15381" s="1"/>
    </row>
    <row r="15382" spans="6:15" x14ac:dyDescent="0.3">
      <c r="F15382" s="1"/>
    </row>
    <row r="15383" spans="6:15" x14ac:dyDescent="0.3">
      <c r="F15383" s="1"/>
    </row>
    <row r="15384" spans="6:15" x14ac:dyDescent="0.3">
      <c r="F15384" s="1"/>
      <c r="L15384" s="1"/>
    </row>
    <row r="15385" spans="6:15" x14ac:dyDescent="0.3">
      <c r="F15385" s="1"/>
    </row>
    <row r="15386" spans="6:15" x14ac:dyDescent="0.3">
      <c r="F15386" s="1"/>
    </row>
    <row r="15387" spans="6:15" x14ac:dyDescent="0.3">
      <c r="F15387" s="1"/>
    </row>
    <row r="15388" spans="6:15" x14ac:dyDescent="0.3">
      <c r="F15388" s="1"/>
    </row>
    <row r="15389" spans="6:15" x14ac:dyDescent="0.3">
      <c r="F15389" s="1"/>
      <c r="M15389" s="1"/>
    </row>
    <row r="15390" spans="6:15" x14ac:dyDescent="0.3">
      <c r="F15390" s="1"/>
      <c r="M15390" s="1"/>
    </row>
    <row r="15391" spans="6:15" x14ac:dyDescent="0.3">
      <c r="F15391" s="1"/>
    </row>
    <row r="15392" spans="6:15" x14ac:dyDescent="0.3">
      <c r="F15392" s="1"/>
    </row>
    <row r="15393" spans="6:15" x14ac:dyDescent="0.3">
      <c r="F15393" s="1"/>
    </row>
    <row r="15394" spans="6:15" x14ac:dyDescent="0.3">
      <c r="F15394" s="1"/>
    </row>
    <row r="15395" spans="6:15" x14ac:dyDescent="0.3">
      <c r="F15395" s="1"/>
    </row>
    <row r="15397" spans="6:15" x14ac:dyDescent="0.3">
      <c r="F15397" s="1"/>
    </row>
    <row r="15398" spans="6:15" x14ac:dyDescent="0.3">
      <c r="F15398" s="1"/>
    </row>
    <row r="15399" spans="6:15" x14ac:dyDescent="0.3">
      <c r="F15399" s="1"/>
    </row>
    <row r="15401" spans="6:15" x14ac:dyDescent="0.3">
      <c r="F15401" s="1"/>
    </row>
    <row r="15402" spans="6:15" x14ac:dyDescent="0.3">
      <c r="F15402" s="1"/>
    </row>
    <row r="15403" spans="6:15" x14ac:dyDescent="0.3">
      <c r="F15403" s="1"/>
    </row>
    <row r="15404" spans="6:15" x14ac:dyDescent="0.3">
      <c r="F15404" s="1"/>
      <c r="M15404" s="1"/>
    </row>
    <row r="15405" spans="6:15" x14ac:dyDescent="0.3">
      <c r="F15405" s="1"/>
    </row>
    <row r="15406" spans="6:15" x14ac:dyDescent="0.3">
      <c r="F15406" s="1"/>
    </row>
    <row r="15407" spans="6:15" x14ac:dyDescent="0.3">
      <c r="F15407" s="1"/>
      <c r="O15407" s="1"/>
    </row>
    <row r="15408" spans="6:15" x14ac:dyDescent="0.3">
      <c r="F15408" s="1"/>
    </row>
    <row r="15409" spans="6:15" x14ac:dyDescent="0.3">
      <c r="F15409" s="1"/>
    </row>
    <row r="15410" spans="6:15" x14ac:dyDescent="0.3">
      <c r="F15410" s="1"/>
    </row>
    <row r="15411" spans="6:15" x14ac:dyDescent="0.3">
      <c r="F15411" s="1"/>
    </row>
    <row r="15412" spans="6:15" x14ac:dyDescent="0.3">
      <c r="F15412" s="1"/>
    </row>
    <row r="15413" spans="6:15" x14ac:dyDescent="0.3">
      <c r="F15413" s="1"/>
    </row>
    <row r="15414" spans="6:15" x14ac:dyDescent="0.3">
      <c r="F15414" s="1"/>
    </row>
    <row r="15415" spans="6:15" x14ac:dyDescent="0.3">
      <c r="F15415" s="1"/>
    </row>
    <row r="15416" spans="6:15" x14ac:dyDescent="0.3">
      <c r="L15416" s="1"/>
      <c r="M15416" s="1"/>
    </row>
    <row r="15417" spans="6:15" x14ac:dyDescent="0.3">
      <c r="L15417" s="1"/>
      <c r="M15417" s="1"/>
      <c r="O15417" s="1"/>
    </row>
    <row r="15418" spans="6:15" x14ac:dyDescent="0.3">
      <c r="F15418" s="1"/>
    </row>
    <row r="15419" spans="6:15" x14ac:dyDescent="0.3">
      <c r="F15419" s="1"/>
    </row>
    <row r="15420" spans="6:15" x14ac:dyDescent="0.3">
      <c r="F15420" s="1"/>
    </row>
    <row r="15421" spans="6:15" x14ac:dyDescent="0.3">
      <c r="F15421" s="1"/>
    </row>
    <row r="15422" spans="6:15" x14ac:dyDescent="0.3">
      <c r="F15422" s="1"/>
    </row>
    <row r="15423" spans="6:15" x14ac:dyDescent="0.3">
      <c r="F15423" s="1"/>
    </row>
    <row r="15424" spans="6:15" x14ac:dyDescent="0.3">
      <c r="F15424" s="1"/>
    </row>
    <row r="15426" spans="6:14" x14ac:dyDescent="0.3">
      <c r="F15426" s="1"/>
    </row>
    <row r="15427" spans="6:14" x14ac:dyDescent="0.3">
      <c r="F15427" s="1"/>
    </row>
    <row r="15428" spans="6:14" x14ac:dyDescent="0.3">
      <c r="F15428" s="1"/>
    </row>
    <row r="15430" spans="6:14" x14ac:dyDescent="0.3">
      <c r="F15430" s="1"/>
    </row>
    <row r="15431" spans="6:14" x14ac:dyDescent="0.3">
      <c r="F15431" s="1"/>
      <c r="L15431" s="1"/>
      <c r="N15431" s="1"/>
    </row>
    <row r="15432" spans="6:14" x14ac:dyDescent="0.3">
      <c r="F15432" s="1"/>
    </row>
    <row r="15433" spans="6:14" x14ac:dyDescent="0.3">
      <c r="F15433" s="1"/>
    </row>
    <row r="15434" spans="6:14" x14ac:dyDescent="0.3">
      <c r="F15434" s="1"/>
    </row>
    <row r="15435" spans="6:14" x14ac:dyDescent="0.3">
      <c r="M15435" s="1"/>
    </row>
    <row r="15437" spans="6:14" x14ac:dyDescent="0.3">
      <c r="F15437" s="1"/>
    </row>
    <row r="15438" spans="6:14" x14ac:dyDescent="0.3">
      <c r="F15438" s="1"/>
    </row>
    <row r="15441" spans="6:14" x14ac:dyDescent="0.3">
      <c r="F15441" s="1"/>
    </row>
    <row r="15442" spans="6:14" x14ac:dyDescent="0.3">
      <c r="F15442" s="1"/>
    </row>
    <row r="15443" spans="6:14" x14ac:dyDescent="0.3">
      <c r="F15443" s="1"/>
    </row>
    <row r="15444" spans="6:14" x14ac:dyDescent="0.3">
      <c r="F15444" s="1"/>
      <c r="N15444" s="1"/>
    </row>
    <row r="15445" spans="6:14" x14ac:dyDescent="0.3">
      <c r="F15445" s="1"/>
    </row>
    <row r="15448" spans="6:14" x14ac:dyDescent="0.3">
      <c r="F15448" s="1"/>
    </row>
    <row r="15449" spans="6:14" x14ac:dyDescent="0.3">
      <c r="F15449" s="1"/>
    </row>
    <row r="15450" spans="6:14" x14ac:dyDescent="0.3">
      <c r="F15450" s="1"/>
    </row>
    <row r="15451" spans="6:14" x14ac:dyDescent="0.3">
      <c r="F15451" s="1"/>
      <c r="L15451" s="1"/>
      <c r="M15451" s="1"/>
    </row>
    <row r="15452" spans="6:14" x14ac:dyDescent="0.3">
      <c r="F15452" s="1"/>
    </row>
    <row r="15453" spans="6:14" x14ac:dyDescent="0.3">
      <c r="F15453" s="1"/>
    </row>
    <row r="15454" spans="6:14" x14ac:dyDescent="0.3">
      <c r="F15454" s="1"/>
    </row>
    <row r="15455" spans="6:14" x14ac:dyDescent="0.3">
      <c r="F15455" s="1"/>
    </row>
    <row r="15456" spans="6:14" x14ac:dyDescent="0.3">
      <c r="L15456" s="1"/>
      <c r="M15456" s="1"/>
    </row>
    <row r="15457" spans="6:6" x14ac:dyDescent="0.3">
      <c r="F15457" s="1"/>
    </row>
    <row r="15458" spans="6:6" x14ac:dyDescent="0.3">
      <c r="F15458" s="1"/>
    </row>
    <row r="15459" spans="6:6" x14ac:dyDescent="0.3">
      <c r="F15459" s="1"/>
    </row>
    <row r="15460" spans="6:6" x14ac:dyDescent="0.3">
      <c r="F15460" s="1"/>
    </row>
    <row r="15461" spans="6:6" x14ac:dyDescent="0.3">
      <c r="F15461" s="1"/>
    </row>
    <row r="15462" spans="6:6" x14ac:dyDescent="0.3">
      <c r="F15462" s="1"/>
    </row>
    <row r="15463" spans="6:6" x14ac:dyDescent="0.3">
      <c r="F15463" s="1"/>
    </row>
    <row r="15464" spans="6:6" x14ac:dyDescent="0.3">
      <c r="F15464" s="1"/>
    </row>
    <row r="15465" spans="6:6" x14ac:dyDescent="0.3">
      <c r="F15465" s="1"/>
    </row>
    <row r="15466" spans="6:6" x14ac:dyDescent="0.3">
      <c r="F15466" s="1"/>
    </row>
    <row r="15467" spans="6:6" x14ac:dyDescent="0.3">
      <c r="F15467" s="1"/>
    </row>
    <row r="15468" spans="6:6" x14ac:dyDescent="0.3">
      <c r="F15468" s="1"/>
    </row>
    <row r="15469" spans="6:6" x14ac:dyDescent="0.3">
      <c r="F15469" s="1"/>
    </row>
    <row r="15472" spans="6:6" x14ac:dyDescent="0.3">
      <c r="F15472" s="1"/>
    </row>
    <row r="15473" spans="6:13" x14ac:dyDescent="0.3">
      <c r="F15473" s="1"/>
    </row>
    <row r="15475" spans="6:13" x14ac:dyDescent="0.3">
      <c r="F15475" s="1"/>
    </row>
    <row r="15476" spans="6:13" x14ac:dyDescent="0.3">
      <c r="L15476" s="1"/>
      <c r="M15476" s="1"/>
    </row>
    <row r="15477" spans="6:13" x14ac:dyDescent="0.3">
      <c r="F15477" s="1"/>
    </row>
    <row r="15478" spans="6:13" x14ac:dyDescent="0.3">
      <c r="F15478" s="1"/>
    </row>
    <row r="15479" spans="6:13" x14ac:dyDescent="0.3">
      <c r="F15479" s="1"/>
    </row>
    <row r="15480" spans="6:13" x14ac:dyDescent="0.3">
      <c r="F15480" s="1"/>
    </row>
    <row r="15481" spans="6:13" x14ac:dyDescent="0.3">
      <c r="F15481" s="1"/>
    </row>
    <row r="15482" spans="6:13" x14ac:dyDescent="0.3">
      <c r="F15482" s="1"/>
    </row>
    <row r="15483" spans="6:13" x14ac:dyDescent="0.3">
      <c r="F15483" s="1"/>
    </row>
    <row r="15486" spans="6:13" x14ac:dyDescent="0.3">
      <c r="F15486" s="1"/>
    </row>
    <row r="15487" spans="6:13" x14ac:dyDescent="0.3">
      <c r="F15487" s="1"/>
    </row>
    <row r="15488" spans="6:13" x14ac:dyDescent="0.3">
      <c r="F15488" s="1"/>
    </row>
    <row r="15489" spans="6:12" x14ac:dyDescent="0.3">
      <c r="F15489" s="1"/>
    </row>
    <row r="15490" spans="6:12" x14ac:dyDescent="0.3">
      <c r="F15490" s="1"/>
    </row>
    <row r="15491" spans="6:12" x14ac:dyDescent="0.3">
      <c r="F15491" s="1"/>
    </row>
    <row r="15492" spans="6:12" x14ac:dyDescent="0.3">
      <c r="F15492" s="1"/>
    </row>
    <row r="15493" spans="6:12" x14ac:dyDescent="0.3">
      <c r="F15493" s="1"/>
    </row>
    <row r="15494" spans="6:12" x14ac:dyDescent="0.3">
      <c r="F15494" s="1"/>
    </row>
    <row r="15495" spans="6:12" x14ac:dyDescent="0.3">
      <c r="F15495" s="1"/>
    </row>
    <row r="15496" spans="6:12" x14ac:dyDescent="0.3">
      <c r="F15496" s="1"/>
    </row>
    <row r="15497" spans="6:12" x14ac:dyDescent="0.3">
      <c r="F15497" s="1"/>
    </row>
    <row r="15498" spans="6:12" x14ac:dyDescent="0.3">
      <c r="F15498" s="1"/>
    </row>
    <row r="15500" spans="6:12" x14ac:dyDescent="0.3">
      <c r="F15500" s="1"/>
    </row>
    <row r="15501" spans="6:12" x14ac:dyDescent="0.3">
      <c r="F15501" s="1"/>
      <c r="L15501" s="1"/>
    </row>
    <row r="15502" spans="6:12" x14ac:dyDescent="0.3">
      <c r="F15502" s="1"/>
    </row>
    <row r="15503" spans="6:12" x14ac:dyDescent="0.3">
      <c r="F15503" s="1"/>
    </row>
    <row r="15505" spans="6:13" x14ac:dyDescent="0.3">
      <c r="F15505" s="1"/>
    </row>
    <row r="15506" spans="6:13" x14ac:dyDescent="0.3">
      <c r="F15506" s="1"/>
    </row>
    <row r="15507" spans="6:13" x14ac:dyDescent="0.3">
      <c r="F15507" s="1"/>
    </row>
    <row r="15508" spans="6:13" x14ac:dyDescent="0.3">
      <c r="F15508" s="1"/>
      <c r="L15508" s="1"/>
      <c r="M15508" s="1"/>
    </row>
    <row r="15509" spans="6:13" x14ac:dyDescent="0.3">
      <c r="F15509" s="1"/>
    </row>
    <row r="15510" spans="6:13" x14ac:dyDescent="0.3">
      <c r="F15510" s="1"/>
      <c r="M15510" s="1"/>
    </row>
    <row r="15512" spans="6:13" x14ac:dyDescent="0.3">
      <c r="F15512" s="1"/>
    </row>
    <row r="15513" spans="6:13" x14ac:dyDescent="0.3">
      <c r="F15513" s="1"/>
    </row>
    <row r="15514" spans="6:13" x14ac:dyDescent="0.3">
      <c r="F15514" s="1"/>
    </row>
    <row r="15515" spans="6:13" x14ac:dyDescent="0.3">
      <c r="F15515" s="1"/>
    </row>
    <row r="15516" spans="6:13" x14ac:dyDescent="0.3">
      <c r="F15516" s="1"/>
    </row>
    <row r="15517" spans="6:13" x14ac:dyDescent="0.3">
      <c r="F15517" s="1"/>
    </row>
    <row r="15518" spans="6:13" x14ac:dyDescent="0.3">
      <c r="F15518" s="1"/>
    </row>
    <row r="15519" spans="6:13" x14ac:dyDescent="0.3">
      <c r="F15519" s="1"/>
    </row>
    <row r="15520" spans="6:13" x14ac:dyDescent="0.3">
      <c r="F15520" s="1"/>
    </row>
    <row r="15521" spans="6:6" x14ac:dyDescent="0.3">
      <c r="F15521" s="1"/>
    </row>
    <row r="15522" spans="6:6" x14ac:dyDescent="0.3">
      <c r="F15522" s="1"/>
    </row>
    <row r="15523" spans="6:6" x14ac:dyDescent="0.3">
      <c r="F15523" s="1"/>
    </row>
    <row r="15524" spans="6:6" x14ac:dyDescent="0.3">
      <c r="F15524" s="1"/>
    </row>
    <row r="15525" spans="6:6" x14ac:dyDescent="0.3">
      <c r="F15525" s="1"/>
    </row>
    <row r="15526" spans="6:6" x14ac:dyDescent="0.3">
      <c r="F15526" s="1"/>
    </row>
    <row r="15527" spans="6:6" x14ac:dyDescent="0.3">
      <c r="F15527" s="1"/>
    </row>
    <row r="15529" spans="6:6" x14ac:dyDescent="0.3">
      <c r="F15529" s="1"/>
    </row>
    <row r="15530" spans="6:6" x14ac:dyDescent="0.3">
      <c r="F15530" s="1"/>
    </row>
    <row r="15531" spans="6:6" x14ac:dyDescent="0.3">
      <c r="F15531" s="1"/>
    </row>
    <row r="15532" spans="6:6" x14ac:dyDescent="0.3">
      <c r="F15532" s="1"/>
    </row>
    <row r="15533" spans="6:6" x14ac:dyDescent="0.3">
      <c r="F15533" s="1"/>
    </row>
    <row r="15534" spans="6:6" x14ac:dyDescent="0.3">
      <c r="F15534" s="1"/>
    </row>
    <row r="15535" spans="6:6" x14ac:dyDescent="0.3">
      <c r="F15535" s="1"/>
    </row>
    <row r="15536" spans="6:6" x14ac:dyDescent="0.3">
      <c r="F15536" s="1"/>
    </row>
    <row r="15537" spans="6:15" x14ac:dyDescent="0.3">
      <c r="F15537" s="1"/>
    </row>
    <row r="15538" spans="6:15" x14ac:dyDescent="0.3">
      <c r="F15538" s="1"/>
    </row>
    <row r="15539" spans="6:15" x14ac:dyDescent="0.3">
      <c r="F15539" s="1"/>
      <c r="M15539" s="1"/>
      <c r="O15539" s="1"/>
    </row>
    <row r="15541" spans="6:15" x14ac:dyDescent="0.3">
      <c r="F15541" s="1"/>
    </row>
    <row r="15542" spans="6:15" x14ac:dyDescent="0.3">
      <c r="F15542" s="1"/>
    </row>
    <row r="15543" spans="6:15" x14ac:dyDescent="0.3">
      <c r="F15543" s="1"/>
    </row>
    <row r="15544" spans="6:15" x14ac:dyDescent="0.3">
      <c r="F15544" s="1"/>
    </row>
    <row r="15545" spans="6:15" x14ac:dyDescent="0.3">
      <c r="F15545" s="1"/>
    </row>
    <row r="15547" spans="6:15" x14ac:dyDescent="0.3">
      <c r="F15547" s="1"/>
    </row>
    <row r="15548" spans="6:15" x14ac:dyDescent="0.3">
      <c r="F15548" s="1"/>
    </row>
    <row r="15549" spans="6:15" x14ac:dyDescent="0.3">
      <c r="F15549" s="1"/>
    </row>
    <row r="15550" spans="6:15" x14ac:dyDescent="0.3">
      <c r="F15550" s="1"/>
    </row>
    <row r="15551" spans="6:15" x14ac:dyDescent="0.3">
      <c r="F15551" s="1"/>
    </row>
    <row r="15552" spans="6:15" x14ac:dyDescent="0.3">
      <c r="F15552" s="1"/>
    </row>
    <row r="15553" spans="6:15" x14ac:dyDescent="0.3">
      <c r="F15553" s="1"/>
    </row>
    <row r="15554" spans="6:15" x14ac:dyDescent="0.3">
      <c r="F15554" s="1"/>
    </row>
    <row r="15555" spans="6:15" x14ac:dyDescent="0.3">
      <c r="L15555" s="1"/>
      <c r="N15555" s="1"/>
    </row>
    <row r="15556" spans="6:15" x14ac:dyDescent="0.3">
      <c r="F15556" s="1"/>
    </row>
    <row r="15557" spans="6:15" x14ac:dyDescent="0.3">
      <c r="F15557" s="1"/>
    </row>
    <row r="15558" spans="6:15" x14ac:dyDescent="0.3">
      <c r="F15558" s="1"/>
    </row>
    <row r="15559" spans="6:15" x14ac:dyDescent="0.3">
      <c r="F15559" s="1"/>
      <c r="L15559" s="1"/>
      <c r="O15559" s="1"/>
    </row>
    <row r="15563" spans="6:15" x14ac:dyDescent="0.3">
      <c r="F15563" s="1"/>
    </row>
    <row r="15564" spans="6:15" x14ac:dyDescent="0.3">
      <c r="F15564" s="1"/>
    </row>
    <row r="15565" spans="6:15" x14ac:dyDescent="0.3">
      <c r="F15565" s="1"/>
    </row>
    <row r="15567" spans="6:15" x14ac:dyDescent="0.3">
      <c r="F15567" s="1"/>
    </row>
    <row r="15568" spans="6:15" x14ac:dyDescent="0.3">
      <c r="L15568" s="1"/>
      <c r="M15568" s="1"/>
      <c r="N15568" s="1"/>
      <c r="O15568" s="1"/>
    </row>
    <row r="15569" spans="6:15" x14ac:dyDescent="0.3">
      <c r="F15569" s="1"/>
    </row>
    <row r="15570" spans="6:15" x14ac:dyDescent="0.3">
      <c r="F15570" s="1"/>
    </row>
    <row r="15571" spans="6:15" x14ac:dyDescent="0.3">
      <c r="F15571" s="1"/>
    </row>
    <row r="15572" spans="6:15" x14ac:dyDescent="0.3">
      <c r="F15572" s="1"/>
    </row>
    <row r="15573" spans="6:15" x14ac:dyDescent="0.3">
      <c r="F15573" s="1"/>
    </row>
    <row r="15574" spans="6:15" x14ac:dyDescent="0.3">
      <c r="L15574" s="1"/>
      <c r="N15574" s="1"/>
      <c r="O15574" s="1"/>
    </row>
    <row r="15575" spans="6:15" x14ac:dyDescent="0.3">
      <c r="F15575" s="1"/>
    </row>
    <row r="15576" spans="6:15" x14ac:dyDescent="0.3">
      <c r="F15576" s="1"/>
    </row>
    <row r="15577" spans="6:15" x14ac:dyDescent="0.3">
      <c r="F15577" s="1"/>
      <c r="M15577" s="1"/>
    </row>
    <row r="15578" spans="6:15" x14ac:dyDescent="0.3">
      <c r="F15578" s="1"/>
    </row>
    <row r="15579" spans="6:15" x14ac:dyDescent="0.3">
      <c r="F15579" s="1"/>
    </row>
    <row r="15580" spans="6:15" x14ac:dyDescent="0.3">
      <c r="F15580" s="1"/>
    </row>
    <row r="15581" spans="6:15" x14ac:dyDescent="0.3">
      <c r="F15581" s="1"/>
      <c r="L15581" s="1"/>
      <c r="M15581" s="1"/>
      <c r="N15581" s="1"/>
      <c r="O15581" s="1"/>
    </row>
    <row r="15582" spans="6:15" x14ac:dyDescent="0.3">
      <c r="F15582" s="1"/>
    </row>
    <row r="15583" spans="6:15" x14ac:dyDescent="0.3">
      <c r="F15583" s="1"/>
    </row>
    <row r="15584" spans="6:15" x14ac:dyDescent="0.3">
      <c r="F15584" s="1"/>
    </row>
    <row r="15585" spans="6:13" x14ac:dyDescent="0.3">
      <c r="F15585" s="1"/>
    </row>
    <row r="15586" spans="6:13" x14ac:dyDescent="0.3">
      <c r="F15586" s="1"/>
      <c r="M15586" s="1"/>
    </row>
    <row r="15587" spans="6:13" x14ac:dyDescent="0.3">
      <c r="F15587" s="1"/>
    </row>
    <row r="15588" spans="6:13" x14ac:dyDescent="0.3">
      <c r="F15588" s="1"/>
    </row>
    <row r="15589" spans="6:13" x14ac:dyDescent="0.3">
      <c r="F15589" s="1"/>
    </row>
    <row r="15590" spans="6:13" x14ac:dyDescent="0.3">
      <c r="F15590" s="1"/>
      <c r="L15590" s="1"/>
    </row>
    <row r="15591" spans="6:13" x14ac:dyDescent="0.3">
      <c r="F15591" s="1"/>
    </row>
    <row r="15592" spans="6:13" x14ac:dyDescent="0.3">
      <c r="F15592" s="1"/>
    </row>
    <row r="15593" spans="6:13" x14ac:dyDescent="0.3">
      <c r="F15593" s="1"/>
    </row>
    <row r="15594" spans="6:13" x14ac:dyDescent="0.3">
      <c r="F15594" s="1"/>
    </row>
    <row r="15595" spans="6:13" x14ac:dyDescent="0.3">
      <c r="F15595" s="1"/>
    </row>
    <row r="15596" spans="6:13" x14ac:dyDescent="0.3">
      <c r="F15596" s="1"/>
    </row>
    <row r="15597" spans="6:13" x14ac:dyDescent="0.3">
      <c r="F15597" s="1"/>
    </row>
    <row r="15598" spans="6:13" x14ac:dyDescent="0.3">
      <c r="F15598" s="1"/>
    </row>
    <row r="15599" spans="6:13" x14ac:dyDescent="0.3">
      <c r="F15599" s="1"/>
    </row>
    <row r="15600" spans="6:13" x14ac:dyDescent="0.3">
      <c r="F15600" s="1"/>
    </row>
    <row r="15601" spans="6:15" x14ac:dyDescent="0.3">
      <c r="F15601" s="1"/>
    </row>
    <row r="15602" spans="6:15" x14ac:dyDescent="0.3">
      <c r="F15602" s="1"/>
    </row>
    <row r="15603" spans="6:15" x14ac:dyDescent="0.3">
      <c r="F15603" s="1"/>
    </row>
    <row r="15604" spans="6:15" x14ac:dyDescent="0.3">
      <c r="F15604" s="1"/>
    </row>
    <row r="15605" spans="6:15" x14ac:dyDescent="0.3">
      <c r="F15605" s="1"/>
      <c r="L15605" s="1"/>
      <c r="M15605" s="1"/>
      <c r="N15605" s="1"/>
      <c r="O15605" s="1"/>
    </row>
    <row r="15606" spans="6:15" x14ac:dyDescent="0.3">
      <c r="F15606" s="1"/>
    </row>
    <row r="15607" spans="6:15" x14ac:dyDescent="0.3">
      <c r="F15607" s="1"/>
      <c r="M15607" s="1"/>
    </row>
    <row r="15608" spans="6:15" x14ac:dyDescent="0.3">
      <c r="F15608" s="1"/>
    </row>
    <row r="15609" spans="6:15" x14ac:dyDescent="0.3">
      <c r="F15609" s="1"/>
    </row>
    <row r="15610" spans="6:15" x14ac:dyDescent="0.3">
      <c r="F15610" s="1"/>
    </row>
    <row r="15611" spans="6:15" x14ac:dyDescent="0.3">
      <c r="F15611" s="1"/>
    </row>
    <row r="15613" spans="6:15" x14ac:dyDescent="0.3">
      <c r="F15613" s="1"/>
    </row>
    <row r="15614" spans="6:15" x14ac:dyDescent="0.3">
      <c r="F15614" s="1"/>
    </row>
    <row r="15615" spans="6:15" x14ac:dyDescent="0.3">
      <c r="F15615" s="1"/>
    </row>
    <row r="15616" spans="6:15" x14ac:dyDescent="0.3">
      <c r="F15616" s="1"/>
    </row>
    <row r="15618" spans="6:15" x14ac:dyDescent="0.3">
      <c r="F15618" s="1"/>
    </row>
    <row r="15619" spans="6:15" x14ac:dyDescent="0.3">
      <c r="F15619" s="1"/>
    </row>
    <row r="15620" spans="6:15" x14ac:dyDescent="0.3">
      <c r="F15620" s="1"/>
    </row>
    <row r="15621" spans="6:15" x14ac:dyDescent="0.3">
      <c r="F15621" s="1"/>
    </row>
    <row r="15623" spans="6:15" x14ac:dyDescent="0.3">
      <c r="F15623" s="1"/>
    </row>
    <row r="15624" spans="6:15" x14ac:dyDescent="0.3">
      <c r="F15624" s="1"/>
    </row>
    <row r="15625" spans="6:15" x14ac:dyDescent="0.3">
      <c r="F15625" s="1"/>
    </row>
    <row r="15626" spans="6:15" x14ac:dyDescent="0.3">
      <c r="F15626" s="1"/>
    </row>
    <row r="15627" spans="6:15" x14ac:dyDescent="0.3">
      <c r="F15627" s="1"/>
      <c r="L15627" s="1"/>
      <c r="M15627" s="1"/>
      <c r="O15627" s="1"/>
    </row>
    <row r="15628" spans="6:15" x14ac:dyDescent="0.3">
      <c r="F15628" s="1"/>
    </row>
    <row r="15629" spans="6:15" x14ac:dyDescent="0.3">
      <c r="F15629" s="1"/>
    </row>
    <row r="15630" spans="6:15" x14ac:dyDescent="0.3">
      <c r="F15630" s="1"/>
    </row>
    <row r="15631" spans="6:15" x14ac:dyDescent="0.3">
      <c r="F15631" s="1"/>
    </row>
    <row r="15632" spans="6:15" x14ac:dyDescent="0.3">
      <c r="F15632" s="1"/>
    </row>
    <row r="15633" spans="6:14" x14ac:dyDescent="0.3">
      <c r="F15633" s="1"/>
      <c r="M15633" s="1"/>
      <c r="N15633" s="1"/>
    </row>
    <row r="15634" spans="6:14" x14ac:dyDescent="0.3">
      <c r="F15634" s="1"/>
    </row>
    <row r="15635" spans="6:14" x14ac:dyDescent="0.3">
      <c r="F15635" s="1"/>
    </row>
    <row r="15636" spans="6:14" x14ac:dyDescent="0.3">
      <c r="F15636" s="1"/>
      <c r="L15636" s="1"/>
      <c r="N15636" s="1"/>
    </row>
    <row r="15637" spans="6:14" x14ac:dyDescent="0.3">
      <c r="F15637" s="1"/>
    </row>
    <row r="15638" spans="6:14" x14ac:dyDescent="0.3">
      <c r="F15638" s="1"/>
    </row>
    <row r="15639" spans="6:14" x14ac:dyDescent="0.3">
      <c r="F15639" s="1"/>
    </row>
    <row r="15640" spans="6:14" x14ac:dyDescent="0.3">
      <c r="F15640" s="1"/>
    </row>
    <row r="15641" spans="6:14" x14ac:dyDescent="0.3">
      <c r="F15641" s="1"/>
    </row>
    <row r="15642" spans="6:14" x14ac:dyDescent="0.3">
      <c r="F15642" s="1"/>
    </row>
    <row r="15643" spans="6:14" x14ac:dyDescent="0.3">
      <c r="F15643" s="1"/>
    </row>
    <row r="15645" spans="6:14" x14ac:dyDescent="0.3">
      <c r="F15645" s="1"/>
    </row>
    <row r="15648" spans="6:14" x14ac:dyDescent="0.3">
      <c r="F15648" s="1"/>
    </row>
    <row r="15649" spans="6:13" x14ac:dyDescent="0.3">
      <c r="F15649" s="1"/>
    </row>
    <row r="15651" spans="6:13" x14ac:dyDescent="0.3">
      <c r="F15651" s="1"/>
    </row>
    <row r="15652" spans="6:13" x14ac:dyDescent="0.3">
      <c r="F15652" s="1"/>
    </row>
    <row r="15653" spans="6:13" x14ac:dyDescent="0.3">
      <c r="F15653" s="1"/>
    </row>
    <row r="15654" spans="6:13" x14ac:dyDescent="0.3">
      <c r="F15654" s="1"/>
    </row>
    <row r="15656" spans="6:13" x14ac:dyDescent="0.3">
      <c r="F15656" s="1"/>
    </row>
    <row r="15657" spans="6:13" x14ac:dyDescent="0.3">
      <c r="F15657" s="1"/>
    </row>
    <row r="15658" spans="6:13" x14ac:dyDescent="0.3">
      <c r="F15658" s="1"/>
    </row>
    <row r="15659" spans="6:13" x14ac:dyDescent="0.3">
      <c r="F15659" s="1"/>
    </row>
    <row r="15660" spans="6:13" x14ac:dyDescent="0.3">
      <c r="M15660" s="1"/>
    </row>
    <row r="15663" spans="6:13" x14ac:dyDescent="0.3">
      <c r="F15663" s="1"/>
    </row>
    <row r="15664" spans="6:13" x14ac:dyDescent="0.3">
      <c r="F15664" s="1"/>
    </row>
    <row r="15665" spans="6:13" x14ac:dyDescent="0.3">
      <c r="F15665" s="1"/>
    </row>
    <row r="15666" spans="6:13" x14ac:dyDescent="0.3">
      <c r="F15666" s="1"/>
    </row>
    <row r="15667" spans="6:13" x14ac:dyDescent="0.3">
      <c r="F15667" s="1"/>
    </row>
    <row r="15668" spans="6:13" x14ac:dyDescent="0.3">
      <c r="F15668" s="1"/>
    </row>
    <row r="15669" spans="6:13" x14ac:dyDescent="0.3">
      <c r="F15669" s="1"/>
    </row>
    <row r="15671" spans="6:13" x14ac:dyDescent="0.3">
      <c r="F15671" s="1"/>
    </row>
    <row r="15672" spans="6:13" x14ac:dyDescent="0.3">
      <c r="F15672" s="1"/>
    </row>
    <row r="15674" spans="6:13" x14ac:dyDescent="0.3">
      <c r="F15674" s="1"/>
    </row>
    <row r="15675" spans="6:13" x14ac:dyDescent="0.3">
      <c r="F15675" s="1"/>
    </row>
    <row r="15676" spans="6:13" x14ac:dyDescent="0.3">
      <c r="F15676" s="1"/>
    </row>
    <row r="15677" spans="6:13" x14ac:dyDescent="0.3">
      <c r="M15677" s="1"/>
    </row>
    <row r="15678" spans="6:13" x14ac:dyDescent="0.3">
      <c r="F15678" s="1"/>
    </row>
    <row r="15679" spans="6:13" x14ac:dyDescent="0.3">
      <c r="F15679" s="1"/>
    </row>
    <row r="15680" spans="6:13" x14ac:dyDescent="0.3">
      <c r="F15680" s="1"/>
    </row>
    <row r="15681" spans="6:13" x14ac:dyDescent="0.3">
      <c r="F15681" s="1"/>
    </row>
    <row r="15682" spans="6:13" x14ac:dyDescent="0.3">
      <c r="F15682" s="1"/>
    </row>
    <row r="15683" spans="6:13" x14ac:dyDescent="0.3">
      <c r="F15683" s="1"/>
    </row>
    <row r="15684" spans="6:13" x14ac:dyDescent="0.3">
      <c r="F15684" s="1"/>
      <c r="M15684" s="1"/>
    </row>
    <row r="15685" spans="6:13" x14ac:dyDescent="0.3">
      <c r="F15685" s="1"/>
    </row>
    <row r="15686" spans="6:13" x14ac:dyDescent="0.3">
      <c r="F15686" s="1"/>
    </row>
    <row r="15687" spans="6:13" x14ac:dyDescent="0.3">
      <c r="F15687" s="1"/>
    </row>
    <row r="15689" spans="6:13" x14ac:dyDescent="0.3">
      <c r="F15689" s="1"/>
    </row>
    <row r="15690" spans="6:13" x14ac:dyDescent="0.3">
      <c r="F15690" s="1"/>
    </row>
    <row r="15691" spans="6:13" x14ac:dyDescent="0.3">
      <c r="F15691" s="1"/>
    </row>
    <row r="15692" spans="6:13" x14ac:dyDescent="0.3">
      <c r="F15692" s="1"/>
    </row>
    <row r="15693" spans="6:13" x14ac:dyDescent="0.3">
      <c r="F15693" s="1"/>
    </row>
    <row r="15694" spans="6:13" x14ac:dyDescent="0.3">
      <c r="F15694" s="1"/>
    </row>
    <row r="15695" spans="6:13" x14ac:dyDescent="0.3">
      <c r="F15695" s="1"/>
    </row>
    <row r="15696" spans="6:13" x14ac:dyDescent="0.3">
      <c r="F15696" s="1"/>
    </row>
    <row r="15697" spans="6:14" x14ac:dyDescent="0.3">
      <c r="F15697" s="1"/>
    </row>
    <row r="15698" spans="6:14" x14ac:dyDescent="0.3">
      <c r="F15698" s="1"/>
    </row>
    <row r="15699" spans="6:14" x14ac:dyDescent="0.3">
      <c r="F15699" s="1"/>
    </row>
    <row r="15700" spans="6:14" x14ac:dyDescent="0.3">
      <c r="F15700" s="1"/>
    </row>
    <row r="15701" spans="6:14" x14ac:dyDescent="0.3">
      <c r="F15701" s="1"/>
    </row>
    <row r="15702" spans="6:14" x14ac:dyDescent="0.3">
      <c r="F15702" s="1"/>
    </row>
    <row r="15703" spans="6:14" x14ac:dyDescent="0.3">
      <c r="F15703" s="1"/>
    </row>
    <row r="15704" spans="6:14" x14ac:dyDescent="0.3">
      <c r="F15704" s="1"/>
      <c r="N15704" s="1"/>
    </row>
    <row r="15705" spans="6:14" x14ac:dyDescent="0.3">
      <c r="F15705" s="1"/>
    </row>
    <row r="15706" spans="6:14" x14ac:dyDescent="0.3">
      <c r="F15706" s="1"/>
    </row>
    <row r="15707" spans="6:14" x14ac:dyDescent="0.3">
      <c r="F15707" s="1"/>
    </row>
    <row r="15708" spans="6:14" x14ac:dyDescent="0.3">
      <c r="F15708" s="1"/>
      <c r="L15708" s="1"/>
    </row>
    <row r="15709" spans="6:14" x14ac:dyDescent="0.3">
      <c r="F15709" s="1"/>
    </row>
    <row r="15710" spans="6:14" x14ac:dyDescent="0.3">
      <c r="F15710" s="1"/>
    </row>
    <row r="15712" spans="6:14" x14ac:dyDescent="0.3">
      <c r="F15712" s="1"/>
    </row>
    <row r="15713" spans="6:14" x14ac:dyDescent="0.3">
      <c r="F15713" s="1"/>
    </row>
    <row r="15714" spans="6:14" x14ac:dyDescent="0.3">
      <c r="N15714" s="1"/>
    </row>
    <row r="15715" spans="6:14" x14ac:dyDescent="0.3">
      <c r="F15715" s="1"/>
    </row>
    <row r="15716" spans="6:14" x14ac:dyDescent="0.3">
      <c r="F15716" s="1"/>
    </row>
    <row r="15717" spans="6:14" x14ac:dyDescent="0.3">
      <c r="F15717" s="1"/>
    </row>
    <row r="15718" spans="6:14" x14ac:dyDescent="0.3">
      <c r="F15718" s="1"/>
      <c r="M15718" s="1"/>
    </row>
    <row r="15719" spans="6:14" x14ac:dyDescent="0.3">
      <c r="L15719" s="1"/>
      <c r="M15719" s="1"/>
    </row>
    <row r="15720" spans="6:14" x14ac:dyDescent="0.3">
      <c r="F15720" s="1"/>
    </row>
    <row r="15721" spans="6:14" x14ac:dyDescent="0.3">
      <c r="F15721" s="1"/>
    </row>
    <row r="15722" spans="6:14" x14ac:dyDescent="0.3">
      <c r="F15722" s="1"/>
    </row>
    <row r="15723" spans="6:14" x14ac:dyDescent="0.3">
      <c r="F15723" s="1"/>
    </row>
    <row r="15724" spans="6:14" x14ac:dyDescent="0.3">
      <c r="F15724" s="1"/>
    </row>
    <row r="15725" spans="6:14" x14ac:dyDescent="0.3">
      <c r="F15725" s="1"/>
    </row>
    <row r="15726" spans="6:14" x14ac:dyDescent="0.3">
      <c r="F15726" s="1"/>
    </row>
    <row r="15727" spans="6:14" x14ac:dyDescent="0.3">
      <c r="F15727" s="1"/>
    </row>
    <row r="15729" spans="6:13" x14ac:dyDescent="0.3">
      <c r="F15729" s="1"/>
    </row>
    <row r="15730" spans="6:13" x14ac:dyDescent="0.3">
      <c r="F15730" s="1"/>
      <c r="M15730" s="1"/>
    </row>
    <row r="15731" spans="6:13" x14ac:dyDescent="0.3">
      <c r="F15731" s="1"/>
    </row>
    <row r="15732" spans="6:13" x14ac:dyDescent="0.3">
      <c r="F15732" s="1"/>
    </row>
    <row r="15733" spans="6:13" x14ac:dyDescent="0.3">
      <c r="F15733" s="1"/>
    </row>
    <row r="15734" spans="6:13" x14ac:dyDescent="0.3">
      <c r="F15734" s="1"/>
    </row>
    <row r="15735" spans="6:13" x14ac:dyDescent="0.3">
      <c r="F15735" s="1"/>
    </row>
    <row r="15737" spans="6:13" x14ac:dyDescent="0.3">
      <c r="F15737" s="1"/>
    </row>
    <row r="15738" spans="6:13" x14ac:dyDescent="0.3">
      <c r="F15738" s="1"/>
    </row>
    <row r="15739" spans="6:13" x14ac:dyDescent="0.3">
      <c r="F15739" s="1"/>
    </row>
    <row r="15740" spans="6:13" x14ac:dyDescent="0.3">
      <c r="F15740" s="1"/>
    </row>
    <row r="15741" spans="6:13" x14ac:dyDescent="0.3">
      <c r="F15741" s="1"/>
    </row>
    <row r="15742" spans="6:13" x14ac:dyDescent="0.3">
      <c r="F15742" s="1"/>
    </row>
    <row r="15743" spans="6:13" x14ac:dyDescent="0.3">
      <c r="F15743" s="1"/>
    </row>
    <row r="15744" spans="6:13" x14ac:dyDescent="0.3">
      <c r="F15744" s="1"/>
    </row>
    <row r="15745" spans="6:15" x14ac:dyDescent="0.3">
      <c r="L15745" s="1"/>
      <c r="N15745" s="1"/>
    </row>
    <row r="15746" spans="6:15" x14ac:dyDescent="0.3">
      <c r="F15746" s="1"/>
    </row>
    <row r="15747" spans="6:15" x14ac:dyDescent="0.3">
      <c r="F15747" s="1"/>
    </row>
    <row r="15748" spans="6:15" x14ac:dyDescent="0.3">
      <c r="F15748" s="1"/>
    </row>
    <row r="15749" spans="6:15" x14ac:dyDescent="0.3">
      <c r="F15749" s="1"/>
      <c r="L15749" s="1"/>
      <c r="N15749" s="1"/>
      <c r="O15749" s="1"/>
    </row>
    <row r="15750" spans="6:15" x14ac:dyDescent="0.3">
      <c r="F15750" s="1"/>
    </row>
    <row r="15751" spans="6:15" x14ac:dyDescent="0.3">
      <c r="N15751" s="1"/>
    </row>
    <row r="15752" spans="6:15" x14ac:dyDescent="0.3">
      <c r="F15752" s="1"/>
    </row>
    <row r="15753" spans="6:15" x14ac:dyDescent="0.3">
      <c r="F15753" s="1"/>
    </row>
    <row r="15754" spans="6:15" x14ac:dyDescent="0.3">
      <c r="F15754" s="1"/>
    </row>
    <row r="15755" spans="6:15" x14ac:dyDescent="0.3">
      <c r="F15755" s="1"/>
    </row>
    <row r="15756" spans="6:15" x14ac:dyDescent="0.3">
      <c r="F15756" s="1"/>
    </row>
    <row r="15757" spans="6:15" x14ac:dyDescent="0.3">
      <c r="F15757" s="1"/>
    </row>
    <row r="15758" spans="6:15" x14ac:dyDescent="0.3">
      <c r="N15758" s="1"/>
      <c r="O15758" s="1"/>
    </row>
    <row r="15759" spans="6:15" x14ac:dyDescent="0.3">
      <c r="F15759" s="1"/>
    </row>
    <row r="15760" spans="6:15" x14ac:dyDescent="0.3">
      <c r="F15760" s="1"/>
    </row>
    <row r="15762" spans="6:6" x14ac:dyDescent="0.3">
      <c r="F15762" s="1"/>
    </row>
    <row r="15763" spans="6:6" x14ac:dyDescent="0.3">
      <c r="F15763" s="1"/>
    </row>
    <row r="15764" spans="6:6" x14ac:dyDescent="0.3">
      <c r="F15764" s="1"/>
    </row>
    <row r="15766" spans="6:6" x14ac:dyDescent="0.3">
      <c r="F15766" s="1"/>
    </row>
    <row r="15768" spans="6:6" x14ac:dyDescent="0.3">
      <c r="F15768" s="1"/>
    </row>
    <row r="15770" spans="6:6" x14ac:dyDescent="0.3">
      <c r="F15770" s="1"/>
    </row>
    <row r="15771" spans="6:6" x14ac:dyDescent="0.3">
      <c r="F15771" s="1"/>
    </row>
    <row r="15772" spans="6:6" x14ac:dyDescent="0.3">
      <c r="F15772" s="1"/>
    </row>
    <row r="15773" spans="6:6" x14ac:dyDescent="0.3">
      <c r="F15773" s="1"/>
    </row>
    <row r="15774" spans="6:6" x14ac:dyDescent="0.3">
      <c r="F15774" s="1"/>
    </row>
    <row r="15775" spans="6:6" x14ac:dyDescent="0.3">
      <c r="F15775" s="1"/>
    </row>
    <row r="15776" spans="6:6" x14ac:dyDescent="0.3">
      <c r="F15776" s="1"/>
    </row>
    <row r="15777" spans="6:15" x14ac:dyDescent="0.3">
      <c r="F15777" s="1"/>
    </row>
    <row r="15778" spans="6:15" x14ac:dyDescent="0.3">
      <c r="F15778" s="1"/>
    </row>
    <row r="15779" spans="6:15" x14ac:dyDescent="0.3">
      <c r="F15779" s="1"/>
    </row>
    <row r="15780" spans="6:15" x14ac:dyDescent="0.3">
      <c r="N15780" s="1"/>
    </row>
    <row r="15781" spans="6:15" x14ac:dyDescent="0.3">
      <c r="L15781" s="1"/>
      <c r="M15781" s="1"/>
      <c r="N15781" s="1"/>
      <c r="O15781" s="1"/>
    </row>
    <row r="15782" spans="6:15" x14ac:dyDescent="0.3">
      <c r="F15782" s="1"/>
    </row>
    <row r="15783" spans="6:15" x14ac:dyDescent="0.3">
      <c r="F15783" s="1"/>
    </row>
    <row r="15784" spans="6:15" x14ac:dyDescent="0.3">
      <c r="F15784" s="1"/>
    </row>
    <row r="15785" spans="6:15" x14ac:dyDescent="0.3">
      <c r="F15785" s="1"/>
    </row>
    <row r="15786" spans="6:15" x14ac:dyDescent="0.3">
      <c r="F15786" s="1"/>
    </row>
    <row r="15787" spans="6:15" x14ac:dyDescent="0.3">
      <c r="F15787" s="1"/>
    </row>
    <row r="15789" spans="6:15" x14ac:dyDescent="0.3">
      <c r="F15789" s="1"/>
    </row>
    <row r="15790" spans="6:15" x14ac:dyDescent="0.3">
      <c r="F15790" s="1"/>
      <c r="L15790" s="1"/>
      <c r="M15790" s="1"/>
      <c r="N15790" s="1"/>
      <c r="O15790" s="1"/>
    </row>
    <row r="15791" spans="6:15" x14ac:dyDescent="0.3">
      <c r="F15791" s="1"/>
    </row>
    <row r="15792" spans="6:15" x14ac:dyDescent="0.3">
      <c r="N15792" s="1"/>
    </row>
    <row r="15793" spans="6:14" x14ac:dyDescent="0.3">
      <c r="F15793" s="1"/>
    </row>
    <row r="15794" spans="6:14" x14ac:dyDescent="0.3">
      <c r="F15794" s="1"/>
    </row>
    <row r="15795" spans="6:14" x14ac:dyDescent="0.3">
      <c r="F15795" s="1"/>
    </row>
    <row r="15796" spans="6:14" x14ac:dyDescent="0.3">
      <c r="F15796" s="1"/>
    </row>
    <row r="15798" spans="6:14" x14ac:dyDescent="0.3">
      <c r="F15798" s="1"/>
    </row>
    <row r="15799" spans="6:14" x14ac:dyDescent="0.3">
      <c r="F15799" s="1"/>
    </row>
    <row r="15800" spans="6:14" x14ac:dyDescent="0.3">
      <c r="L15800" s="1"/>
    </row>
    <row r="15801" spans="6:14" x14ac:dyDescent="0.3">
      <c r="F15801" s="1"/>
    </row>
    <row r="15802" spans="6:14" x14ac:dyDescent="0.3">
      <c r="F15802" s="1"/>
    </row>
    <row r="15805" spans="6:14" x14ac:dyDescent="0.3">
      <c r="F15805" s="1"/>
    </row>
    <row r="15806" spans="6:14" x14ac:dyDescent="0.3">
      <c r="M15806" s="1"/>
      <c r="N15806" s="1"/>
    </row>
    <row r="15807" spans="6:14" x14ac:dyDescent="0.3">
      <c r="F15807" s="1"/>
      <c r="N15807" s="1"/>
    </row>
    <row r="15808" spans="6:14" x14ac:dyDescent="0.3">
      <c r="F15808" s="1"/>
    </row>
    <row r="15809" spans="6:6" x14ac:dyDescent="0.3">
      <c r="F15809" s="1"/>
    </row>
    <row r="15810" spans="6:6" x14ac:dyDescent="0.3">
      <c r="F15810" s="1"/>
    </row>
    <row r="15811" spans="6:6" x14ac:dyDescent="0.3">
      <c r="F15811" s="1"/>
    </row>
    <row r="15812" spans="6:6" x14ac:dyDescent="0.3">
      <c r="F15812" s="1"/>
    </row>
    <row r="15813" spans="6:6" x14ac:dyDescent="0.3">
      <c r="F15813" s="1"/>
    </row>
    <row r="15814" spans="6:6" x14ac:dyDescent="0.3">
      <c r="F15814" s="1"/>
    </row>
    <row r="15815" spans="6:6" x14ac:dyDescent="0.3">
      <c r="F15815" s="1"/>
    </row>
    <row r="15816" spans="6:6" x14ac:dyDescent="0.3">
      <c r="F15816" s="1"/>
    </row>
    <row r="15817" spans="6:6" x14ac:dyDescent="0.3">
      <c r="F15817" s="1"/>
    </row>
    <row r="15818" spans="6:6" x14ac:dyDescent="0.3">
      <c r="F15818" s="1"/>
    </row>
    <row r="15819" spans="6:6" x14ac:dyDescent="0.3">
      <c r="F15819" s="1"/>
    </row>
    <row r="15820" spans="6:6" x14ac:dyDescent="0.3">
      <c r="F15820" s="1"/>
    </row>
    <row r="15821" spans="6:6" x14ac:dyDescent="0.3">
      <c r="F15821" s="1"/>
    </row>
    <row r="15822" spans="6:6" x14ac:dyDescent="0.3">
      <c r="F15822" s="1"/>
    </row>
    <row r="15823" spans="6:6" x14ac:dyDescent="0.3">
      <c r="F15823" s="1"/>
    </row>
    <row r="15824" spans="6:6" x14ac:dyDescent="0.3">
      <c r="F15824" s="1"/>
    </row>
    <row r="15825" spans="6:14" x14ac:dyDescent="0.3">
      <c r="F15825" s="1"/>
    </row>
    <row r="15826" spans="6:14" x14ac:dyDescent="0.3">
      <c r="F15826" s="1"/>
    </row>
    <row r="15827" spans="6:14" x14ac:dyDescent="0.3">
      <c r="F15827" s="1"/>
    </row>
    <row r="15828" spans="6:14" x14ac:dyDescent="0.3">
      <c r="F15828" s="1"/>
    </row>
    <row r="15829" spans="6:14" x14ac:dyDescent="0.3">
      <c r="N15829" s="1"/>
    </row>
    <row r="15830" spans="6:14" x14ac:dyDescent="0.3">
      <c r="F15830" s="1"/>
    </row>
    <row r="15831" spans="6:14" x14ac:dyDescent="0.3">
      <c r="F15831" s="1"/>
    </row>
    <row r="15832" spans="6:14" x14ac:dyDescent="0.3">
      <c r="F15832" s="1"/>
    </row>
    <row r="15833" spans="6:14" x14ac:dyDescent="0.3">
      <c r="F15833" s="1"/>
    </row>
    <row r="15834" spans="6:14" x14ac:dyDescent="0.3">
      <c r="F15834" s="1"/>
    </row>
    <row r="15835" spans="6:14" x14ac:dyDescent="0.3">
      <c r="F15835" s="1"/>
    </row>
    <row r="15836" spans="6:14" x14ac:dyDescent="0.3">
      <c r="F15836" s="1"/>
      <c r="L15836" s="1"/>
      <c r="N15836" s="1"/>
    </row>
    <row r="15837" spans="6:14" x14ac:dyDescent="0.3">
      <c r="F15837" s="1"/>
    </row>
    <row r="15838" spans="6:14" x14ac:dyDescent="0.3">
      <c r="F15838" s="1"/>
    </row>
    <row r="15839" spans="6:14" x14ac:dyDescent="0.3">
      <c r="F15839" s="1"/>
    </row>
    <row r="15840" spans="6:14" x14ac:dyDescent="0.3">
      <c r="F15840" s="1"/>
    </row>
    <row r="15841" spans="6:13" x14ac:dyDescent="0.3">
      <c r="F15841" s="1"/>
    </row>
    <row r="15842" spans="6:13" x14ac:dyDescent="0.3">
      <c r="F15842" s="1"/>
    </row>
    <row r="15844" spans="6:13" x14ac:dyDescent="0.3">
      <c r="F15844" s="1"/>
    </row>
    <row r="15845" spans="6:13" x14ac:dyDescent="0.3">
      <c r="F15845" s="1"/>
    </row>
    <row r="15846" spans="6:13" x14ac:dyDescent="0.3">
      <c r="F15846" s="1"/>
    </row>
    <row r="15847" spans="6:13" x14ac:dyDescent="0.3">
      <c r="F15847" s="1"/>
    </row>
    <row r="15848" spans="6:13" x14ac:dyDescent="0.3">
      <c r="M15848" s="1"/>
    </row>
    <row r="15849" spans="6:13" x14ac:dyDescent="0.3">
      <c r="F15849" s="1"/>
      <c r="L15849" s="1"/>
    </row>
    <row r="15850" spans="6:13" x14ac:dyDescent="0.3">
      <c r="F15850" s="1"/>
    </row>
    <row r="15851" spans="6:13" x14ac:dyDescent="0.3">
      <c r="F15851" s="1"/>
      <c r="L15851" s="1"/>
    </row>
    <row r="15852" spans="6:13" x14ac:dyDescent="0.3">
      <c r="F15852" s="1"/>
    </row>
    <row r="15853" spans="6:13" x14ac:dyDescent="0.3">
      <c r="F15853" s="1"/>
    </row>
    <row r="15854" spans="6:13" x14ac:dyDescent="0.3">
      <c r="F15854" s="1"/>
    </row>
    <row r="15855" spans="6:13" x14ac:dyDescent="0.3">
      <c r="F15855" s="1"/>
    </row>
    <row r="15856" spans="6:13" x14ac:dyDescent="0.3">
      <c r="F15856" s="1"/>
    </row>
    <row r="15858" spans="6:15" x14ac:dyDescent="0.3">
      <c r="F15858" s="1"/>
    </row>
    <row r="15859" spans="6:15" x14ac:dyDescent="0.3">
      <c r="F15859" s="1"/>
    </row>
    <row r="15860" spans="6:15" x14ac:dyDescent="0.3">
      <c r="F15860" s="1"/>
    </row>
    <row r="15861" spans="6:15" x14ac:dyDescent="0.3">
      <c r="F15861" s="1"/>
    </row>
    <row r="15862" spans="6:15" x14ac:dyDescent="0.3">
      <c r="F15862" s="1"/>
    </row>
    <row r="15863" spans="6:15" x14ac:dyDescent="0.3">
      <c r="L15863" s="1"/>
    </row>
    <row r="15864" spans="6:15" x14ac:dyDescent="0.3">
      <c r="F15864" s="1"/>
    </row>
    <row r="15865" spans="6:15" x14ac:dyDescent="0.3">
      <c r="F15865" s="1"/>
    </row>
    <row r="15866" spans="6:15" x14ac:dyDescent="0.3">
      <c r="F15866" s="1"/>
    </row>
    <row r="15867" spans="6:15" x14ac:dyDescent="0.3">
      <c r="F15867" s="1"/>
    </row>
    <row r="15868" spans="6:15" x14ac:dyDescent="0.3">
      <c r="F15868" s="1"/>
    </row>
    <row r="15869" spans="6:15" x14ac:dyDescent="0.3">
      <c r="F15869" s="1"/>
    </row>
    <row r="15870" spans="6:15" x14ac:dyDescent="0.3">
      <c r="F15870" s="1"/>
    </row>
    <row r="15871" spans="6:15" x14ac:dyDescent="0.3">
      <c r="F15871" s="1"/>
      <c r="L15871" s="1"/>
      <c r="M15871" s="1"/>
      <c r="O15871" s="1"/>
    </row>
    <row r="15873" spans="6:14" x14ac:dyDescent="0.3">
      <c r="F15873" s="1"/>
    </row>
    <row r="15876" spans="6:14" x14ac:dyDescent="0.3">
      <c r="F15876" s="1"/>
      <c r="N15876" s="1"/>
    </row>
    <row r="15878" spans="6:14" x14ac:dyDescent="0.3">
      <c r="F15878" s="1"/>
    </row>
    <row r="15879" spans="6:14" x14ac:dyDescent="0.3">
      <c r="F15879" s="1"/>
    </row>
    <row r="15880" spans="6:14" x14ac:dyDescent="0.3">
      <c r="F15880" s="1"/>
    </row>
    <row r="15881" spans="6:14" x14ac:dyDescent="0.3">
      <c r="F15881" s="1"/>
    </row>
    <row r="15882" spans="6:14" x14ac:dyDescent="0.3">
      <c r="F15882" s="1"/>
    </row>
    <row r="15883" spans="6:14" x14ac:dyDescent="0.3">
      <c r="F15883" s="1"/>
    </row>
    <row r="15884" spans="6:14" x14ac:dyDescent="0.3">
      <c r="F15884" s="1"/>
    </row>
    <row r="15885" spans="6:14" x14ac:dyDescent="0.3">
      <c r="F15885" s="1"/>
    </row>
    <row r="15886" spans="6:14" x14ac:dyDescent="0.3">
      <c r="F15886" s="1"/>
    </row>
    <row r="15887" spans="6:14" x14ac:dyDescent="0.3">
      <c r="F15887" s="1"/>
      <c r="M15887" s="1"/>
    </row>
    <row r="15888" spans="6:14" x14ac:dyDescent="0.3">
      <c r="F15888" s="1"/>
      <c r="L15888" s="1"/>
    </row>
    <row r="15889" spans="6:15" x14ac:dyDescent="0.3">
      <c r="F15889" s="1"/>
    </row>
    <row r="15891" spans="6:15" x14ac:dyDescent="0.3">
      <c r="F15891" s="1"/>
      <c r="L15891" s="1"/>
      <c r="O15891" s="1"/>
    </row>
    <row r="15892" spans="6:15" x14ac:dyDescent="0.3">
      <c r="M15892" s="1"/>
      <c r="N15892" s="1"/>
    </row>
    <row r="15893" spans="6:15" x14ac:dyDescent="0.3">
      <c r="F15893" s="1"/>
    </row>
    <row r="15894" spans="6:15" x14ac:dyDescent="0.3">
      <c r="F15894" s="1"/>
    </row>
    <row r="15895" spans="6:15" x14ac:dyDescent="0.3">
      <c r="F15895" s="1"/>
    </row>
    <row r="15896" spans="6:15" x14ac:dyDescent="0.3">
      <c r="F15896" s="1"/>
    </row>
    <row r="15897" spans="6:15" x14ac:dyDescent="0.3">
      <c r="N15897" s="1"/>
    </row>
    <row r="15898" spans="6:15" x14ac:dyDescent="0.3">
      <c r="F15898" s="1"/>
    </row>
    <row r="15899" spans="6:15" x14ac:dyDescent="0.3">
      <c r="F15899" s="1"/>
      <c r="L15899" s="1"/>
    </row>
    <row r="15900" spans="6:15" x14ac:dyDescent="0.3">
      <c r="F15900" s="1"/>
    </row>
    <row r="15901" spans="6:15" x14ac:dyDescent="0.3">
      <c r="F15901" s="1"/>
    </row>
    <row r="15902" spans="6:15" x14ac:dyDescent="0.3">
      <c r="F15902" s="1"/>
    </row>
    <row r="15903" spans="6:15" x14ac:dyDescent="0.3">
      <c r="F15903" s="1"/>
    </row>
    <row r="15904" spans="6:15" x14ac:dyDescent="0.3">
      <c r="F15904" s="1"/>
    </row>
    <row r="15905" spans="6:13" x14ac:dyDescent="0.3">
      <c r="F15905" s="1"/>
    </row>
    <row r="15906" spans="6:13" x14ac:dyDescent="0.3">
      <c r="F15906" s="1"/>
    </row>
    <row r="15907" spans="6:13" x14ac:dyDescent="0.3">
      <c r="F15907" s="1"/>
    </row>
    <row r="15908" spans="6:13" x14ac:dyDescent="0.3">
      <c r="F15908" s="1"/>
    </row>
    <row r="15909" spans="6:13" x14ac:dyDescent="0.3">
      <c r="L15909" s="1"/>
      <c r="M15909" s="1"/>
    </row>
    <row r="15910" spans="6:13" x14ac:dyDescent="0.3">
      <c r="F15910" s="1"/>
    </row>
    <row r="15911" spans="6:13" x14ac:dyDescent="0.3">
      <c r="F15911" s="1"/>
    </row>
    <row r="15912" spans="6:13" x14ac:dyDescent="0.3">
      <c r="L15912" s="1"/>
    </row>
    <row r="15913" spans="6:13" x14ac:dyDescent="0.3">
      <c r="F15913" s="1"/>
    </row>
    <row r="15914" spans="6:13" x14ac:dyDescent="0.3">
      <c r="F15914" s="1"/>
    </row>
    <row r="15915" spans="6:13" x14ac:dyDescent="0.3">
      <c r="F15915" s="1"/>
    </row>
    <row r="15916" spans="6:13" x14ac:dyDescent="0.3">
      <c r="F15916" s="1"/>
    </row>
    <row r="15917" spans="6:13" x14ac:dyDescent="0.3">
      <c r="F15917" s="1"/>
    </row>
    <row r="15918" spans="6:13" x14ac:dyDescent="0.3">
      <c r="F15918" s="1"/>
    </row>
    <row r="15919" spans="6:13" x14ac:dyDescent="0.3">
      <c r="F15919" s="1"/>
    </row>
    <row r="15920" spans="6:13" x14ac:dyDescent="0.3">
      <c r="F15920" s="1"/>
      <c r="M15920" s="1"/>
    </row>
    <row r="15921" spans="6:15" x14ac:dyDescent="0.3">
      <c r="F15921" s="1"/>
    </row>
    <row r="15922" spans="6:15" x14ac:dyDescent="0.3">
      <c r="F15922" s="1"/>
      <c r="O15922" s="1"/>
    </row>
    <row r="15924" spans="6:15" x14ac:dyDescent="0.3">
      <c r="M15924" s="1"/>
    </row>
    <row r="15925" spans="6:15" x14ac:dyDescent="0.3">
      <c r="F15925" s="1"/>
    </row>
    <row r="15926" spans="6:15" x14ac:dyDescent="0.3">
      <c r="F15926" s="1"/>
    </row>
    <row r="15927" spans="6:15" x14ac:dyDescent="0.3">
      <c r="F15927" s="1"/>
    </row>
    <row r="15928" spans="6:15" x14ac:dyDescent="0.3">
      <c r="F15928" s="1"/>
    </row>
    <row r="15929" spans="6:15" x14ac:dyDescent="0.3">
      <c r="F15929" s="1"/>
    </row>
    <row r="15930" spans="6:15" x14ac:dyDescent="0.3">
      <c r="F15930" s="1"/>
    </row>
    <row r="15931" spans="6:15" x14ac:dyDescent="0.3">
      <c r="F15931" s="1"/>
    </row>
    <row r="15932" spans="6:15" x14ac:dyDescent="0.3">
      <c r="F15932" s="1"/>
    </row>
    <row r="15933" spans="6:15" x14ac:dyDescent="0.3">
      <c r="F15933" s="1"/>
    </row>
    <row r="15934" spans="6:15" x14ac:dyDescent="0.3">
      <c r="F15934" s="1"/>
    </row>
    <row r="15935" spans="6:15" x14ac:dyDescent="0.3">
      <c r="F15935" s="1"/>
    </row>
    <row r="15936" spans="6:15" x14ac:dyDescent="0.3">
      <c r="F15936" s="1"/>
    </row>
    <row r="15937" spans="6:6" x14ac:dyDescent="0.3">
      <c r="F15937" s="1"/>
    </row>
    <row r="15938" spans="6:6" x14ac:dyDescent="0.3">
      <c r="F15938" s="1"/>
    </row>
    <row r="15939" spans="6:6" x14ac:dyDescent="0.3">
      <c r="F15939" s="1"/>
    </row>
    <row r="15940" spans="6:6" x14ac:dyDescent="0.3">
      <c r="F15940" s="1"/>
    </row>
    <row r="15941" spans="6:6" x14ac:dyDescent="0.3">
      <c r="F15941" s="1"/>
    </row>
    <row r="15943" spans="6:6" x14ac:dyDescent="0.3">
      <c r="F15943" s="1"/>
    </row>
    <row r="15944" spans="6:6" x14ac:dyDescent="0.3">
      <c r="F15944" s="1"/>
    </row>
    <row r="15945" spans="6:6" x14ac:dyDescent="0.3">
      <c r="F15945" s="1"/>
    </row>
    <row r="15946" spans="6:6" x14ac:dyDescent="0.3">
      <c r="F15946" s="1"/>
    </row>
    <row r="15947" spans="6:6" x14ac:dyDescent="0.3">
      <c r="F15947" s="1"/>
    </row>
    <row r="15948" spans="6:6" x14ac:dyDescent="0.3">
      <c r="F15948" s="1"/>
    </row>
    <row r="15949" spans="6:6" x14ac:dyDescent="0.3">
      <c r="F15949" s="1"/>
    </row>
    <row r="15950" spans="6:6" x14ac:dyDescent="0.3">
      <c r="F15950" s="1"/>
    </row>
    <row r="15952" spans="6:6" x14ac:dyDescent="0.3">
      <c r="F15952" s="1"/>
    </row>
    <row r="15953" spans="6:14" x14ac:dyDescent="0.3">
      <c r="F15953" s="1"/>
    </row>
    <row r="15954" spans="6:14" x14ac:dyDescent="0.3">
      <c r="F15954" s="1"/>
    </row>
    <row r="15955" spans="6:14" x14ac:dyDescent="0.3">
      <c r="F15955" s="1"/>
    </row>
    <row r="15956" spans="6:14" x14ac:dyDescent="0.3">
      <c r="F15956" s="1"/>
    </row>
    <row r="15957" spans="6:14" x14ac:dyDescent="0.3">
      <c r="F15957" s="1"/>
    </row>
    <row r="15958" spans="6:14" x14ac:dyDescent="0.3">
      <c r="F15958" s="1"/>
    </row>
    <row r="15959" spans="6:14" x14ac:dyDescent="0.3">
      <c r="F15959" s="1"/>
    </row>
    <row r="15960" spans="6:14" x14ac:dyDescent="0.3">
      <c r="F15960" s="1"/>
    </row>
    <row r="15961" spans="6:14" x14ac:dyDescent="0.3">
      <c r="F15961" s="1"/>
    </row>
    <row r="15962" spans="6:14" x14ac:dyDescent="0.3">
      <c r="F15962" s="1"/>
    </row>
    <row r="15963" spans="6:14" x14ac:dyDescent="0.3">
      <c r="F15963" s="1"/>
    </row>
    <row r="15964" spans="6:14" x14ac:dyDescent="0.3">
      <c r="F15964" s="1"/>
    </row>
    <row r="15965" spans="6:14" x14ac:dyDescent="0.3">
      <c r="F15965" s="1"/>
      <c r="L15965" s="1"/>
      <c r="M15965" s="1"/>
    </row>
    <row r="15966" spans="6:14" x14ac:dyDescent="0.3">
      <c r="M15966" s="1"/>
      <c r="N15966" s="1"/>
    </row>
    <row r="15967" spans="6:14" x14ac:dyDescent="0.3">
      <c r="F15967" s="1"/>
    </row>
    <row r="15969" spans="6:12" x14ac:dyDescent="0.3">
      <c r="F15969" s="1"/>
    </row>
    <row r="15970" spans="6:12" x14ac:dyDescent="0.3">
      <c r="F15970" s="1"/>
      <c r="L15970" s="1"/>
    </row>
    <row r="15971" spans="6:12" x14ac:dyDescent="0.3">
      <c r="F15971" s="1"/>
    </row>
    <row r="15973" spans="6:12" x14ac:dyDescent="0.3">
      <c r="F15973" s="1"/>
    </row>
    <row r="15974" spans="6:12" x14ac:dyDescent="0.3">
      <c r="F15974" s="1"/>
    </row>
    <row r="15975" spans="6:12" x14ac:dyDescent="0.3">
      <c r="F15975" s="1"/>
    </row>
    <row r="15976" spans="6:12" x14ac:dyDescent="0.3">
      <c r="F15976" s="1"/>
    </row>
    <row r="15977" spans="6:12" x14ac:dyDescent="0.3">
      <c r="F15977" s="1"/>
    </row>
    <row r="15978" spans="6:12" x14ac:dyDescent="0.3">
      <c r="F15978" s="1"/>
    </row>
    <row r="15979" spans="6:12" x14ac:dyDescent="0.3">
      <c r="F15979" s="1"/>
    </row>
    <row r="15980" spans="6:12" x14ac:dyDescent="0.3">
      <c r="F15980" s="1"/>
    </row>
    <row r="15981" spans="6:12" x14ac:dyDescent="0.3">
      <c r="F15981" s="1"/>
    </row>
    <row r="15982" spans="6:12" x14ac:dyDescent="0.3">
      <c r="F15982" s="1"/>
    </row>
    <row r="15983" spans="6:12" x14ac:dyDescent="0.3">
      <c r="F15983" s="1"/>
    </row>
    <row r="15984" spans="6:12" x14ac:dyDescent="0.3">
      <c r="F15984" s="1"/>
    </row>
    <row r="15985" spans="6:15" x14ac:dyDescent="0.3">
      <c r="F15985" s="1"/>
    </row>
    <row r="15986" spans="6:15" x14ac:dyDescent="0.3">
      <c r="F15986" s="1"/>
      <c r="M15986" s="1"/>
    </row>
    <row r="15987" spans="6:15" x14ac:dyDescent="0.3">
      <c r="F15987" s="1"/>
    </row>
    <row r="15988" spans="6:15" x14ac:dyDescent="0.3">
      <c r="F15988" s="1"/>
    </row>
    <row r="15989" spans="6:15" x14ac:dyDescent="0.3">
      <c r="F15989" s="1"/>
    </row>
    <row r="15990" spans="6:15" x14ac:dyDescent="0.3">
      <c r="F15990" s="1"/>
    </row>
    <row r="15991" spans="6:15" x14ac:dyDescent="0.3">
      <c r="F15991" s="1"/>
    </row>
    <row r="15992" spans="6:15" x14ac:dyDescent="0.3">
      <c r="F15992" s="1"/>
    </row>
    <row r="15993" spans="6:15" x14ac:dyDescent="0.3">
      <c r="F15993" s="1"/>
    </row>
    <row r="15994" spans="6:15" x14ac:dyDescent="0.3">
      <c r="F15994" s="1"/>
    </row>
    <row r="15995" spans="6:15" x14ac:dyDescent="0.3">
      <c r="F15995" s="1"/>
    </row>
    <row r="15996" spans="6:15" x14ac:dyDescent="0.3">
      <c r="F15996" s="1"/>
    </row>
    <row r="15997" spans="6:15" x14ac:dyDescent="0.3">
      <c r="F15997" s="1"/>
    </row>
    <row r="15998" spans="6:15" x14ac:dyDescent="0.3">
      <c r="F15998" s="1"/>
    </row>
    <row r="15999" spans="6:15" x14ac:dyDescent="0.3">
      <c r="F15999" s="1"/>
    </row>
    <row r="16000" spans="6:15" x14ac:dyDescent="0.3">
      <c r="F16000" s="1"/>
      <c r="L16000" s="1"/>
      <c r="N16000" s="1"/>
      <c r="O16000" s="1"/>
    </row>
    <row r="16001" spans="6:15" x14ac:dyDescent="0.3">
      <c r="L16001" s="1"/>
      <c r="M16001" s="1"/>
      <c r="N16001" s="1"/>
      <c r="O16001" s="1"/>
    </row>
    <row r="16002" spans="6:15" x14ac:dyDescent="0.3">
      <c r="F16002" s="1"/>
      <c r="M16002" s="1"/>
    </row>
    <row r="16003" spans="6:15" x14ac:dyDescent="0.3">
      <c r="L16003" s="1"/>
      <c r="N16003" s="1"/>
      <c r="O16003" s="1"/>
    </row>
    <row r="16004" spans="6:15" x14ac:dyDescent="0.3">
      <c r="F16004" s="1"/>
    </row>
    <row r="16005" spans="6:15" x14ac:dyDescent="0.3">
      <c r="F16005" s="1"/>
    </row>
    <row r="16007" spans="6:15" x14ac:dyDescent="0.3">
      <c r="F16007" s="1"/>
    </row>
    <row r="16008" spans="6:15" x14ac:dyDescent="0.3">
      <c r="F16008" s="1"/>
      <c r="M16008" s="1"/>
    </row>
    <row r="16010" spans="6:15" x14ac:dyDescent="0.3">
      <c r="F16010" s="1"/>
    </row>
    <row r="16011" spans="6:15" x14ac:dyDescent="0.3">
      <c r="F16011" s="1"/>
    </row>
    <row r="16012" spans="6:15" x14ac:dyDescent="0.3">
      <c r="F16012" s="1"/>
    </row>
    <row r="16013" spans="6:15" x14ac:dyDescent="0.3">
      <c r="F16013" s="1"/>
    </row>
    <row r="16014" spans="6:15" x14ac:dyDescent="0.3">
      <c r="F16014" s="1"/>
    </row>
    <row r="16015" spans="6:15" x14ac:dyDescent="0.3">
      <c r="F16015" s="1"/>
      <c r="M16015" s="1"/>
    </row>
    <row r="16016" spans="6:15" x14ac:dyDescent="0.3">
      <c r="F16016" s="1"/>
      <c r="M16016" s="1"/>
    </row>
    <row r="16017" spans="6:14" x14ac:dyDescent="0.3">
      <c r="F16017" s="1"/>
    </row>
    <row r="16018" spans="6:14" x14ac:dyDescent="0.3">
      <c r="F16018" s="1"/>
    </row>
    <row r="16019" spans="6:14" x14ac:dyDescent="0.3">
      <c r="F16019" s="1"/>
    </row>
    <row r="16020" spans="6:14" x14ac:dyDescent="0.3">
      <c r="F16020" s="1"/>
    </row>
    <row r="16021" spans="6:14" x14ac:dyDescent="0.3">
      <c r="F16021" s="1"/>
    </row>
    <row r="16022" spans="6:14" x14ac:dyDescent="0.3">
      <c r="F16022" s="1"/>
    </row>
    <row r="16023" spans="6:14" x14ac:dyDescent="0.3">
      <c r="F16023" s="1"/>
    </row>
    <row r="16025" spans="6:14" x14ac:dyDescent="0.3">
      <c r="F16025" s="1"/>
    </row>
    <row r="16026" spans="6:14" x14ac:dyDescent="0.3">
      <c r="F16026" s="1"/>
    </row>
    <row r="16027" spans="6:14" x14ac:dyDescent="0.3">
      <c r="F16027" s="1"/>
    </row>
    <row r="16028" spans="6:14" x14ac:dyDescent="0.3">
      <c r="F16028" s="1"/>
      <c r="L16028" s="1"/>
    </row>
    <row r="16029" spans="6:14" x14ac:dyDescent="0.3">
      <c r="F16029" s="1"/>
      <c r="M16029" s="1"/>
      <c r="N16029" s="1"/>
    </row>
    <row r="16030" spans="6:14" x14ac:dyDescent="0.3">
      <c r="F16030" s="1"/>
    </row>
    <row r="16031" spans="6:14" x14ac:dyDescent="0.3">
      <c r="F16031" s="1"/>
    </row>
    <row r="16032" spans="6:14" x14ac:dyDescent="0.3">
      <c r="F16032" s="1"/>
    </row>
    <row r="16034" spans="6:15" x14ac:dyDescent="0.3">
      <c r="F16034" s="1"/>
    </row>
    <row r="16035" spans="6:15" x14ac:dyDescent="0.3">
      <c r="F16035" s="1"/>
    </row>
    <row r="16036" spans="6:15" x14ac:dyDescent="0.3">
      <c r="F16036" s="1"/>
    </row>
    <row r="16037" spans="6:15" x14ac:dyDescent="0.3">
      <c r="F16037" s="1"/>
    </row>
    <row r="16039" spans="6:15" x14ac:dyDescent="0.3">
      <c r="O16039" s="1"/>
    </row>
    <row r="16040" spans="6:15" x14ac:dyDescent="0.3">
      <c r="F16040" s="1"/>
    </row>
    <row r="16041" spans="6:15" x14ac:dyDescent="0.3">
      <c r="F16041" s="1"/>
    </row>
    <row r="16042" spans="6:15" x14ac:dyDescent="0.3">
      <c r="F16042" s="1"/>
    </row>
    <row r="16043" spans="6:15" x14ac:dyDescent="0.3">
      <c r="F16043" s="1"/>
    </row>
    <row r="16044" spans="6:15" x14ac:dyDescent="0.3">
      <c r="F16044" s="1"/>
    </row>
    <row r="16045" spans="6:15" x14ac:dyDescent="0.3">
      <c r="F16045" s="1"/>
    </row>
    <row r="16046" spans="6:15" x14ac:dyDescent="0.3">
      <c r="F16046" s="1"/>
    </row>
    <row r="16047" spans="6:15" x14ac:dyDescent="0.3">
      <c r="F16047" s="1"/>
    </row>
    <row r="16048" spans="6:15" x14ac:dyDescent="0.3">
      <c r="F16048" s="1"/>
    </row>
    <row r="16049" spans="6:15" x14ac:dyDescent="0.3">
      <c r="F16049" s="1"/>
    </row>
    <row r="16050" spans="6:15" x14ac:dyDescent="0.3">
      <c r="F16050" s="1"/>
    </row>
    <row r="16053" spans="6:15" x14ac:dyDescent="0.3">
      <c r="F16053" s="1"/>
    </row>
    <row r="16055" spans="6:15" x14ac:dyDescent="0.3">
      <c r="F16055" s="1"/>
    </row>
    <row r="16057" spans="6:15" x14ac:dyDescent="0.3">
      <c r="F16057" s="1"/>
    </row>
    <row r="16058" spans="6:15" x14ac:dyDescent="0.3">
      <c r="F16058" s="1"/>
      <c r="L16058" s="1"/>
      <c r="N16058" s="1"/>
      <c r="O16058" s="1"/>
    </row>
    <row r="16059" spans="6:15" x14ac:dyDescent="0.3">
      <c r="F16059" s="1"/>
    </row>
    <row r="16060" spans="6:15" x14ac:dyDescent="0.3">
      <c r="F16060" s="1"/>
    </row>
    <row r="16061" spans="6:15" x14ac:dyDescent="0.3">
      <c r="L16061" s="1"/>
      <c r="M16061" s="1"/>
    </row>
    <row r="16062" spans="6:15" x14ac:dyDescent="0.3">
      <c r="F16062" s="1"/>
    </row>
    <row r="16063" spans="6:15" x14ac:dyDescent="0.3">
      <c r="F16063" s="1"/>
    </row>
    <row r="16064" spans="6:15" x14ac:dyDescent="0.3">
      <c r="F16064" s="1"/>
    </row>
    <row r="16065" spans="6:13" x14ac:dyDescent="0.3">
      <c r="F16065" s="1"/>
    </row>
    <row r="16066" spans="6:13" x14ac:dyDescent="0.3">
      <c r="F16066" s="1"/>
    </row>
    <row r="16067" spans="6:13" x14ac:dyDescent="0.3">
      <c r="F16067" s="1"/>
    </row>
    <row r="16068" spans="6:13" x14ac:dyDescent="0.3">
      <c r="F16068" s="1"/>
    </row>
    <row r="16070" spans="6:13" x14ac:dyDescent="0.3">
      <c r="L16070" s="1"/>
      <c r="M16070" s="1"/>
    </row>
    <row r="16072" spans="6:13" x14ac:dyDescent="0.3">
      <c r="F16072" s="1"/>
    </row>
    <row r="16073" spans="6:13" x14ac:dyDescent="0.3">
      <c r="F16073" s="1"/>
    </row>
    <row r="16074" spans="6:13" x14ac:dyDescent="0.3">
      <c r="F16074" s="1"/>
    </row>
    <row r="16075" spans="6:13" x14ac:dyDescent="0.3">
      <c r="F16075" s="1"/>
    </row>
    <row r="16076" spans="6:13" x14ac:dyDescent="0.3">
      <c r="F16076" s="1"/>
    </row>
    <row r="16077" spans="6:13" x14ac:dyDescent="0.3">
      <c r="F16077" s="1"/>
    </row>
    <row r="16078" spans="6:13" x14ac:dyDescent="0.3">
      <c r="F16078" s="1"/>
    </row>
    <row r="16080" spans="6:13" x14ac:dyDescent="0.3">
      <c r="F16080" s="1"/>
    </row>
    <row r="16081" spans="6:14" x14ac:dyDescent="0.3">
      <c r="F16081" s="1"/>
    </row>
    <row r="16082" spans="6:14" x14ac:dyDescent="0.3">
      <c r="F16082" s="1"/>
    </row>
    <row r="16083" spans="6:14" x14ac:dyDescent="0.3">
      <c r="F16083" s="1"/>
      <c r="L16083" s="1"/>
      <c r="N16083" s="1"/>
    </row>
    <row r="16084" spans="6:14" x14ac:dyDescent="0.3">
      <c r="F16084" s="1"/>
    </row>
    <row r="16085" spans="6:14" x14ac:dyDescent="0.3">
      <c r="F16085" s="1"/>
    </row>
    <row r="16087" spans="6:14" x14ac:dyDescent="0.3">
      <c r="F16087" s="1"/>
    </row>
    <row r="16088" spans="6:14" x14ac:dyDescent="0.3">
      <c r="F16088" s="1"/>
    </row>
    <row r="16089" spans="6:14" x14ac:dyDescent="0.3">
      <c r="F16089" s="1"/>
    </row>
    <row r="16090" spans="6:14" x14ac:dyDescent="0.3">
      <c r="F16090" s="1"/>
    </row>
    <row r="16091" spans="6:14" x14ac:dyDescent="0.3">
      <c r="F16091" s="1"/>
      <c r="L16091" s="1"/>
    </row>
    <row r="16094" spans="6:14" x14ac:dyDescent="0.3">
      <c r="F16094" s="1"/>
    </row>
    <row r="16095" spans="6:14" x14ac:dyDescent="0.3">
      <c r="F16095" s="1"/>
    </row>
    <row r="16096" spans="6:14" x14ac:dyDescent="0.3">
      <c r="F16096" s="1"/>
    </row>
    <row r="16098" spans="6:6" x14ac:dyDescent="0.3">
      <c r="F16098" s="1"/>
    </row>
    <row r="16099" spans="6:6" x14ac:dyDescent="0.3">
      <c r="F16099" s="1"/>
    </row>
    <row r="16100" spans="6:6" x14ac:dyDescent="0.3">
      <c r="F16100" s="1"/>
    </row>
    <row r="16101" spans="6:6" x14ac:dyDescent="0.3">
      <c r="F16101" s="1"/>
    </row>
    <row r="16102" spans="6:6" x14ac:dyDescent="0.3">
      <c r="F16102" s="1"/>
    </row>
    <row r="16103" spans="6:6" x14ac:dyDescent="0.3">
      <c r="F16103" s="1"/>
    </row>
    <row r="16105" spans="6:6" x14ac:dyDescent="0.3">
      <c r="F16105" s="1"/>
    </row>
    <row r="16106" spans="6:6" x14ac:dyDescent="0.3">
      <c r="F16106" s="1"/>
    </row>
    <row r="16107" spans="6:6" x14ac:dyDescent="0.3">
      <c r="F16107" s="1"/>
    </row>
    <row r="16109" spans="6:6" x14ac:dyDescent="0.3">
      <c r="F16109" s="1"/>
    </row>
    <row r="16110" spans="6:6" x14ac:dyDescent="0.3">
      <c r="F16110" s="1"/>
    </row>
    <row r="16111" spans="6:6" x14ac:dyDescent="0.3">
      <c r="F16111" s="1"/>
    </row>
    <row r="16112" spans="6:6" x14ac:dyDescent="0.3">
      <c r="F16112" s="1"/>
    </row>
    <row r="16113" spans="6:15" x14ac:dyDescent="0.3">
      <c r="F16113" s="1"/>
    </row>
    <row r="16114" spans="6:15" x14ac:dyDescent="0.3">
      <c r="F16114" s="1"/>
      <c r="L16114" s="1"/>
      <c r="O16114" s="1"/>
    </row>
    <row r="16115" spans="6:15" x14ac:dyDescent="0.3">
      <c r="F16115" s="1"/>
    </row>
    <row r="16116" spans="6:15" x14ac:dyDescent="0.3">
      <c r="F16116" s="1"/>
    </row>
    <row r="16117" spans="6:15" x14ac:dyDescent="0.3">
      <c r="F16117" s="1"/>
    </row>
    <row r="16118" spans="6:15" x14ac:dyDescent="0.3">
      <c r="F16118" s="1"/>
    </row>
    <row r="16119" spans="6:15" x14ac:dyDescent="0.3">
      <c r="F16119" s="1"/>
    </row>
    <row r="16120" spans="6:15" x14ac:dyDescent="0.3">
      <c r="F16120" s="1"/>
    </row>
    <row r="16121" spans="6:15" x14ac:dyDescent="0.3">
      <c r="F16121" s="1"/>
    </row>
    <row r="16122" spans="6:15" x14ac:dyDescent="0.3">
      <c r="F16122" s="1"/>
    </row>
    <row r="16123" spans="6:15" x14ac:dyDescent="0.3">
      <c r="F16123" s="1"/>
    </row>
    <row r="16124" spans="6:15" x14ac:dyDescent="0.3">
      <c r="F16124" s="1"/>
      <c r="L16124" s="1"/>
      <c r="M16124" s="1"/>
    </row>
    <row r="16125" spans="6:15" x14ac:dyDescent="0.3">
      <c r="F16125" s="1"/>
    </row>
    <row r="16126" spans="6:15" x14ac:dyDescent="0.3">
      <c r="F16126" s="1"/>
    </row>
    <row r="16127" spans="6:15" x14ac:dyDescent="0.3">
      <c r="F16127" s="1"/>
    </row>
    <row r="16128" spans="6:15" x14ac:dyDescent="0.3">
      <c r="F16128" s="1"/>
    </row>
    <row r="16129" spans="6:14" x14ac:dyDescent="0.3">
      <c r="F16129" s="1"/>
    </row>
    <row r="16130" spans="6:14" x14ac:dyDescent="0.3">
      <c r="F16130" s="1"/>
    </row>
    <row r="16131" spans="6:14" x14ac:dyDescent="0.3">
      <c r="F16131" s="1"/>
    </row>
    <row r="16132" spans="6:14" x14ac:dyDescent="0.3">
      <c r="F16132" s="1"/>
    </row>
    <row r="16133" spans="6:14" x14ac:dyDescent="0.3">
      <c r="F16133" s="1"/>
    </row>
    <row r="16134" spans="6:14" x14ac:dyDescent="0.3">
      <c r="F16134" s="1"/>
    </row>
    <row r="16135" spans="6:14" x14ac:dyDescent="0.3">
      <c r="F16135" s="1"/>
    </row>
    <row r="16136" spans="6:14" x14ac:dyDescent="0.3">
      <c r="F16136" s="1"/>
      <c r="L16136" s="1"/>
    </row>
    <row r="16137" spans="6:14" x14ac:dyDescent="0.3">
      <c r="F16137" s="1"/>
    </row>
    <row r="16138" spans="6:14" x14ac:dyDescent="0.3">
      <c r="F16138" s="1"/>
    </row>
    <row r="16139" spans="6:14" x14ac:dyDescent="0.3">
      <c r="M16139" s="1"/>
      <c r="N16139" s="1"/>
    </row>
    <row r="16140" spans="6:14" x14ac:dyDescent="0.3">
      <c r="F16140" s="1"/>
    </row>
    <row r="16141" spans="6:14" x14ac:dyDescent="0.3">
      <c r="F16141" s="1"/>
    </row>
    <row r="16142" spans="6:14" x14ac:dyDescent="0.3">
      <c r="F16142" s="1"/>
    </row>
    <row r="16143" spans="6:14" x14ac:dyDescent="0.3">
      <c r="F16143" s="1"/>
    </row>
    <row r="16144" spans="6:14" x14ac:dyDescent="0.3">
      <c r="F16144" s="1"/>
    </row>
    <row r="16145" spans="6:14" x14ac:dyDescent="0.3">
      <c r="N16145" s="1"/>
    </row>
    <row r="16146" spans="6:14" x14ac:dyDescent="0.3">
      <c r="F16146" s="1"/>
    </row>
    <row r="16147" spans="6:14" x14ac:dyDescent="0.3">
      <c r="F16147" s="1"/>
    </row>
    <row r="16148" spans="6:14" x14ac:dyDescent="0.3">
      <c r="F16148" s="1"/>
    </row>
    <row r="16149" spans="6:14" x14ac:dyDescent="0.3">
      <c r="L16149" s="1"/>
      <c r="M16149" s="1"/>
      <c r="N16149" s="1"/>
    </row>
    <row r="16150" spans="6:14" x14ac:dyDescent="0.3">
      <c r="F16150" s="1"/>
    </row>
    <row r="16151" spans="6:14" x14ac:dyDescent="0.3">
      <c r="F16151" s="1"/>
    </row>
    <row r="16152" spans="6:14" x14ac:dyDescent="0.3">
      <c r="F16152" s="1"/>
    </row>
    <row r="16154" spans="6:14" x14ac:dyDescent="0.3">
      <c r="F16154" s="1"/>
    </row>
    <row r="16155" spans="6:14" x14ac:dyDescent="0.3">
      <c r="F16155" s="1"/>
    </row>
    <row r="16156" spans="6:14" x14ac:dyDescent="0.3">
      <c r="F16156" s="1"/>
    </row>
    <row r="16158" spans="6:14" x14ac:dyDescent="0.3">
      <c r="F16158" s="1"/>
    </row>
    <row r="16160" spans="6:14" x14ac:dyDescent="0.3">
      <c r="N16160" s="1"/>
    </row>
    <row r="16162" spans="6:13" x14ac:dyDescent="0.3">
      <c r="F16162" s="1"/>
    </row>
    <row r="16163" spans="6:13" x14ac:dyDescent="0.3">
      <c r="F16163" s="1"/>
    </row>
    <row r="16164" spans="6:13" x14ac:dyDescent="0.3">
      <c r="F16164" s="1"/>
    </row>
    <row r="16165" spans="6:13" x14ac:dyDescent="0.3">
      <c r="F16165" s="1"/>
    </row>
    <row r="16166" spans="6:13" x14ac:dyDescent="0.3">
      <c r="F16166" s="1"/>
      <c r="M16166" s="1"/>
    </row>
    <row r="16167" spans="6:13" x14ac:dyDescent="0.3">
      <c r="F16167" s="1"/>
    </row>
    <row r="16168" spans="6:13" x14ac:dyDescent="0.3">
      <c r="F16168" s="1"/>
    </row>
    <row r="16169" spans="6:13" x14ac:dyDescent="0.3">
      <c r="F16169" s="1"/>
    </row>
    <row r="16170" spans="6:13" x14ac:dyDescent="0.3">
      <c r="F16170" s="1"/>
    </row>
    <row r="16171" spans="6:13" x14ac:dyDescent="0.3">
      <c r="F16171" s="1"/>
    </row>
    <row r="16172" spans="6:13" x14ac:dyDescent="0.3">
      <c r="F16172" s="1"/>
    </row>
    <row r="16173" spans="6:13" x14ac:dyDescent="0.3">
      <c r="F16173" s="1"/>
    </row>
    <row r="16174" spans="6:13" x14ac:dyDescent="0.3">
      <c r="F16174" s="1"/>
    </row>
    <row r="16175" spans="6:13" x14ac:dyDescent="0.3">
      <c r="F16175" s="1"/>
    </row>
    <row r="16176" spans="6:13" x14ac:dyDescent="0.3">
      <c r="F16176" s="1"/>
    </row>
    <row r="16178" spans="6:15" x14ac:dyDescent="0.3">
      <c r="F16178" s="1"/>
    </row>
    <row r="16179" spans="6:15" x14ac:dyDescent="0.3">
      <c r="F16179" s="1"/>
    </row>
    <row r="16180" spans="6:15" x14ac:dyDescent="0.3">
      <c r="F16180" s="1"/>
    </row>
    <row r="16181" spans="6:15" x14ac:dyDescent="0.3">
      <c r="F16181" s="1"/>
    </row>
    <row r="16182" spans="6:15" x14ac:dyDescent="0.3">
      <c r="F16182" s="1"/>
    </row>
    <row r="16183" spans="6:15" x14ac:dyDescent="0.3">
      <c r="F16183" s="1"/>
    </row>
    <row r="16185" spans="6:15" x14ac:dyDescent="0.3">
      <c r="F16185" s="1"/>
    </row>
    <row r="16186" spans="6:15" x14ac:dyDescent="0.3">
      <c r="F16186" s="1"/>
      <c r="L16186" s="1"/>
      <c r="M16186" s="1"/>
      <c r="O16186" s="1"/>
    </row>
    <row r="16187" spans="6:15" x14ac:dyDescent="0.3">
      <c r="F16187" s="1"/>
    </row>
    <row r="16188" spans="6:15" x14ac:dyDescent="0.3">
      <c r="F16188" s="1"/>
    </row>
    <row r="16189" spans="6:15" x14ac:dyDescent="0.3">
      <c r="F16189" s="1"/>
    </row>
    <row r="16193" spans="6:13" x14ac:dyDescent="0.3">
      <c r="F16193" s="1"/>
    </row>
    <row r="16194" spans="6:13" x14ac:dyDescent="0.3">
      <c r="F16194" s="1"/>
    </row>
    <row r="16195" spans="6:13" x14ac:dyDescent="0.3">
      <c r="F16195" s="1"/>
    </row>
    <row r="16196" spans="6:13" x14ac:dyDescent="0.3">
      <c r="F16196" s="1"/>
    </row>
    <row r="16197" spans="6:13" x14ac:dyDescent="0.3">
      <c r="F16197" s="1"/>
    </row>
    <row r="16198" spans="6:13" x14ac:dyDescent="0.3">
      <c r="F16198" s="1"/>
      <c r="M16198" s="1"/>
    </row>
    <row r="16199" spans="6:13" x14ac:dyDescent="0.3">
      <c r="F16199" s="1"/>
    </row>
    <row r="16200" spans="6:13" x14ac:dyDescent="0.3">
      <c r="F16200" s="1"/>
    </row>
    <row r="16201" spans="6:13" x14ac:dyDescent="0.3">
      <c r="F16201" s="1"/>
    </row>
    <row r="16202" spans="6:13" x14ac:dyDescent="0.3">
      <c r="F16202" s="1"/>
    </row>
    <row r="16203" spans="6:13" x14ac:dyDescent="0.3">
      <c r="F16203" s="1"/>
    </row>
    <row r="16204" spans="6:13" x14ac:dyDescent="0.3">
      <c r="F16204" s="1"/>
      <c r="L16204" s="1"/>
      <c r="M16204" s="1"/>
    </row>
    <row r="16205" spans="6:13" x14ac:dyDescent="0.3">
      <c r="F16205" s="1"/>
    </row>
    <row r="16207" spans="6:13" x14ac:dyDescent="0.3">
      <c r="F16207" s="1"/>
    </row>
    <row r="16208" spans="6:13" x14ac:dyDescent="0.3">
      <c r="F16208" s="1"/>
    </row>
    <row r="16209" spans="6:6" x14ac:dyDescent="0.3">
      <c r="F16209" s="1"/>
    </row>
    <row r="16212" spans="6:6" x14ac:dyDescent="0.3">
      <c r="F16212" s="1"/>
    </row>
    <row r="16213" spans="6:6" x14ac:dyDescent="0.3">
      <c r="F16213" s="1"/>
    </row>
    <row r="16214" spans="6:6" x14ac:dyDescent="0.3">
      <c r="F16214" s="1"/>
    </row>
    <row r="16215" spans="6:6" x14ac:dyDescent="0.3">
      <c r="F16215" s="1"/>
    </row>
    <row r="16216" spans="6:6" x14ac:dyDescent="0.3">
      <c r="F16216" s="1"/>
    </row>
    <row r="16217" spans="6:6" x14ac:dyDescent="0.3">
      <c r="F16217" s="1"/>
    </row>
    <row r="16219" spans="6:6" x14ac:dyDescent="0.3">
      <c r="F16219" s="1"/>
    </row>
    <row r="16220" spans="6:6" x14ac:dyDescent="0.3">
      <c r="F16220" s="1"/>
    </row>
    <row r="16221" spans="6:6" x14ac:dyDescent="0.3">
      <c r="F16221" s="1"/>
    </row>
    <row r="16222" spans="6:6" x14ac:dyDescent="0.3">
      <c r="F16222" s="1"/>
    </row>
    <row r="16223" spans="6:6" x14ac:dyDescent="0.3">
      <c r="F16223" s="1"/>
    </row>
    <row r="16224" spans="6:6" x14ac:dyDescent="0.3">
      <c r="F16224" s="1"/>
    </row>
    <row r="16225" spans="6:15" x14ac:dyDescent="0.3">
      <c r="F16225" s="1"/>
    </row>
    <row r="16226" spans="6:15" x14ac:dyDescent="0.3">
      <c r="F16226" s="1"/>
    </row>
    <row r="16227" spans="6:15" x14ac:dyDescent="0.3">
      <c r="F16227" s="1"/>
    </row>
    <row r="16228" spans="6:15" x14ac:dyDescent="0.3">
      <c r="F16228" s="1"/>
    </row>
    <row r="16229" spans="6:15" x14ac:dyDescent="0.3">
      <c r="F16229" s="1"/>
    </row>
    <row r="16230" spans="6:15" x14ac:dyDescent="0.3">
      <c r="F16230" s="1"/>
    </row>
    <row r="16231" spans="6:15" x14ac:dyDescent="0.3">
      <c r="F16231" s="1"/>
    </row>
    <row r="16232" spans="6:15" x14ac:dyDescent="0.3">
      <c r="F16232" s="1"/>
    </row>
    <row r="16233" spans="6:15" x14ac:dyDescent="0.3">
      <c r="F16233" s="1"/>
    </row>
    <row r="16234" spans="6:15" x14ac:dyDescent="0.3">
      <c r="F16234" s="1"/>
    </row>
    <row r="16235" spans="6:15" x14ac:dyDescent="0.3">
      <c r="F16235" s="1"/>
    </row>
    <row r="16236" spans="6:15" x14ac:dyDescent="0.3">
      <c r="F16236" s="1"/>
    </row>
    <row r="16237" spans="6:15" x14ac:dyDescent="0.3">
      <c r="F16237" s="1"/>
    </row>
    <row r="16238" spans="6:15" x14ac:dyDescent="0.3">
      <c r="L16238" s="1"/>
      <c r="O16238" s="1"/>
    </row>
    <row r="16239" spans="6:15" x14ac:dyDescent="0.3">
      <c r="F16239" s="1"/>
    </row>
    <row r="16240" spans="6:15" x14ac:dyDescent="0.3">
      <c r="F16240" s="1"/>
    </row>
    <row r="16241" spans="6:12" x14ac:dyDescent="0.3">
      <c r="F16241" s="1"/>
    </row>
    <row r="16242" spans="6:12" x14ac:dyDescent="0.3">
      <c r="F16242" s="1"/>
    </row>
    <row r="16243" spans="6:12" x14ac:dyDescent="0.3">
      <c r="L16243" s="1"/>
    </row>
    <row r="16244" spans="6:12" x14ac:dyDescent="0.3">
      <c r="F16244" s="1"/>
    </row>
    <row r="16247" spans="6:12" x14ac:dyDescent="0.3">
      <c r="F16247" s="1"/>
    </row>
    <row r="16248" spans="6:12" x14ac:dyDescent="0.3">
      <c r="F16248" s="1"/>
    </row>
    <row r="16249" spans="6:12" x14ac:dyDescent="0.3">
      <c r="F16249" s="1"/>
    </row>
    <row r="16250" spans="6:12" x14ac:dyDescent="0.3">
      <c r="F16250" s="1"/>
    </row>
    <row r="16252" spans="6:12" x14ac:dyDescent="0.3">
      <c r="F16252" s="1"/>
    </row>
    <row r="16253" spans="6:12" x14ac:dyDescent="0.3">
      <c r="F16253" s="1"/>
    </row>
    <row r="16254" spans="6:12" x14ac:dyDescent="0.3">
      <c r="F16254" s="1"/>
    </row>
    <row r="16255" spans="6:12" x14ac:dyDescent="0.3">
      <c r="F16255" s="1"/>
    </row>
    <row r="16256" spans="6:12" x14ac:dyDescent="0.3">
      <c r="F16256" s="1"/>
    </row>
    <row r="16258" spans="6:6" x14ac:dyDescent="0.3">
      <c r="F16258" s="1"/>
    </row>
    <row r="16259" spans="6:6" x14ac:dyDescent="0.3">
      <c r="F16259" s="1"/>
    </row>
    <row r="16260" spans="6:6" x14ac:dyDescent="0.3">
      <c r="F16260" s="1"/>
    </row>
    <row r="16262" spans="6:6" x14ac:dyDescent="0.3">
      <c r="F16262" s="1"/>
    </row>
    <row r="16264" spans="6:6" x14ac:dyDescent="0.3">
      <c r="F16264" s="1"/>
    </row>
    <row r="16265" spans="6:6" x14ac:dyDescent="0.3">
      <c r="F16265" s="1"/>
    </row>
    <row r="16266" spans="6:6" x14ac:dyDescent="0.3">
      <c r="F16266" s="1"/>
    </row>
    <row r="16267" spans="6:6" x14ac:dyDescent="0.3">
      <c r="F16267" s="1"/>
    </row>
    <row r="16268" spans="6:6" x14ac:dyDescent="0.3">
      <c r="F16268" s="1"/>
    </row>
    <row r="16269" spans="6:6" x14ac:dyDescent="0.3">
      <c r="F16269" s="1"/>
    </row>
    <row r="16270" spans="6:6" x14ac:dyDescent="0.3">
      <c r="F16270" s="1"/>
    </row>
    <row r="16271" spans="6:6" x14ac:dyDescent="0.3">
      <c r="F16271" s="1"/>
    </row>
    <row r="16272" spans="6:6" x14ac:dyDescent="0.3">
      <c r="F16272" s="1"/>
    </row>
    <row r="16273" spans="6:13" x14ac:dyDescent="0.3">
      <c r="F16273" s="1"/>
    </row>
    <row r="16274" spans="6:13" x14ac:dyDescent="0.3">
      <c r="F16274" s="1"/>
      <c r="M16274" s="1"/>
    </row>
    <row r="16275" spans="6:13" x14ac:dyDescent="0.3">
      <c r="F16275" s="1"/>
    </row>
    <row r="16276" spans="6:13" x14ac:dyDescent="0.3">
      <c r="M16276" s="1"/>
    </row>
    <row r="16277" spans="6:13" x14ac:dyDescent="0.3">
      <c r="F16277" s="1"/>
    </row>
    <row r="16278" spans="6:13" x14ac:dyDescent="0.3">
      <c r="F16278" s="1"/>
    </row>
    <row r="16279" spans="6:13" x14ac:dyDescent="0.3">
      <c r="F16279" s="1"/>
    </row>
    <row r="16280" spans="6:13" x14ac:dyDescent="0.3">
      <c r="F16280" s="1"/>
    </row>
    <row r="16281" spans="6:13" x14ac:dyDescent="0.3">
      <c r="F16281" s="1"/>
    </row>
    <row r="16283" spans="6:13" x14ac:dyDescent="0.3">
      <c r="F16283" s="1"/>
    </row>
    <row r="16285" spans="6:13" x14ac:dyDescent="0.3">
      <c r="F16285" s="1"/>
    </row>
    <row r="16286" spans="6:13" x14ac:dyDescent="0.3">
      <c r="F16286" s="1"/>
    </row>
    <row r="16287" spans="6:13" x14ac:dyDescent="0.3">
      <c r="F16287" s="1"/>
    </row>
    <row r="16288" spans="6:13" x14ac:dyDescent="0.3">
      <c r="F16288" s="1"/>
    </row>
    <row r="16289" spans="6:15" x14ac:dyDescent="0.3">
      <c r="F16289" s="1"/>
    </row>
    <row r="16290" spans="6:15" x14ac:dyDescent="0.3">
      <c r="F16290" s="1"/>
    </row>
    <row r="16291" spans="6:15" x14ac:dyDescent="0.3">
      <c r="F16291" s="1"/>
    </row>
    <row r="16292" spans="6:15" x14ac:dyDescent="0.3">
      <c r="F16292" s="1"/>
    </row>
    <row r="16293" spans="6:15" x14ac:dyDescent="0.3">
      <c r="F16293" s="1"/>
    </row>
    <row r="16295" spans="6:15" x14ac:dyDescent="0.3">
      <c r="F16295" s="1"/>
    </row>
    <row r="16296" spans="6:15" x14ac:dyDescent="0.3">
      <c r="F16296" s="1"/>
    </row>
    <row r="16297" spans="6:15" x14ac:dyDescent="0.3">
      <c r="M16297" s="1"/>
    </row>
    <row r="16300" spans="6:15" x14ac:dyDescent="0.3">
      <c r="F16300" s="1"/>
    </row>
    <row r="16301" spans="6:15" x14ac:dyDescent="0.3">
      <c r="L16301" s="1"/>
      <c r="M16301" s="1"/>
      <c r="N16301" s="1"/>
      <c r="O16301" s="1"/>
    </row>
    <row r="16302" spans="6:15" x14ac:dyDescent="0.3">
      <c r="F16302" s="1"/>
    </row>
    <row r="16303" spans="6:15" x14ac:dyDescent="0.3">
      <c r="F16303" s="1"/>
    </row>
    <row r="16304" spans="6:15" x14ac:dyDescent="0.3">
      <c r="F16304" s="1"/>
    </row>
    <row r="16305" spans="6:6" x14ac:dyDescent="0.3">
      <c r="F16305" s="1"/>
    </row>
    <row r="16306" spans="6:6" x14ac:dyDescent="0.3">
      <c r="F16306" s="1"/>
    </row>
    <row r="16307" spans="6:6" x14ac:dyDescent="0.3">
      <c r="F16307" s="1"/>
    </row>
    <row r="16308" spans="6:6" x14ac:dyDescent="0.3">
      <c r="F16308" s="1"/>
    </row>
    <row r="16309" spans="6:6" x14ac:dyDescent="0.3">
      <c r="F16309" s="1"/>
    </row>
    <row r="16310" spans="6:6" x14ac:dyDescent="0.3">
      <c r="F16310" s="1"/>
    </row>
    <row r="16311" spans="6:6" x14ac:dyDescent="0.3">
      <c r="F16311" s="1"/>
    </row>
    <row r="16313" spans="6:6" x14ac:dyDescent="0.3">
      <c r="F16313" s="1"/>
    </row>
    <row r="16314" spans="6:6" x14ac:dyDescent="0.3">
      <c r="F16314" s="1"/>
    </row>
    <row r="16316" spans="6:6" x14ac:dyDescent="0.3">
      <c r="F16316" s="1"/>
    </row>
    <row r="16317" spans="6:6" x14ac:dyDescent="0.3">
      <c r="F16317" s="1"/>
    </row>
    <row r="16319" spans="6:6" x14ac:dyDescent="0.3">
      <c r="F16319" s="1"/>
    </row>
    <row r="16320" spans="6:6" x14ac:dyDescent="0.3">
      <c r="F16320" s="1"/>
    </row>
    <row r="16321" spans="6:12" x14ac:dyDescent="0.3">
      <c r="F16321" s="1"/>
    </row>
    <row r="16322" spans="6:12" x14ac:dyDescent="0.3">
      <c r="F16322" s="1"/>
      <c r="L16322" s="1"/>
    </row>
    <row r="16323" spans="6:12" x14ac:dyDescent="0.3">
      <c r="F16323" s="1"/>
    </row>
    <row r="16324" spans="6:12" x14ac:dyDescent="0.3">
      <c r="F16324" s="1"/>
    </row>
    <row r="16325" spans="6:12" x14ac:dyDescent="0.3">
      <c r="F16325" s="1"/>
    </row>
    <row r="16326" spans="6:12" x14ac:dyDescent="0.3">
      <c r="F16326" s="1"/>
    </row>
    <row r="16327" spans="6:12" x14ac:dyDescent="0.3">
      <c r="F16327" s="1"/>
    </row>
    <row r="16328" spans="6:12" x14ac:dyDescent="0.3">
      <c r="F16328" s="1"/>
    </row>
    <row r="16329" spans="6:12" x14ac:dyDescent="0.3">
      <c r="F16329" s="1"/>
    </row>
    <row r="16330" spans="6:12" x14ac:dyDescent="0.3">
      <c r="F16330" s="1"/>
    </row>
    <row r="16331" spans="6:12" x14ac:dyDescent="0.3">
      <c r="F16331" s="1"/>
    </row>
    <row r="16332" spans="6:12" x14ac:dyDescent="0.3">
      <c r="F16332" s="1"/>
    </row>
    <row r="16335" spans="6:12" x14ac:dyDescent="0.3">
      <c r="F16335" s="1"/>
    </row>
    <row r="16336" spans="6:12" x14ac:dyDescent="0.3">
      <c r="F16336" s="1"/>
    </row>
    <row r="16337" spans="6:15" x14ac:dyDescent="0.3">
      <c r="F16337" s="1"/>
      <c r="M16337" s="1"/>
      <c r="N16337" s="1"/>
      <c r="O16337" s="1"/>
    </row>
    <row r="16338" spans="6:15" x14ac:dyDescent="0.3">
      <c r="F16338" s="1"/>
      <c r="N16338" s="1"/>
    </row>
    <row r="16340" spans="6:15" x14ac:dyDescent="0.3">
      <c r="F16340" s="1"/>
    </row>
    <row r="16341" spans="6:15" x14ac:dyDescent="0.3">
      <c r="F16341" s="1"/>
    </row>
    <row r="16342" spans="6:15" x14ac:dyDescent="0.3">
      <c r="F16342" s="1"/>
    </row>
    <row r="16343" spans="6:15" x14ac:dyDescent="0.3">
      <c r="F16343" s="1"/>
    </row>
    <row r="16344" spans="6:15" x14ac:dyDescent="0.3">
      <c r="F16344" s="1"/>
    </row>
    <row r="16345" spans="6:15" x14ac:dyDescent="0.3">
      <c r="F16345" s="1"/>
    </row>
    <row r="16346" spans="6:15" x14ac:dyDescent="0.3">
      <c r="F16346" s="1"/>
    </row>
    <row r="16348" spans="6:15" x14ac:dyDescent="0.3">
      <c r="F16348" s="1"/>
    </row>
    <row r="16349" spans="6:15" x14ac:dyDescent="0.3">
      <c r="F16349" s="1"/>
    </row>
    <row r="16350" spans="6:15" x14ac:dyDescent="0.3">
      <c r="F16350" s="1"/>
    </row>
    <row r="16352" spans="6:15" x14ac:dyDescent="0.3">
      <c r="F16352" s="1"/>
    </row>
    <row r="16353" spans="6:15" x14ac:dyDescent="0.3">
      <c r="F16353" s="1"/>
    </row>
    <row r="16354" spans="6:15" x14ac:dyDescent="0.3">
      <c r="F16354" s="1"/>
    </row>
    <row r="16355" spans="6:15" x14ac:dyDescent="0.3">
      <c r="F16355" s="1"/>
    </row>
    <row r="16356" spans="6:15" x14ac:dyDescent="0.3">
      <c r="F16356" s="1"/>
    </row>
    <row r="16357" spans="6:15" x14ac:dyDescent="0.3">
      <c r="L16357" s="1"/>
      <c r="M16357" s="1"/>
    </row>
    <row r="16358" spans="6:15" x14ac:dyDescent="0.3">
      <c r="F16358" s="1"/>
    </row>
    <row r="16359" spans="6:15" x14ac:dyDescent="0.3">
      <c r="F16359" s="1"/>
    </row>
    <row r="16360" spans="6:15" x14ac:dyDescent="0.3">
      <c r="F16360" s="1"/>
    </row>
    <row r="16361" spans="6:15" x14ac:dyDescent="0.3">
      <c r="F16361" s="1"/>
    </row>
    <row r="16362" spans="6:15" x14ac:dyDescent="0.3">
      <c r="F16362" s="1"/>
    </row>
    <row r="16363" spans="6:15" x14ac:dyDescent="0.3">
      <c r="F16363" s="1"/>
    </row>
    <row r="16364" spans="6:15" x14ac:dyDescent="0.3">
      <c r="F16364" s="1"/>
      <c r="L16364" s="1"/>
      <c r="N16364" s="1"/>
      <c r="O16364" s="1"/>
    </row>
    <row r="16365" spans="6:15" x14ac:dyDescent="0.3">
      <c r="F16365" s="1"/>
    </row>
    <row r="16366" spans="6:15" x14ac:dyDescent="0.3">
      <c r="F16366" s="1"/>
      <c r="L16366" s="1"/>
      <c r="N16366" s="1"/>
      <c r="O16366" s="1"/>
    </row>
    <row r="16367" spans="6:15" x14ac:dyDescent="0.3">
      <c r="F16367" s="1"/>
    </row>
    <row r="16368" spans="6:15" x14ac:dyDescent="0.3">
      <c r="F16368" s="1"/>
    </row>
    <row r="16371" spans="6:15" x14ac:dyDescent="0.3">
      <c r="F16371" s="1"/>
    </row>
    <row r="16372" spans="6:15" x14ac:dyDescent="0.3">
      <c r="F16372" s="1"/>
    </row>
    <row r="16373" spans="6:15" x14ac:dyDescent="0.3">
      <c r="L16373" s="1"/>
      <c r="O16373" s="1"/>
    </row>
    <row r="16374" spans="6:15" x14ac:dyDescent="0.3">
      <c r="F16374" s="1"/>
    </row>
    <row r="16375" spans="6:15" x14ac:dyDescent="0.3">
      <c r="F16375" s="1"/>
    </row>
    <row r="16376" spans="6:15" x14ac:dyDescent="0.3">
      <c r="F16376" s="1"/>
    </row>
    <row r="16377" spans="6:15" x14ac:dyDescent="0.3">
      <c r="F16377" s="1"/>
    </row>
    <row r="16378" spans="6:15" x14ac:dyDescent="0.3">
      <c r="F16378" s="1"/>
    </row>
    <row r="16379" spans="6:15" x14ac:dyDescent="0.3">
      <c r="F16379" s="1"/>
    </row>
    <row r="16380" spans="6:15" x14ac:dyDescent="0.3">
      <c r="F16380" s="1"/>
    </row>
    <row r="16381" spans="6:15" x14ac:dyDescent="0.3">
      <c r="F16381" s="1"/>
    </row>
    <row r="16382" spans="6:15" x14ac:dyDescent="0.3">
      <c r="F16382" s="1"/>
      <c r="N16382" s="1"/>
      <c r="O16382" s="1"/>
    </row>
    <row r="16383" spans="6:15" x14ac:dyDescent="0.3">
      <c r="F16383" s="1"/>
    </row>
    <row r="16384" spans="6:15" x14ac:dyDescent="0.3">
      <c r="F16384" s="1"/>
    </row>
    <row r="16385" spans="6:12" x14ac:dyDescent="0.3">
      <c r="F16385" s="1"/>
    </row>
    <row r="16386" spans="6:12" x14ac:dyDescent="0.3">
      <c r="F16386" s="1"/>
    </row>
    <row r="16387" spans="6:12" x14ac:dyDescent="0.3">
      <c r="F16387" s="1"/>
    </row>
    <row r="16388" spans="6:12" x14ac:dyDescent="0.3">
      <c r="F16388" s="1"/>
    </row>
    <row r="16389" spans="6:12" x14ac:dyDescent="0.3">
      <c r="F16389" s="1"/>
    </row>
    <row r="16390" spans="6:12" x14ac:dyDescent="0.3">
      <c r="F16390" s="1"/>
    </row>
    <row r="16391" spans="6:12" x14ac:dyDescent="0.3">
      <c r="F16391" s="1"/>
    </row>
    <row r="16392" spans="6:12" x14ac:dyDescent="0.3">
      <c r="F16392" s="1"/>
    </row>
    <row r="16393" spans="6:12" x14ac:dyDescent="0.3">
      <c r="L16393" s="1"/>
    </row>
    <row r="16394" spans="6:12" x14ac:dyDescent="0.3">
      <c r="F16394" s="1"/>
    </row>
    <row r="16395" spans="6:12" x14ac:dyDescent="0.3">
      <c r="F16395" s="1"/>
    </row>
    <row r="16396" spans="6:12" x14ac:dyDescent="0.3">
      <c r="F16396" s="1"/>
    </row>
    <row r="16397" spans="6:12" x14ac:dyDescent="0.3">
      <c r="F16397" s="1"/>
    </row>
    <row r="16399" spans="6:12" x14ac:dyDescent="0.3">
      <c r="F16399" s="1"/>
    </row>
    <row r="16400" spans="6:12" x14ac:dyDescent="0.3">
      <c r="F16400" s="1"/>
    </row>
    <row r="16402" spans="6:13" x14ac:dyDescent="0.3">
      <c r="F16402" s="1"/>
    </row>
    <row r="16403" spans="6:13" x14ac:dyDescent="0.3">
      <c r="F16403" s="1"/>
    </row>
    <row r="16406" spans="6:13" x14ac:dyDescent="0.3">
      <c r="F16406" s="1"/>
    </row>
    <row r="16407" spans="6:13" x14ac:dyDescent="0.3">
      <c r="F16407" s="1"/>
      <c r="L16407" s="1"/>
    </row>
    <row r="16408" spans="6:13" x14ac:dyDescent="0.3">
      <c r="F16408" s="1"/>
    </row>
    <row r="16409" spans="6:13" x14ac:dyDescent="0.3">
      <c r="F16409" s="1"/>
    </row>
    <row r="16410" spans="6:13" x14ac:dyDescent="0.3">
      <c r="F16410" s="1"/>
    </row>
    <row r="16411" spans="6:13" x14ac:dyDescent="0.3">
      <c r="F16411" s="1"/>
    </row>
    <row r="16412" spans="6:13" x14ac:dyDescent="0.3">
      <c r="F16412" s="1"/>
      <c r="L16412" s="1"/>
      <c r="M16412" s="1"/>
    </row>
    <row r="16413" spans="6:13" x14ac:dyDescent="0.3">
      <c r="F16413" s="1"/>
    </row>
    <row r="16414" spans="6:13" x14ac:dyDescent="0.3">
      <c r="F16414" s="1"/>
    </row>
    <row r="16415" spans="6:13" x14ac:dyDescent="0.3">
      <c r="F16415" s="1"/>
    </row>
    <row r="16416" spans="6:13" x14ac:dyDescent="0.3">
      <c r="F16416" s="1"/>
    </row>
    <row r="16417" spans="6:15" x14ac:dyDescent="0.3">
      <c r="F16417" s="1"/>
    </row>
    <row r="16418" spans="6:15" x14ac:dyDescent="0.3">
      <c r="F16418" s="1"/>
    </row>
    <row r="16419" spans="6:15" x14ac:dyDescent="0.3">
      <c r="F16419" s="1"/>
    </row>
    <row r="16420" spans="6:15" x14ac:dyDescent="0.3">
      <c r="F16420" s="1"/>
    </row>
    <row r="16421" spans="6:15" x14ac:dyDescent="0.3">
      <c r="F16421" s="1"/>
    </row>
    <row r="16422" spans="6:15" x14ac:dyDescent="0.3">
      <c r="F16422" s="1"/>
    </row>
    <row r="16423" spans="6:15" x14ac:dyDescent="0.3">
      <c r="F16423" s="1"/>
    </row>
    <row r="16424" spans="6:15" x14ac:dyDescent="0.3">
      <c r="F16424" s="1"/>
    </row>
    <row r="16425" spans="6:15" x14ac:dyDescent="0.3">
      <c r="F16425" s="1"/>
      <c r="N16425" s="1"/>
    </row>
    <row r="16426" spans="6:15" x14ac:dyDescent="0.3">
      <c r="F16426" s="1"/>
      <c r="N16426" s="1"/>
      <c r="O16426" s="1"/>
    </row>
    <row r="16427" spans="6:15" x14ac:dyDescent="0.3">
      <c r="F16427" s="1"/>
    </row>
    <row r="16428" spans="6:15" x14ac:dyDescent="0.3">
      <c r="F16428" s="1"/>
    </row>
    <row r="16429" spans="6:15" x14ac:dyDescent="0.3">
      <c r="F16429" s="1"/>
    </row>
    <row r="16430" spans="6:15" x14ac:dyDescent="0.3">
      <c r="O16430" s="1"/>
    </row>
    <row r="16431" spans="6:15" x14ac:dyDescent="0.3">
      <c r="F16431" s="1"/>
    </row>
    <row r="16432" spans="6:15" x14ac:dyDescent="0.3">
      <c r="F16432" s="1"/>
    </row>
    <row r="16433" spans="6:14" x14ac:dyDescent="0.3">
      <c r="F16433" s="1"/>
    </row>
    <row r="16434" spans="6:14" x14ac:dyDescent="0.3">
      <c r="F16434" s="1"/>
    </row>
    <row r="16435" spans="6:14" x14ac:dyDescent="0.3">
      <c r="F16435" s="1"/>
    </row>
    <row r="16436" spans="6:14" x14ac:dyDescent="0.3">
      <c r="F16436" s="1"/>
    </row>
    <row r="16437" spans="6:14" x14ac:dyDescent="0.3">
      <c r="F16437" s="1"/>
    </row>
    <row r="16438" spans="6:14" x14ac:dyDescent="0.3">
      <c r="F16438" s="1"/>
      <c r="M16438" s="1"/>
      <c r="N16438" s="1"/>
    </row>
    <row r="16439" spans="6:14" x14ac:dyDescent="0.3">
      <c r="F16439" s="1"/>
    </row>
    <row r="16440" spans="6:14" x14ac:dyDescent="0.3">
      <c r="F16440" s="1"/>
      <c r="L16440" s="1"/>
    </row>
    <row r="16441" spans="6:14" x14ac:dyDescent="0.3">
      <c r="F16441" s="1"/>
    </row>
    <row r="16442" spans="6:14" x14ac:dyDescent="0.3">
      <c r="F16442" s="1"/>
    </row>
    <row r="16443" spans="6:14" x14ac:dyDescent="0.3">
      <c r="F16443" s="1"/>
    </row>
    <row r="16444" spans="6:14" x14ac:dyDescent="0.3">
      <c r="F16444" s="1"/>
    </row>
    <row r="16445" spans="6:14" x14ac:dyDescent="0.3">
      <c r="F16445" s="1"/>
    </row>
    <row r="16447" spans="6:14" x14ac:dyDescent="0.3">
      <c r="F16447" s="1"/>
    </row>
    <row r="16448" spans="6:14" x14ac:dyDescent="0.3">
      <c r="F16448" s="1"/>
    </row>
    <row r="16449" spans="6:15" x14ac:dyDescent="0.3">
      <c r="F16449" s="1"/>
    </row>
    <row r="16450" spans="6:15" x14ac:dyDescent="0.3">
      <c r="F16450" s="1"/>
    </row>
    <row r="16451" spans="6:15" x14ac:dyDescent="0.3">
      <c r="F16451" s="1"/>
    </row>
    <row r="16452" spans="6:15" x14ac:dyDescent="0.3">
      <c r="F16452" s="1"/>
    </row>
    <row r="16453" spans="6:15" x14ac:dyDescent="0.3">
      <c r="F16453" s="1"/>
    </row>
    <row r="16454" spans="6:15" x14ac:dyDescent="0.3">
      <c r="F16454" s="1"/>
    </row>
    <row r="16456" spans="6:15" x14ac:dyDescent="0.3">
      <c r="F16456" s="1"/>
      <c r="L16456" s="1"/>
      <c r="M16456" s="1"/>
      <c r="O16456" s="1"/>
    </row>
    <row r="16458" spans="6:15" x14ac:dyDescent="0.3">
      <c r="F16458" s="1"/>
    </row>
    <row r="16460" spans="6:15" x14ac:dyDescent="0.3">
      <c r="F16460" s="1"/>
    </row>
    <row r="16461" spans="6:15" x14ac:dyDescent="0.3">
      <c r="F16461" s="1"/>
    </row>
    <row r="16462" spans="6:15" x14ac:dyDescent="0.3">
      <c r="F16462" s="1"/>
    </row>
    <row r="16463" spans="6:15" x14ac:dyDescent="0.3">
      <c r="F16463" s="1"/>
    </row>
    <row r="16464" spans="6:15" x14ac:dyDescent="0.3">
      <c r="F16464" s="1"/>
    </row>
    <row r="16465" spans="6:14" x14ac:dyDescent="0.3">
      <c r="F16465" s="1"/>
    </row>
    <row r="16466" spans="6:14" x14ac:dyDescent="0.3">
      <c r="F16466" s="1"/>
      <c r="N16466" s="1"/>
    </row>
    <row r="16467" spans="6:14" x14ac:dyDescent="0.3">
      <c r="F16467" s="1"/>
    </row>
    <row r="16468" spans="6:14" x14ac:dyDescent="0.3">
      <c r="F16468" s="1"/>
    </row>
    <row r="16469" spans="6:14" x14ac:dyDescent="0.3">
      <c r="F16469" s="1"/>
    </row>
    <row r="16470" spans="6:14" x14ac:dyDescent="0.3">
      <c r="F16470" s="1"/>
    </row>
    <row r="16471" spans="6:14" x14ac:dyDescent="0.3">
      <c r="F16471" s="1"/>
    </row>
    <row r="16472" spans="6:14" x14ac:dyDescent="0.3">
      <c r="F16472" s="1"/>
    </row>
    <row r="16473" spans="6:14" x14ac:dyDescent="0.3">
      <c r="F16473" s="1"/>
    </row>
    <row r="16474" spans="6:14" x14ac:dyDescent="0.3">
      <c r="F16474" s="1"/>
    </row>
    <row r="16475" spans="6:14" x14ac:dyDescent="0.3">
      <c r="F16475" s="1"/>
    </row>
    <row r="16476" spans="6:14" x14ac:dyDescent="0.3">
      <c r="F16476" s="1"/>
    </row>
    <row r="16477" spans="6:14" x14ac:dyDescent="0.3">
      <c r="F16477" s="1"/>
    </row>
    <row r="16479" spans="6:14" x14ac:dyDescent="0.3">
      <c r="F16479" s="1"/>
    </row>
    <row r="16480" spans="6:14" x14ac:dyDescent="0.3">
      <c r="F16480" s="1"/>
    </row>
    <row r="16481" spans="6:15" x14ac:dyDescent="0.3">
      <c r="F16481" s="1"/>
    </row>
    <row r="16482" spans="6:15" x14ac:dyDescent="0.3">
      <c r="F16482" s="1"/>
    </row>
    <row r="16483" spans="6:15" x14ac:dyDescent="0.3">
      <c r="F16483" s="1"/>
    </row>
    <row r="16485" spans="6:15" x14ac:dyDescent="0.3">
      <c r="F16485" s="1"/>
    </row>
    <row r="16486" spans="6:15" x14ac:dyDescent="0.3">
      <c r="F16486" s="1"/>
    </row>
    <row r="16487" spans="6:15" x14ac:dyDescent="0.3">
      <c r="F16487" s="1"/>
    </row>
    <row r="16488" spans="6:15" x14ac:dyDescent="0.3">
      <c r="F16488" s="1"/>
    </row>
    <row r="16489" spans="6:15" x14ac:dyDescent="0.3">
      <c r="M16489" s="1"/>
      <c r="O16489" s="1"/>
    </row>
    <row r="16490" spans="6:15" x14ac:dyDescent="0.3">
      <c r="F16490" s="1"/>
    </row>
    <row r="16491" spans="6:15" x14ac:dyDescent="0.3">
      <c r="F16491" s="1"/>
    </row>
    <row r="16492" spans="6:15" x14ac:dyDescent="0.3">
      <c r="F16492" s="1"/>
    </row>
    <row r="16493" spans="6:15" x14ac:dyDescent="0.3">
      <c r="F16493" s="1"/>
    </row>
    <row r="16494" spans="6:15" x14ac:dyDescent="0.3">
      <c r="F16494" s="1"/>
    </row>
    <row r="16495" spans="6:15" x14ac:dyDescent="0.3">
      <c r="F16495" s="1"/>
    </row>
    <row r="16496" spans="6:15" x14ac:dyDescent="0.3">
      <c r="F16496" s="1"/>
    </row>
    <row r="16498" spans="6:6" x14ac:dyDescent="0.3">
      <c r="F16498" s="1"/>
    </row>
    <row r="16499" spans="6:6" x14ac:dyDescent="0.3">
      <c r="F16499" s="1"/>
    </row>
    <row r="16500" spans="6:6" x14ac:dyDescent="0.3">
      <c r="F16500" s="1"/>
    </row>
    <row r="16502" spans="6:6" x14ac:dyDescent="0.3">
      <c r="F16502" s="1"/>
    </row>
    <row r="16503" spans="6:6" x14ac:dyDescent="0.3">
      <c r="F16503" s="1"/>
    </row>
    <row r="16504" spans="6:6" x14ac:dyDescent="0.3">
      <c r="F16504" s="1"/>
    </row>
    <row r="16505" spans="6:6" x14ac:dyDescent="0.3">
      <c r="F16505" s="1"/>
    </row>
    <row r="16506" spans="6:6" x14ac:dyDescent="0.3">
      <c r="F16506" s="1"/>
    </row>
    <row r="16507" spans="6:6" x14ac:dyDescent="0.3">
      <c r="F16507" s="1"/>
    </row>
    <row r="16508" spans="6:6" x14ac:dyDescent="0.3">
      <c r="F16508" s="1"/>
    </row>
    <row r="16509" spans="6:6" x14ac:dyDescent="0.3">
      <c r="F16509" s="1"/>
    </row>
    <row r="16510" spans="6:6" x14ac:dyDescent="0.3">
      <c r="F16510" s="1"/>
    </row>
    <row r="16511" spans="6:6" x14ac:dyDescent="0.3">
      <c r="F16511" s="1"/>
    </row>
    <row r="16512" spans="6:6" x14ac:dyDescent="0.3">
      <c r="F16512" s="1"/>
    </row>
    <row r="16513" spans="6:15" x14ac:dyDescent="0.3">
      <c r="F16513" s="1"/>
    </row>
    <row r="16514" spans="6:15" x14ac:dyDescent="0.3">
      <c r="F16514" s="1"/>
    </row>
    <row r="16515" spans="6:15" x14ac:dyDescent="0.3">
      <c r="M16515" s="1"/>
      <c r="N16515" s="1"/>
      <c r="O16515" s="1"/>
    </row>
    <row r="16516" spans="6:15" x14ac:dyDescent="0.3">
      <c r="F16516" s="1"/>
    </row>
    <row r="16517" spans="6:15" x14ac:dyDescent="0.3">
      <c r="F16517" s="1"/>
    </row>
    <row r="16519" spans="6:15" x14ac:dyDescent="0.3">
      <c r="F16519" s="1"/>
    </row>
    <row r="16520" spans="6:15" x14ac:dyDescent="0.3">
      <c r="F16520" s="1"/>
    </row>
    <row r="16521" spans="6:15" x14ac:dyDescent="0.3">
      <c r="F16521" s="1"/>
    </row>
    <row r="16522" spans="6:15" x14ac:dyDescent="0.3">
      <c r="F16522" s="1"/>
    </row>
    <row r="16523" spans="6:15" x14ac:dyDescent="0.3">
      <c r="M16523" s="1"/>
    </row>
    <row r="16524" spans="6:15" x14ac:dyDescent="0.3">
      <c r="F16524" s="1"/>
    </row>
    <row r="16525" spans="6:15" x14ac:dyDescent="0.3">
      <c r="F16525" s="1"/>
    </row>
    <row r="16526" spans="6:15" x14ac:dyDescent="0.3">
      <c r="F16526" s="1"/>
    </row>
    <row r="16527" spans="6:15" x14ac:dyDescent="0.3">
      <c r="F16527" s="1"/>
    </row>
    <row r="16528" spans="6:15" x14ac:dyDescent="0.3">
      <c r="F16528" s="1"/>
    </row>
    <row r="16529" spans="6:14" x14ac:dyDescent="0.3">
      <c r="F16529" s="1"/>
    </row>
    <row r="16530" spans="6:14" x14ac:dyDescent="0.3">
      <c r="F16530" s="1"/>
    </row>
    <row r="16531" spans="6:14" x14ac:dyDescent="0.3">
      <c r="F16531" s="1"/>
    </row>
    <row r="16532" spans="6:14" x14ac:dyDescent="0.3">
      <c r="F16532" s="1"/>
      <c r="M16532" s="1"/>
    </row>
    <row r="16533" spans="6:14" x14ac:dyDescent="0.3">
      <c r="F16533" s="1"/>
    </row>
    <row r="16534" spans="6:14" x14ac:dyDescent="0.3">
      <c r="F16534" s="1"/>
    </row>
    <row r="16535" spans="6:14" x14ac:dyDescent="0.3">
      <c r="F16535" s="1"/>
    </row>
    <row r="16536" spans="6:14" x14ac:dyDescent="0.3">
      <c r="F16536" s="1"/>
    </row>
    <row r="16537" spans="6:14" x14ac:dyDescent="0.3">
      <c r="F16537" s="1"/>
    </row>
    <row r="16538" spans="6:14" x14ac:dyDescent="0.3">
      <c r="F16538" s="1"/>
    </row>
    <row r="16539" spans="6:14" x14ac:dyDescent="0.3">
      <c r="F16539" s="1"/>
      <c r="L16539" s="1"/>
      <c r="N16539" s="1"/>
    </row>
    <row r="16540" spans="6:14" x14ac:dyDescent="0.3">
      <c r="F16540" s="1"/>
    </row>
    <row r="16541" spans="6:14" x14ac:dyDescent="0.3">
      <c r="F16541" s="1"/>
    </row>
    <row r="16542" spans="6:14" x14ac:dyDescent="0.3">
      <c r="F16542" s="1"/>
    </row>
    <row r="16543" spans="6:14" x14ac:dyDescent="0.3">
      <c r="F16543" s="1"/>
    </row>
    <row r="16544" spans="6:14" x14ac:dyDescent="0.3">
      <c r="F16544" s="1"/>
    </row>
    <row r="16545" spans="6:15" x14ac:dyDescent="0.3">
      <c r="F16545" s="1"/>
    </row>
    <row r="16546" spans="6:15" x14ac:dyDescent="0.3">
      <c r="F16546" s="1"/>
    </row>
    <row r="16547" spans="6:15" x14ac:dyDescent="0.3">
      <c r="F16547" s="1"/>
    </row>
    <row r="16548" spans="6:15" x14ac:dyDescent="0.3">
      <c r="F16548" s="1"/>
    </row>
    <row r="16549" spans="6:15" x14ac:dyDescent="0.3">
      <c r="L16549" s="1"/>
      <c r="M16549" s="1"/>
      <c r="O16549" s="1"/>
    </row>
    <row r="16550" spans="6:15" x14ac:dyDescent="0.3">
      <c r="F16550" s="1"/>
    </row>
    <row r="16551" spans="6:15" x14ac:dyDescent="0.3">
      <c r="F16551" s="1"/>
    </row>
    <row r="16552" spans="6:15" x14ac:dyDescent="0.3">
      <c r="F16552" s="1"/>
    </row>
    <row r="16553" spans="6:15" x14ac:dyDescent="0.3">
      <c r="N16553" s="1"/>
    </row>
    <row r="16554" spans="6:15" x14ac:dyDescent="0.3">
      <c r="F16554" s="1"/>
    </row>
    <row r="16555" spans="6:15" x14ac:dyDescent="0.3">
      <c r="F16555" s="1"/>
    </row>
    <row r="16556" spans="6:15" x14ac:dyDescent="0.3">
      <c r="F16556" s="1"/>
    </row>
    <row r="16559" spans="6:15" x14ac:dyDescent="0.3">
      <c r="F16559" s="1"/>
    </row>
    <row r="16560" spans="6:15" x14ac:dyDescent="0.3">
      <c r="F16560" s="1"/>
    </row>
    <row r="16562" spans="6:6" x14ac:dyDescent="0.3">
      <c r="F16562" s="1"/>
    </row>
    <row r="16564" spans="6:6" x14ac:dyDescent="0.3">
      <c r="F16564" s="1"/>
    </row>
    <row r="16565" spans="6:6" x14ac:dyDescent="0.3">
      <c r="F16565" s="1"/>
    </row>
    <row r="16566" spans="6:6" x14ac:dyDescent="0.3">
      <c r="F16566" s="1"/>
    </row>
    <row r="16567" spans="6:6" x14ac:dyDescent="0.3">
      <c r="F16567" s="1"/>
    </row>
    <row r="16568" spans="6:6" x14ac:dyDescent="0.3">
      <c r="F16568" s="1"/>
    </row>
    <row r="16569" spans="6:6" x14ac:dyDescent="0.3">
      <c r="F16569" s="1"/>
    </row>
    <row r="16571" spans="6:6" x14ac:dyDescent="0.3">
      <c r="F16571" s="1"/>
    </row>
    <row r="16572" spans="6:6" x14ac:dyDescent="0.3">
      <c r="F16572" s="1"/>
    </row>
    <row r="16573" spans="6:6" x14ac:dyDescent="0.3">
      <c r="F16573" s="1"/>
    </row>
    <row r="16574" spans="6:6" x14ac:dyDescent="0.3">
      <c r="F16574" s="1"/>
    </row>
    <row r="16575" spans="6:6" x14ac:dyDescent="0.3">
      <c r="F16575" s="1"/>
    </row>
    <row r="16576" spans="6:6" x14ac:dyDescent="0.3">
      <c r="F16576" s="1"/>
    </row>
    <row r="16577" spans="6:15" x14ac:dyDescent="0.3">
      <c r="F16577" s="1"/>
    </row>
    <row r="16578" spans="6:15" x14ac:dyDescent="0.3">
      <c r="F16578" s="1"/>
      <c r="L16578" s="1"/>
      <c r="M16578" s="1"/>
      <c r="O16578" s="1"/>
    </row>
    <row r="16579" spans="6:15" x14ac:dyDescent="0.3">
      <c r="F16579" s="1"/>
    </row>
    <row r="16580" spans="6:15" x14ac:dyDescent="0.3">
      <c r="F16580" s="1"/>
    </row>
    <row r="16581" spans="6:15" x14ac:dyDescent="0.3">
      <c r="F16581" s="1"/>
    </row>
    <row r="16583" spans="6:15" x14ac:dyDescent="0.3">
      <c r="F16583" s="1"/>
      <c r="L16583" s="1"/>
      <c r="M16583" s="1"/>
      <c r="O16583" s="1"/>
    </row>
    <row r="16584" spans="6:15" x14ac:dyDescent="0.3">
      <c r="F16584" s="1"/>
    </row>
    <row r="16585" spans="6:15" x14ac:dyDescent="0.3">
      <c r="F16585" s="1"/>
    </row>
    <row r="16586" spans="6:15" x14ac:dyDescent="0.3">
      <c r="F16586" s="1"/>
    </row>
    <row r="16587" spans="6:15" x14ac:dyDescent="0.3">
      <c r="F16587" s="1"/>
    </row>
    <row r="16588" spans="6:15" x14ac:dyDescent="0.3">
      <c r="F16588" s="1"/>
    </row>
    <row r="16589" spans="6:15" x14ac:dyDescent="0.3">
      <c r="F16589" s="1"/>
    </row>
    <row r="16590" spans="6:15" x14ac:dyDescent="0.3">
      <c r="F16590" s="1"/>
    </row>
    <row r="16591" spans="6:15" x14ac:dyDescent="0.3">
      <c r="F16591" s="1"/>
    </row>
    <row r="16592" spans="6:15" x14ac:dyDescent="0.3">
      <c r="F16592" s="1"/>
    </row>
    <row r="16593" spans="6:14" x14ac:dyDescent="0.3">
      <c r="F16593" s="1"/>
    </row>
    <row r="16594" spans="6:14" x14ac:dyDescent="0.3">
      <c r="F16594" s="1"/>
    </row>
    <row r="16595" spans="6:14" x14ac:dyDescent="0.3">
      <c r="F16595" s="1"/>
    </row>
    <row r="16596" spans="6:14" x14ac:dyDescent="0.3">
      <c r="F16596" s="1"/>
    </row>
    <row r="16597" spans="6:14" x14ac:dyDescent="0.3">
      <c r="F16597" s="1"/>
    </row>
    <row r="16598" spans="6:14" x14ac:dyDescent="0.3">
      <c r="F16598" s="1"/>
    </row>
    <row r="16599" spans="6:14" x14ac:dyDescent="0.3">
      <c r="F16599" s="1"/>
    </row>
    <row r="16600" spans="6:14" x14ac:dyDescent="0.3">
      <c r="F16600" s="1"/>
      <c r="N16600" s="1"/>
    </row>
    <row r="16601" spans="6:14" x14ac:dyDescent="0.3">
      <c r="F16601" s="1"/>
    </row>
    <row r="16602" spans="6:14" x14ac:dyDescent="0.3">
      <c r="F16602" s="1"/>
    </row>
    <row r="16603" spans="6:14" x14ac:dyDescent="0.3">
      <c r="F16603" s="1"/>
    </row>
    <row r="16604" spans="6:14" x14ac:dyDescent="0.3">
      <c r="F16604" s="1"/>
    </row>
    <row r="16605" spans="6:14" x14ac:dyDescent="0.3">
      <c r="L16605" s="1"/>
    </row>
    <row r="16606" spans="6:14" x14ac:dyDescent="0.3">
      <c r="F16606" s="1"/>
      <c r="M16606" s="1"/>
    </row>
    <row r="16607" spans="6:14" x14ac:dyDescent="0.3">
      <c r="F16607" s="1"/>
    </row>
    <row r="16609" spans="6:15" x14ac:dyDescent="0.3">
      <c r="F16609" s="1"/>
    </row>
    <row r="16610" spans="6:15" x14ac:dyDescent="0.3">
      <c r="F16610" s="1"/>
    </row>
    <row r="16611" spans="6:15" x14ac:dyDescent="0.3">
      <c r="F16611" s="1"/>
    </row>
    <row r="16613" spans="6:15" x14ac:dyDescent="0.3">
      <c r="F16613" s="1"/>
    </row>
    <row r="16614" spans="6:15" x14ac:dyDescent="0.3">
      <c r="L16614" s="1"/>
      <c r="O16614" s="1"/>
    </row>
    <row r="16615" spans="6:15" x14ac:dyDescent="0.3">
      <c r="F16615" s="1"/>
    </row>
    <row r="16616" spans="6:15" x14ac:dyDescent="0.3">
      <c r="F16616" s="1"/>
    </row>
    <row r="16617" spans="6:15" x14ac:dyDescent="0.3">
      <c r="F16617" s="1"/>
    </row>
    <row r="16618" spans="6:15" x14ac:dyDescent="0.3">
      <c r="F16618" s="1"/>
    </row>
    <row r="16620" spans="6:15" x14ac:dyDescent="0.3">
      <c r="F16620" s="1"/>
    </row>
    <row r="16621" spans="6:15" x14ac:dyDescent="0.3">
      <c r="F16621" s="1"/>
    </row>
    <row r="16622" spans="6:15" x14ac:dyDescent="0.3">
      <c r="F16622" s="1"/>
    </row>
    <row r="16623" spans="6:15" x14ac:dyDescent="0.3">
      <c r="F16623" s="1"/>
    </row>
    <row r="16624" spans="6:15" x14ac:dyDescent="0.3">
      <c r="F16624" s="1"/>
    </row>
    <row r="16625" spans="6:15" x14ac:dyDescent="0.3">
      <c r="F16625" s="1"/>
    </row>
    <row r="16626" spans="6:15" x14ac:dyDescent="0.3">
      <c r="F16626" s="1"/>
      <c r="M16626" s="1"/>
      <c r="N16626" s="1"/>
      <c r="O16626" s="1"/>
    </row>
    <row r="16627" spans="6:15" x14ac:dyDescent="0.3">
      <c r="F16627" s="1"/>
      <c r="L16627" s="1"/>
    </row>
    <row r="16629" spans="6:15" x14ac:dyDescent="0.3">
      <c r="F16629" s="1"/>
    </row>
    <row r="16630" spans="6:15" x14ac:dyDescent="0.3">
      <c r="F16630" s="1"/>
    </row>
    <row r="16632" spans="6:15" x14ac:dyDescent="0.3">
      <c r="F16632" s="1"/>
    </row>
    <row r="16633" spans="6:15" x14ac:dyDescent="0.3">
      <c r="F16633" s="1"/>
    </row>
    <row r="16634" spans="6:15" x14ac:dyDescent="0.3">
      <c r="F16634" s="1"/>
    </row>
    <row r="16635" spans="6:15" x14ac:dyDescent="0.3">
      <c r="M16635" s="1"/>
      <c r="N16635" s="1"/>
      <c r="O16635" s="1"/>
    </row>
    <row r="16638" spans="6:15" x14ac:dyDescent="0.3">
      <c r="F16638" s="1"/>
    </row>
    <row r="16639" spans="6:15" x14ac:dyDescent="0.3">
      <c r="F16639" s="1"/>
    </row>
    <row r="16640" spans="6:15" x14ac:dyDescent="0.3">
      <c r="F16640" s="1"/>
      <c r="N16640" s="1"/>
    </row>
    <row r="16641" spans="6:14" x14ac:dyDescent="0.3">
      <c r="F16641" s="1"/>
    </row>
    <row r="16642" spans="6:14" x14ac:dyDescent="0.3">
      <c r="F16642" s="1"/>
    </row>
    <row r="16643" spans="6:14" x14ac:dyDescent="0.3">
      <c r="F16643" s="1"/>
    </row>
    <row r="16644" spans="6:14" x14ac:dyDescent="0.3">
      <c r="F16644" s="1"/>
    </row>
    <row r="16645" spans="6:14" x14ac:dyDescent="0.3">
      <c r="F16645" s="1"/>
    </row>
    <row r="16646" spans="6:14" x14ac:dyDescent="0.3">
      <c r="F16646" s="1"/>
    </row>
    <row r="16647" spans="6:14" x14ac:dyDescent="0.3">
      <c r="F16647" s="1"/>
    </row>
    <row r="16648" spans="6:14" x14ac:dyDescent="0.3">
      <c r="F16648" s="1"/>
    </row>
    <row r="16649" spans="6:14" x14ac:dyDescent="0.3">
      <c r="F16649" s="1"/>
    </row>
    <row r="16650" spans="6:14" x14ac:dyDescent="0.3">
      <c r="L16650" s="1"/>
      <c r="N16650" s="1"/>
    </row>
    <row r="16651" spans="6:14" x14ac:dyDescent="0.3">
      <c r="F16651" s="1"/>
    </row>
    <row r="16652" spans="6:14" x14ac:dyDescent="0.3">
      <c r="F16652" s="1"/>
    </row>
    <row r="16653" spans="6:14" x14ac:dyDescent="0.3">
      <c r="F16653" s="1"/>
    </row>
    <row r="16654" spans="6:14" x14ac:dyDescent="0.3">
      <c r="F16654" s="1"/>
    </row>
    <row r="16655" spans="6:14" x14ac:dyDescent="0.3">
      <c r="F16655" s="1"/>
    </row>
    <row r="16656" spans="6:14" x14ac:dyDescent="0.3">
      <c r="F16656" s="1"/>
    </row>
    <row r="16658" spans="6:15" x14ac:dyDescent="0.3">
      <c r="F16658" s="1"/>
    </row>
    <row r="16659" spans="6:15" x14ac:dyDescent="0.3">
      <c r="F16659" s="1"/>
    </row>
    <row r="16660" spans="6:15" x14ac:dyDescent="0.3">
      <c r="F16660" s="1"/>
    </row>
    <row r="16661" spans="6:15" x14ac:dyDescent="0.3">
      <c r="F16661" s="1"/>
    </row>
    <row r="16662" spans="6:15" x14ac:dyDescent="0.3">
      <c r="F16662" s="1"/>
    </row>
    <row r="16663" spans="6:15" x14ac:dyDescent="0.3">
      <c r="F16663" s="1"/>
    </row>
    <row r="16664" spans="6:15" x14ac:dyDescent="0.3">
      <c r="L16664" s="1"/>
      <c r="M16664" s="1"/>
      <c r="N16664" s="1"/>
      <c r="O16664" s="1"/>
    </row>
    <row r="16665" spans="6:15" x14ac:dyDescent="0.3">
      <c r="F16665" s="1"/>
    </row>
    <row r="16666" spans="6:15" x14ac:dyDescent="0.3">
      <c r="F16666" s="1"/>
      <c r="M16666" s="1"/>
      <c r="N16666" s="1"/>
    </row>
    <row r="16667" spans="6:15" x14ac:dyDescent="0.3">
      <c r="F16667" s="1"/>
    </row>
    <row r="16669" spans="6:15" x14ac:dyDescent="0.3">
      <c r="F16669" s="1"/>
    </row>
    <row r="16671" spans="6:15" x14ac:dyDescent="0.3">
      <c r="F16671" s="1"/>
    </row>
    <row r="16672" spans="6:15" x14ac:dyDescent="0.3">
      <c r="F16672" s="1"/>
    </row>
    <row r="16673" spans="6:15" x14ac:dyDescent="0.3">
      <c r="F16673" s="1"/>
    </row>
    <row r="16674" spans="6:15" x14ac:dyDescent="0.3">
      <c r="F16674" s="1"/>
    </row>
    <row r="16675" spans="6:15" x14ac:dyDescent="0.3">
      <c r="M16675" s="1"/>
      <c r="O16675" s="1"/>
    </row>
    <row r="16677" spans="6:15" x14ac:dyDescent="0.3">
      <c r="F16677" s="1"/>
    </row>
    <row r="16678" spans="6:15" x14ac:dyDescent="0.3">
      <c r="F16678" s="1"/>
    </row>
    <row r="16679" spans="6:15" x14ac:dyDescent="0.3">
      <c r="F16679" s="1"/>
    </row>
    <row r="16680" spans="6:15" x14ac:dyDescent="0.3">
      <c r="F16680" s="1"/>
    </row>
    <row r="16681" spans="6:15" x14ac:dyDescent="0.3">
      <c r="F16681" s="1"/>
    </row>
    <row r="16682" spans="6:15" x14ac:dyDescent="0.3">
      <c r="F16682" s="1"/>
    </row>
    <row r="16683" spans="6:15" x14ac:dyDescent="0.3">
      <c r="F16683" s="1"/>
      <c r="O16683" s="1"/>
    </row>
    <row r="16684" spans="6:15" x14ac:dyDescent="0.3">
      <c r="F16684" s="1"/>
    </row>
    <row r="16685" spans="6:15" x14ac:dyDescent="0.3">
      <c r="F16685" s="1"/>
    </row>
    <row r="16686" spans="6:15" x14ac:dyDescent="0.3">
      <c r="F16686" s="1"/>
    </row>
    <row r="16687" spans="6:15" x14ac:dyDescent="0.3">
      <c r="F16687" s="1"/>
    </row>
    <row r="16688" spans="6:15" x14ac:dyDescent="0.3">
      <c r="F16688" s="1"/>
    </row>
    <row r="16689" spans="6:15" x14ac:dyDescent="0.3">
      <c r="F16689" s="1"/>
    </row>
    <row r="16690" spans="6:15" x14ac:dyDescent="0.3">
      <c r="F16690" s="1"/>
    </row>
    <row r="16691" spans="6:15" x14ac:dyDescent="0.3">
      <c r="F16691" s="1"/>
    </row>
    <row r="16692" spans="6:15" x14ac:dyDescent="0.3">
      <c r="F16692" s="1"/>
    </row>
    <row r="16693" spans="6:15" x14ac:dyDescent="0.3">
      <c r="F16693" s="1"/>
    </row>
    <row r="16695" spans="6:15" x14ac:dyDescent="0.3">
      <c r="F16695" s="1"/>
    </row>
    <row r="16696" spans="6:15" x14ac:dyDescent="0.3">
      <c r="F16696" s="1"/>
    </row>
    <row r="16697" spans="6:15" x14ac:dyDescent="0.3">
      <c r="F16697" s="1"/>
    </row>
    <row r="16698" spans="6:15" x14ac:dyDescent="0.3">
      <c r="N16698" s="1"/>
      <c r="O16698" s="1"/>
    </row>
    <row r="16699" spans="6:15" x14ac:dyDescent="0.3">
      <c r="F16699" s="1"/>
    </row>
    <row r="16700" spans="6:15" x14ac:dyDescent="0.3">
      <c r="F16700" s="1"/>
    </row>
    <row r="16701" spans="6:15" x14ac:dyDescent="0.3">
      <c r="F16701" s="1"/>
    </row>
    <row r="16703" spans="6:15" x14ac:dyDescent="0.3">
      <c r="F16703" s="1"/>
    </row>
    <row r="16704" spans="6:15" x14ac:dyDescent="0.3">
      <c r="F16704" s="1"/>
    </row>
    <row r="16705" spans="6:13" x14ac:dyDescent="0.3">
      <c r="F16705" s="1"/>
    </row>
    <row r="16706" spans="6:13" x14ac:dyDescent="0.3">
      <c r="F16706" s="1"/>
    </row>
    <row r="16707" spans="6:13" x14ac:dyDescent="0.3">
      <c r="F16707" s="1"/>
    </row>
    <row r="16708" spans="6:13" x14ac:dyDescent="0.3">
      <c r="F16708" s="1"/>
    </row>
    <row r="16709" spans="6:13" x14ac:dyDescent="0.3">
      <c r="F16709" s="1"/>
    </row>
    <row r="16711" spans="6:13" x14ac:dyDescent="0.3">
      <c r="F16711" s="1"/>
    </row>
    <row r="16713" spans="6:13" x14ac:dyDescent="0.3">
      <c r="F16713" s="1"/>
    </row>
    <row r="16714" spans="6:13" x14ac:dyDescent="0.3">
      <c r="F16714" s="1"/>
    </row>
    <row r="16715" spans="6:13" x14ac:dyDescent="0.3">
      <c r="F16715" s="1"/>
    </row>
    <row r="16716" spans="6:13" x14ac:dyDescent="0.3">
      <c r="F16716" s="1"/>
    </row>
    <row r="16717" spans="6:13" x14ac:dyDescent="0.3">
      <c r="F16717" s="1"/>
    </row>
    <row r="16718" spans="6:13" x14ac:dyDescent="0.3">
      <c r="F16718" s="1"/>
      <c r="L16718" s="1"/>
      <c r="M16718" s="1"/>
    </row>
    <row r="16719" spans="6:13" x14ac:dyDescent="0.3">
      <c r="F16719" s="1"/>
    </row>
    <row r="16720" spans="6:13" x14ac:dyDescent="0.3">
      <c r="F16720" s="1"/>
    </row>
    <row r="16721" spans="6:13" x14ac:dyDescent="0.3">
      <c r="F16721" s="1"/>
    </row>
    <row r="16722" spans="6:13" x14ac:dyDescent="0.3">
      <c r="F16722" s="1"/>
    </row>
    <row r="16724" spans="6:13" x14ac:dyDescent="0.3">
      <c r="F16724" s="1"/>
    </row>
    <row r="16725" spans="6:13" x14ac:dyDescent="0.3">
      <c r="F16725" s="1"/>
    </row>
    <row r="16726" spans="6:13" x14ac:dyDescent="0.3">
      <c r="F16726" s="1"/>
    </row>
    <row r="16727" spans="6:13" x14ac:dyDescent="0.3">
      <c r="F16727" s="1"/>
    </row>
    <row r="16728" spans="6:13" x14ac:dyDescent="0.3">
      <c r="F16728" s="1"/>
    </row>
    <row r="16729" spans="6:13" x14ac:dyDescent="0.3">
      <c r="F16729" s="1"/>
    </row>
    <row r="16731" spans="6:13" x14ac:dyDescent="0.3">
      <c r="F16731" s="1"/>
      <c r="L16731" s="1"/>
      <c r="M16731" s="1"/>
    </row>
    <row r="16732" spans="6:13" x14ac:dyDescent="0.3">
      <c r="F16732" s="1"/>
    </row>
    <row r="16734" spans="6:13" x14ac:dyDescent="0.3">
      <c r="F16734" s="1"/>
    </row>
    <row r="16735" spans="6:13" x14ac:dyDescent="0.3">
      <c r="F16735" s="1"/>
    </row>
    <row r="16736" spans="6:13" x14ac:dyDescent="0.3">
      <c r="F16736" s="1"/>
    </row>
    <row r="16738" spans="6:13" x14ac:dyDescent="0.3">
      <c r="F16738" s="1"/>
    </row>
    <row r="16739" spans="6:13" x14ac:dyDescent="0.3">
      <c r="F16739" s="1"/>
    </row>
    <row r="16740" spans="6:13" x14ac:dyDescent="0.3">
      <c r="F16740" s="1"/>
    </row>
    <row r="16741" spans="6:13" x14ac:dyDescent="0.3">
      <c r="F16741" s="1"/>
    </row>
    <row r="16743" spans="6:13" x14ac:dyDescent="0.3">
      <c r="F16743" s="1"/>
    </row>
    <row r="16744" spans="6:13" x14ac:dyDescent="0.3">
      <c r="F16744" s="1"/>
    </row>
    <row r="16745" spans="6:13" x14ac:dyDescent="0.3">
      <c r="F16745" s="1"/>
    </row>
    <row r="16746" spans="6:13" x14ac:dyDescent="0.3">
      <c r="F16746" s="1"/>
    </row>
    <row r="16747" spans="6:13" x14ac:dyDescent="0.3">
      <c r="F16747" s="1"/>
    </row>
    <row r="16748" spans="6:13" x14ac:dyDescent="0.3">
      <c r="F16748" s="1"/>
    </row>
    <row r="16749" spans="6:13" x14ac:dyDescent="0.3">
      <c r="L16749" s="1"/>
      <c r="M16749" s="1"/>
    </row>
    <row r="16750" spans="6:13" x14ac:dyDescent="0.3">
      <c r="F16750" s="1"/>
    </row>
    <row r="16751" spans="6:13" x14ac:dyDescent="0.3">
      <c r="F16751" s="1"/>
    </row>
    <row r="16752" spans="6:13" x14ac:dyDescent="0.3">
      <c r="F16752" s="1"/>
    </row>
    <row r="16754" spans="6:12" x14ac:dyDescent="0.3">
      <c r="F16754" s="1"/>
    </row>
    <row r="16755" spans="6:12" x14ac:dyDescent="0.3">
      <c r="F16755" s="1"/>
      <c r="L16755" s="1"/>
    </row>
    <row r="16756" spans="6:12" x14ac:dyDescent="0.3">
      <c r="F16756" s="1"/>
    </row>
    <row r="16757" spans="6:12" x14ac:dyDescent="0.3">
      <c r="F16757" s="1"/>
    </row>
    <row r="16758" spans="6:12" x14ac:dyDescent="0.3">
      <c r="F16758" s="1"/>
    </row>
    <row r="16759" spans="6:12" x14ac:dyDescent="0.3">
      <c r="F16759" s="1"/>
    </row>
    <row r="16760" spans="6:12" x14ac:dyDescent="0.3">
      <c r="F16760" s="1"/>
    </row>
    <row r="16761" spans="6:12" x14ac:dyDescent="0.3">
      <c r="F16761" s="1"/>
    </row>
    <row r="16762" spans="6:12" x14ac:dyDescent="0.3">
      <c r="F16762" s="1"/>
    </row>
    <row r="16763" spans="6:12" x14ac:dyDescent="0.3">
      <c r="F16763" s="1"/>
    </row>
    <row r="16764" spans="6:12" x14ac:dyDescent="0.3">
      <c r="F16764" s="1"/>
    </row>
    <row r="16765" spans="6:12" x14ac:dyDescent="0.3">
      <c r="F16765" s="1"/>
    </row>
    <row r="16766" spans="6:12" x14ac:dyDescent="0.3">
      <c r="F16766" s="1"/>
    </row>
    <row r="16767" spans="6:12" x14ac:dyDescent="0.3">
      <c r="F16767" s="1"/>
    </row>
    <row r="16768" spans="6:12" x14ac:dyDescent="0.3">
      <c r="F16768" s="1"/>
    </row>
    <row r="16769" spans="6:14" x14ac:dyDescent="0.3">
      <c r="F16769" s="1"/>
    </row>
    <row r="16770" spans="6:14" x14ac:dyDescent="0.3">
      <c r="F16770" s="1"/>
    </row>
    <row r="16771" spans="6:14" x14ac:dyDescent="0.3">
      <c r="F16771" s="1"/>
    </row>
    <row r="16772" spans="6:14" x14ac:dyDescent="0.3">
      <c r="F16772" s="1"/>
    </row>
    <row r="16773" spans="6:14" x14ac:dyDescent="0.3">
      <c r="F16773" s="1"/>
    </row>
    <row r="16774" spans="6:14" x14ac:dyDescent="0.3">
      <c r="F16774" s="1"/>
      <c r="L16774" s="1"/>
      <c r="N16774" s="1"/>
    </row>
    <row r="16775" spans="6:14" x14ac:dyDescent="0.3">
      <c r="F16775" s="1"/>
    </row>
    <row r="16776" spans="6:14" x14ac:dyDescent="0.3">
      <c r="F16776" s="1"/>
    </row>
    <row r="16777" spans="6:14" x14ac:dyDescent="0.3">
      <c r="F16777" s="1"/>
    </row>
    <row r="16778" spans="6:14" x14ac:dyDescent="0.3">
      <c r="F16778" s="1"/>
    </row>
    <row r="16779" spans="6:14" x14ac:dyDescent="0.3">
      <c r="F16779" s="1"/>
    </row>
    <row r="16780" spans="6:14" x14ac:dyDescent="0.3">
      <c r="F16780" s="1"/>
    </row>
    <row r="16781" spans="6:14" x14ac:dyDescent="0.3">
      <c r="F16781" s="1"/>
    </row>
    <row r="16782" spans="6:14" x14ac:dyDescent="0.3">
      <c r="F16782" s="1"/>
      <c r="L16782" s="1"/>
    </row>
    <row r="16783" spans="6:14" x14ac:dyDescent="0.3">
      <c r="F16783" s="1"/>
    </row>
    <row r="16785" spans="6:15" x14ac:dyDescent="0.3">
      <c r="F16785" s="1"/>
    </row>
    <row r="16786" spans="6:15" x14ac:dyDescent="0.3">
      <c r="F16786" s="1"/>
    </row>
    <row r="16787" spans="6:15" x14ac:dyDescent="0.3">
      <c r="F16787" s="1"/>
    </row>
    <row r="16789" spans="6:15" x14ac:dyDescent="0.3">
      <c r="F16789" s="1"/>
    </row>
    <row r="16790" spans="6:15" x14ac:dyDescent="0.3">
      <c r="F16790" s="1"/>
    </row>
    <row r="16792" spans="6:15" x14ac:dyDescent="0.3">
      <c r="F16792" s="1"/>
    </row>
    <row r="16793" spans="6:15" x14ac:dyDescent="0.3">
      <c r="F16793" s="1"/>
    </row>
    <row r="16794" spans="6:15" x14ac:dyDescent="0.3">
      <c r="F16794" s="1"/>
      <c r="L16794" s="1"/>
      <c r="N16794" s="1"/>
      <c r="O16794" s="1"/>
    </row>
    <row r="16795" spans="6:15" x14ac:dyDescent="0.3">
      <c r="F16795" s="1"/>
    </row>
    <row r="16796" spans="6:15" x14ac:dyDescent="0.3">
      <c r="F16796" s="1"/>
    </row>
    <row r="16797" spans="6:15" x14ac:dyDescent="0.3">
      <c r="F16797" s="1"/>
    </row>
    <row r="16798" spans="6:15" x14ac:dyDescent="0.3">
      <c r="F16798" s="1"/>
    </row>
    <row r="16800" spans="6:15" x14ac:dyDescent="0.3">
      <c r="F16800" s="1"/>
    </row>
    <row r="16801" spans="6:13" x14ac:dyDescent="0.3">
      <c r="F16801" s="1"/>
    </row>
    <row r="16802" spans="6:13" x14ac:dyDescent="0.3">
      <c r="F16802" s="1"/>
    </row>
    <row r="16803" spans="6:13" x14ac:dyDescent="0.3">
      <c r="F16803" s="1"/>
    </row>
    <row r="16804" spans="6:13" x14ac:dyDescent="0.3">
      <c r="F16804" s="1"/>
    </row>
    <row r="16806" spans="6:13" x14ac:dyDescent="0.3">
      <c r="F16806" s="1"/>
    </row>
    <row r="16807" spans="6:13" x14ac:dyDescent="0.3">
      <c r="F16807" s="1"/>
    </row>
    <row r="16808" spans="6:13" x14ac:dyDescent="0.3">
      <c r="F16808" s="1"/>
      <c r="M16808" s="1"/>
    </row>
    <row r="16809" spans="6:13" x14ac:dyDescent="0.3">
      <c r="F16809" s="1"/>
    </row>
    <row r="16811" spans="6:13" x14ac:dyDescent="0.3">
      <c r="F16811" s="1"/>
    </row>
    <row r="16812" spans="6:13" x14ac:dyDescent="0.3">
      <c r="F16812" s="1"/>
    </row>
    <row r="16813" spans="6:13" x14ac:dyDescent="0.3">
      <c r="F16813" s="1"/>
    </row>
    <row r="16814" spans="6:13" x14ac:dyDescent="0.3">
      <c r="F16814" s="1"/>
    </row>
    <row r="16816" spans="6:13" x14ac:dyDescent="0.3">
      <c r="F16816" s="1"/>
    </row>
    <row r="16817" spans="6:6" x14ac:dyDescent="0.3">
      <c r="F16817" s="1"/>
    </row>
    <row r="16818" spans="6:6" x14ac:dyDescent="0.3">
      <c r="F16818" s="1"/>
    </row>
    <row r="16819" spans="6:6" x14ac:dyDescent="0.3">
      <c r="F16819" s="1"/>
    </row>
    <row r="16820" spans="6:6" x14ac:dyDescent="0.3">
      <c r="F16820" s="1"/>
    </row>
    <row r="16821" spans="6:6" x14ac:dyDescent="0.3">
      <c r="F16821" s="1"/>
    </row>
    <row r="16822" spans="6:6" x14ac:dyDescent="0.3">
      <c r="F16822" s="1"/>
    </row>
    <row r="16823" spans="6:6" x14ac:dyDescent="0.3">
      <c r="F16823" s="1"/>
    </row>
    <row r="16824" spans="6:6" x14ac:dyDescent="0.3">
      <c r="F16824" s="1"/>
    </row>
    <row r="16825" spans="6:6" x14ac:dyDescent="0.3">
      <c r="F16825" s="1"/>
    </row>
    <row r="16826" spans="6:6" x14ac:dyDescent="0.3">
      <c r="F16826" s="1"/>
    </row>
    <row r="16827" spans="6:6" x14ac:dyDescent="0.3">
      <c r="F16827" s="1"/>
    </row>
    <row r="16828" spans="6:6" x14ac:dyDescent="0.3">
      <c r="F16828" s="1"/>
    </row>
    <row r="16829" spans="6:6" x14ac:dyDescent="0.3">
      <c r="F16829" s="1"/>
    </row>
    <row r="16830" spans="6:6" x14ac:dyDescent="0.3">
      <c r="F16830" s="1"/>
    </row>
    <row r="16831" spans="6:6" x14ac:dyDescent="0.3">
      <c r="F16831" s="1"/>
    </row>
    <row r="16832" spans="6:6" x14ac:dyDescent="0.3">
      <c r="F16832" s="1"/>
    </row>
    <row r="16833" spans="6:13" x14ac:dyDescent="0.3">
      <c r="F16833" s="1"/>
    </row>
    <row r="16834" spans="6:13" x14ac:dyDescent="0.3">
      <c r="F16834" s="1"/>
    </row>
    <row r="16835" spans="6:13" x14ac:dyDescent="0.3">
      <c r="F16835" s="1"/>
    </row>
    <row r="16836" spans="6:13" x14ac:dyDescent="0.3">
      <c r="F16836" s="1"/>
    </row>
    <row r="16837" spans="6:13" x14ac:dyDescent="0.3">
      <c r="F16837" s="1"/>
    </row>
    <row r="16838" spans="6:13" x14ac:dyDescent="0.3">
      <c r="F16838" s="1"/>
    </row>
    <row r="16839" spans="6:13" x14ac:dyDescent="0.3">
      <c r="F16839" s="1"/>
    </row>
    <row r="16840" spans="6:13" x14ac:dyDescent="0.3">
      <c r="F16840" s="1"/>
    </row>
    <row r="16842" spans="6:13" x14ac:dyDescent="0.3">
      <c r="F16842" s="1"/>
    </row>
    <row r="16844" spans="6:13" x14ac:dyDescent="0.3">
      <c r="F16844" s="1"/>
      <c r="L16844" s="1"/>
    </row>
    <row r="16845" spans="6:13" x14ac:dyDescent="0.3">
      <c r="M16845" s="1"/>
    </row>
    <row r="16846" spans="6:13" x14ac:dyDescent="0.3">
      <c r="F16846" s="1"/>
    </row>
    <row r="16847" spans="6:13" x14ac:dyDescent="0.3">
      <c r="F16847" s="1"/>
    </row>
    <row r="16848" spans="6:13" x14ac:dyDescent="0.3">
      <c r="F16848" s="1"/>
    </row>
    <row r="16849" spans="6:6" x14ac:dyDescent="0.3">
      <c r="F16849" s="1"/>
    </row>
    <row r="16850" spans="6:6" x14ac:dyDescent="0.3">
      <c r="F16850" s="1"/>
    </row>
    <row r="16851" spans="6:6" x14ac:dyDescent="0.3">
      <c r="F16851" s="1"/>
    </row>
    <row r="16852" spans="6:6" x14ac:dyDescent="0.3">
      <c r="F16852" s="1"/>
    </row>
    <row r="16853" spans="6:6" x14ac:dyDescent="0.3">
      <c r="F16853" s="1"/>
    </row>
    <row r="16855" spans="6:6" x14ac:dyDescent="0.3">
      <c r="F16855" s="1"/>
    </row>
    <row r="16856" spans="6:6" x14ac:dyDescent="0.3">
      <c r="F16856" s="1"/>
    </row>
    <row r="16857" spans="6:6" x14ac:dyDescent="0.3">
      <c r="F16857" s="1"/>
    </row>
    <row r="16858" spans="6:6" x14ac:dyDescent="0.3">
      <c r="F16858" s="1"/>
    </row>
    <row r="16859" spans="6:6" x14ac:dyDescent="0.3">
      <c r="F16859" s="1"/>
    </row>
    <row r="16862" spans="6:6" x14ac:dyDescent="0.3">
      <c r="F16862" s="1"/>
    </row>
    <row r="16863" spans="6:6" x14ac:dyDescent="0.3">
      <c r="F16863" s="1"/>
    </row>
    <row r="16864" spans="6:6" x14ac:dyDescent="0.3">
      <c r="F16864" s="1"/>
    </row>
    <row r="16865" spans="6:14" x14ac:dyDescent="0.3">
      <c r="F16865" s="1"/>
    </row>
    <row r="16866" spans="6:14" x14ac:dyDescent="0.3">
      <c r="F16866" s="1"/>
    </row>
    <row r="16867" spans="6:14" x14ac:dyDescent="0.3">
      <c r="F16867" s="1"/>
    </row>
    <row r="16868" spans="6:14" x14ac:dyDescent="0.3">
      <c r="F16868" s="1"/>
    </row>
    <row r="16869" spans="6:14" x14ac:dyDescent="0.3">
      <c r="F16869" s="1"/>
    </row>
    <row r="16870" spans="6:14" x14ac:dyDescent="0.3">
      <c r="F16870" s="1"/>
    </row>
    <row r="16871" spans="6:14" x14ac:dyDescent="0.3">
      <c r="F16871" s="1"/>
    </row>
    <row r="16872" spans="6:14" x14ac:dyDescent="0.3">
      <c r="F16872" s="1"/>
    </row>
    <row r="16873" spans="6:14" x14ac:dyDescent="0.3">
      <c r="F16873" s="1"/>
    </row>
    <row r="16874" spans="6:14" x14ac:dyDescent="0.3">
      <c r="M16874" s="1"/>
      <c r="N16874" s="1"/>
    </row>
    <row r="16875" spans="6:14" x14ac:dyDescent="0.3">
      <c r="F16875" s="1"/>
    </row>
    <row r="16876" spans="6:14" x14ac:dyDescent="0.3">
      <c r="F16876" s="1"/>
    </row>
    <row r="16877" spans="6:14" x14ac:dyDescent="0.3">
      <c r="F16877" s="1"/>
      <c r="N16877" s="1"/>
    </row>
    <row r="16878" spans="6:14" x14ac:dyDescent="0.3">
      <c r="F16878" s="1"/>
    </row>
    <row r="16879" spans="6:14" x14ac:dyDescent="0.3">
      <c r="F16879" s="1"/>
    </row>
    <row r="16880" spans="6:14" x14ac:dyDescent="0.3">
      <c r="F16880" s="1"/>
    </row>
    <row r="16881" spans="6:15" x14ac:dyDescent="0.3">
      <c r="F16881" s="1"/>
    </row>
    <row r="16882" spans="6:15" x14ac:dyDescent="0.3">
      <c r="F16882" s="1"/>
    </row>
    <row r="16883" spans="6:15" x14ac:dyDescent="0.3">
      <c r="F16883" s="1"/>
    </row>
    <row r="16884" spans="6:15" x14ac:dyDescent="0.3">
      <c r="F16884" s="1"/>
    </row>
    <row r="16885" spans="6:15" x14ac:dyDescent="0.3">
      <c r="F16885" s="1"/>
    </row>
    <row r="16886" spans="6:15" x14ac:dyDescent="0.3">
      <c r="F16886" s="1"/>
      <c r="L16886" s="1"/>
      <c r="M16886" s="1"/>
      <c r="N16886" s="1"/>
    </row>
    <row r="16887" spans="6:15" x14ac:dyDescent="0.3">
      <c r="F16887" s="1"/>
    </row>
    <row r="16889" spans="6:15" x14ac:dyDescent="0.3">
      <c r="F16889" s="1"/>
      <c r="N16889" s="1"/>
      <c r="O16889" s="1"/>
    </row>
    <row r="16890" spans="6:15" x14ac:dyDescent="0.3">
      <c r="F16890" s="1"/>
      <c r="L16890" s="1"/>
    </row>
    <row r="16891" spans="6:15" x14ac:dyDescent="0.3">
      <c r="F16891" s="1"/>
    </row>
    <row r="16893" spans="6:15" x14ac:dyDescent="0.3">
      <c r="F16893" s="1"/>
    </row>
    <row r="16894" spans="6:15" x14ac:dyDescent="0.3">
      <c r="F16894" s="1"/>
    </row>
    <row r="16895" spans="6:15" x14ac:dyDescent="0.3">
      <c r="F16895" s="1"/>
    </row>
    <row r="16896" spans="6:15" x14ac:dyDescent="0.3">
      <c r="F16896" s="1"/>
      <c r="N16896" s="1"/>
    </row>
    <row r="16897" spans="6:13" x14ac:dyDescent="0.3">
      <c r="F16897" s="1"/>
    </row>
    <row r="16898" spans="6:13" x14ac:dyDescent="0.3">
      <c r="F16898" s="1"/>
    </row>
    <row r="16899" spans="6:13" x14ac:dyDescent="0.3">
      <c r="F16899" s="1"/>
    </row>
    <row r="16900" spans="6:13" x14ac:dyDescent="0.3">
      <c r="F16900" s="1"/>
    </row>
    <row r="16901" spans="6:13" x14ac:dyDescent="0.3">
      <c r="F16901" s="1"/>
    </row>
    <row r="16902" spans="6:13" x14ac:dyDescent="0.3">
      <c r="F16902" s="1"/>
    </row>
    <row r="16903" spans="6:13" x14ac:dyDescent="0.3">
      <c r="F16903" s="1"/>
    </row>
    <row r="16904" spans="6:13" x14ac:dyDescent="0.3">
      <c r="F16904" s="1"/>
    </row>
    <row r="16905" spans="6:13" x14ac:dyDescent="0.3">
      <c r="F16905" s="1"/>
    </row>
    <row r="16906" spans="6:13" x14ac:dyDescent="0.3">
      <c r="F16906" s="1"/>
    </row>
    <row r="16907" spans="6:13" x14ac:dyDescent="0.3">
      <c r="M16907" s="1"/>
    </row>
    <row r="16909" spans="6:13" x14ac:dyDescent="0.3">
      <c r="F16909" s="1"/>
    </row>
    <row r="16910" spans="6:13" x14ac:dyDescent="0.3">
      <c r="L16910" s="1"/>
      <c r="M16910" s="1"/>
    </row>
    <row r="16911" spans="6:13" x14ac:dyDescent="0.3">
      <c r="F16911" s="1"/>
    </row>
    <row r="16912" spans="6:13" x14ac:dyDescent="0.3">
      <c r="F16912" s="1"/>
    </row>
    <row r="16915" spans="6:15" x14ac:dyDescent="0.3">
      <c r="F16915" s="1"/>
    </row>
    <row r="16916" spans="6:15" x14ac:dyDescent="0.3">
      <c r="N16916" s="1"/>
      <c r="O16916" s="1"/>
    </row>
    <row r="16918" spans="6:15" x14ac:dyDescent="0.3">
      <c r="F16918" s="1"/>
    </row>
    <row r="16919" spans="6:15" x14ac:dyDescent="0.3">
      <c r="F16919" s="1"/>
    </row>
    <row r="16920" spans="6:15" x14ac:dyDescent="0.3">
      <c r="F16920" s="1"/>
    </row>
    <row r="16921" spans="6:15" x14ac:dyDescent="0.3">
      <c r="F16921" s="1"/>
    </row>
    <row r="16922" spans="6:15" x14ac:dyDescent="0.3">
      <c r="F16922" s="1"/>
    </row>
    <row r="16923" spans="6:15" x14ac:dyDescent="0.3">
      <c r="F16923" s="1"/>
    </row>
    <row r="16924" spans="6:15" x14ac:dyDescent="0.3">
      <c r="F16924" s="1"/>
    </row>
    <row r="16925" spans="6:15" x14ac:dyDescent="0.3">
      <c r="F16925" s="1"/>
      <c r="O16925" s="1"/>
    </row>
    <row r="16926" spans="6:15" x14ac:dyDescent="0.3">
      <c r="F16926" s="1"/>
    </row>
    <row r="16927" spans="6:15" x14ac:dyDescent="0.3">
      <c r="F16927" s="1"/>
      <c r="M16927" s="1"/>
    </row>
    <row r="16928" spans="6:15" x14ac:dyDescent="0.3">
      <c r="F16928" s="1"/>
    </row>
    <row r="16929" spans="6:15" x14ac:dyDescent="0.3">
      <c r="F16929" s="1"/>
    </row>
    <row r="16930" spans="6:15" x14ac:dyDescent="0.3">
      <c r="F16930" s="1"/>
    </row>
    <row r="16931" spans="6:15" x14ac:dyDescent="0.3">
      <c r="F16931" s="1"/>
    </row>
    <row r="16932" spans="6:15" x14ac:dyDescent="0.3">
      <c r="L16932" s="1"/>
      <c r="M16932" s="1"/>
    </row>
    <row r="16933" spans="6:15" x14ac:dyDescent="0.3">
      <c r="F16933" s="1"/>
    </row>
    <row r="16934" spans="6:15" x14ac:dyDescent="0.3">
      <c r="F16934" s="1"/>
    </row>
    <row r="16935" spans="6:15" x14ac:dyDescent="0.3">
      <c r="F16935" s="1"/>
    </row>
    <row r="16936" spans="6:15" x14ac:dyDescent="0.3">
      <c r="F16936" s="1"/>
    </row>
    <row r="16938" spans="6:15" x14ac:dyDescent="0.3">
      <c r="F16938" s="1"/>
    </row>
    <row r="16939" spans="6:15" x14ac:dyDescent="0.3">
      <c r="F16939" s="1"/>
    </row>
    <row r="16940" spans="6:15" x14ac:dyDescent="0.3">
      <c r="F16940" s="1"/>
    </row>
    <row r="16941" spans="6:15" x14ac:dyDescent="0.3">
      <c r="F16941" s="1"/>
      <c r="M16941" s="1"/>
      <c r="O16941" s="1"/>
    </row>
    <row r="16942" spans="6:15" x14ac:dyDescent="0.3">
      <c r="F16942" s="1"/>
    </row>
    <row r="16943" spans="6:15" x14ac:dyDescent="0.3">
      <c r="F16943" s="1"/>
    </row>
    <row r="16944" spans="6:15" x14ac:dyDescent="0.3">
      <c r="F16944" s="1"/>
    </row>
    <row r="16945" spans="6:15" x14ac:dyDescent="0.3">
      <c r="F16945" s="1"/>
    </row>
    <row r="16946" spans="6:15" x14ac:dyDescent="0.3">
      <c r="F16946" s="1"/>
    </row>
    <row r="16947" spans="6:15" x14ac:dyDescent="0.3">
      <c r="F16947" s="1"/>
    </row>
    <row r="16948" spans="6:15" x14ac:dyDescent="0.3">
      <c r="F16948" s="1"/>
    </row>
    <row r="16949" spans="6:15" x14ac:dyDescent="0.3">
      <c r="F16949" s="1"/>
    </row>
    <row r="16950" spans="6:15" x14ac:dyDescent="0.3">
      <c r="F16950" s="1"/>
    </row>
    <row r="16951" spans="6:15" x14ac:dyDescent="0.3">
      <c r="M16951" s="1"/>
      <c r="N16951" s="1"/>
    </row>
    <row r="16953" spans="6:15" x14ac:dyDescent="0.3">
      <c r="F16953" s="1"/>
    </row>
    <row r="16955" spans="6:15" x14ac:dyDescent="0.3">
      <c r="F16955" s="1"/>
    </row>
    <row r="16956" spans="6:15" x14ac:dyDescent="0.3">
      <c r="L16956" s="1"/>
      <c r="M16956" s="1"/>
      <c r="O16956" s="1"/>
    </row>
    <row r="16957" spans="6:15" x14ac:dyDescent="0.3">
      <c r="F16957" s="1"/>
    </row>
    <row r="16958" spans="6:15" x14ac:dyDescent="0.3">
      <c r="F16958" s="1"/>
      <c r="L16958" s="1"/>
      <c r="M16958" s="1"/>
    </row>
    <row r="16959" spans="6:15" x14ac:dyDescent="0.3">
      <c r="F16959" s="1"/>
    </row>
    <row r="16960" spans="6:15" x14ac:dyDescent="0.3">
      <c r="F16960" s="1"/>
    </row>
    <row r="16962" spans="6:15" x14ac:dyDescent="0.3">
      <c r="F16962" s="1"/>
    </row>
    <row r="16963" spans="6:15" x14ac:dyDescent="0.3">
      <c r="F16963" s="1"/>
      <c r="M16963" s="1"/>
    </row>
    <row r="16964" spans="6:15" x14ac:dyDescent="0.3">
      <c r="F16964" s="1"/>
    </row>
    <row r="16965" spans="6:15" x14ac:dyDescent="0.3">
      <c r="F16965" s="1"/>
    </row>
    <row r="16966" spans="6:15" x14ac:dyDescent="0.3">
      <c r="O16966" s="1"/>
    </row>
    <row r="16967" spans="6:15" x14ac:dyDescent="0.3">
      <c r="F16967" s="1"/>
    </row>
    <row r="16968" spans="6:15" x14ac:dyDescent="0.3">
      <c r="F16968" s="1"/>
    </row>
    <row r="16969" spans="6:15" x14ac:dyDescent="0.3">
      <c r="F16969" s="1"/>
    </row>
    <row r="16970" spans="6:15" x14ac:dyDescent="0.3">
      <c r="F16970" s="1"/>
    </row>
    <row r="16971" spans="6:15" x14ac:dyDescent="0.3">
      <c r="F16971" s="1"/>
    </row>
    <row r="16972" spans="6:15" x14ac:dyDescent="0.3">
      <c r="F16972" s="1"/>
      <c r="N16972" s="1"/>
    </row>
    <row r="16973" spans="6:15" x14ac:dyDescent="0.3">
      <c r="O16973" s="1"/>
    </row>
    <row r="16974" spans="6:15" x14ac:dyDescent="0.3">
      <c r="F16974" s="1"/>
    </row>
    <row r="16975" spans="6:15" x14ac:dyDescent="0.3">
      <c r="F16975" s="1"/>
    </row>
    <row r="16976" spans="6:15" x14ac:dyDescent="0.3">
      <c r="F16976" s="1"/>
    </row>
    <row r="16977" spans="6:6" x14ac:dyDescent="0.3">
      <c r="F16977" s="1"/>
    </row>
    <row r="16978" spans="6:6" x14ac:dyDescent="0.3">
      <c r="F16978" s="1"/>
    </row>
    <row r="16979" spans="6:6" x14ac:dyDescent="0.3">
      <c r="F16979" s="1"/>
    </row>
    <row r="16980" spans="6:6" x14ac:dyDescent="0.3">
      <c r="F16980" s="1"/>
    </row>
    <row r="16981" spans="6:6" x14ac:dyDescent="0.3">
      <c r="F16981" s="1"/>
    </row>
    <row r="16982" spans="6:6" x14ac:dyDescent="0.3">
      <c r="F16982" s="1"/>
    </row>
    <row r="16983" spans="6:6" x14ac:dyDescent="0.3">
      <c r="F16983" s="1"/>
    </row>
    <row r="16984" spans="6:6" x14ac:dyDescent="0.3">
      <c r="F16984" s="1"/>
    </row>
    <row r="16985" spans="6:6" x14ac:dyDescent="0.3">
      <c r="F16985" s="1"/>
    </row>
    <row r="16986" spans="6:6" x14ac:dyDescent="0.3">
      <c r="F16986" s="1"/>
    </row>
    <row r="16987" spans="6:6" x14ac:dyDescent="0.3">
      <c r="F16987" s="1"/>
    </row>
    <row r="16989" spans="6:6" x14ac:dyDescent="0.3">
      <c r="F16989" s="1"/>
    </row>
    <row r="16990" spans="6:6" x14ac:dyDescent="0.3">
      <c r="F16990" s="1"/>
    </row>
    <row r="16991" spans="6:6" x14ac:dyDescent="0.3">
      <c r="F16991" s="1"/>
    </row>
    <row r="16992" spans="6:6" x14ac:dyDescent="0.3">
      <c r="F16992" s="1"/>
    </row>
    <row r="16994" spans="6:15" x14ac:dyDescent="0.3">
      <c r="F16994" s="1"/>
    </row>
    <row r="16995" spans="6:15" x14ac:dyDescent="0.3">
      <c r="F16995" s="1"/>
      <c r="L16995" s="1"/>
    </row>
    <row r="16996" spans="6:15" x14ac:dyDescent="0.3">
      <c r="F16996" s="1"/>
    </row>
    <row r="16997" spans="6:15" x14ac:dyDescent="0.3">
      <c r="F16997" s="1"/>
    </row>
    <row r="16998" spans="6:15" x14ac:dyDescent="0.3">
      <c r="F16998" s="1"/>
    </row>
    <row r="16999" spans="6:15" x14ac:dyDescent="0.3">
      <c r="F16999" s="1"/>
    </row>
    <row r="17000" spans="6:15" x14ac:dyDescent="0.3">
      <c r="F17000" s="1"/>
    </row>
    <row r="17001" spans="6:15" x14ac:dyDescent="0.3">
      <c r="L17001" s="1"/>
      <c r="M17001" s="1"/>
      <c r="O17001" s="1"/>
    </row>
    <row r="17002" spans="6:15" x14ac:dyDescent="0.3">
      <c r="F17002" s="1"/>
    </row>
    <row r="17003" spans="6:15" x14ac:dyDescent="0.3">
      <c r="F17003" s="1"/>
    </row>
    <row r="17004" spans="6:15" x14ac:dyDescent="0.3">
      <c r="F17004" s="1"/>
    </row>
    <row r="17005" spans="6:15" x14ac:dyDescent="0.3">
      <c r="F17005" s="1"/>
    </row>
    <row r="17006" spans="6:15" x14ac:dyDescent="0.3">
      <c r="F17006" s="1"/>
    </row>
    <row r="17007" spans="6:15" x14ac:dyDescent="0.3">
      <c r="F17007" s="1"/>
    </row>
    <row r="17008" spans="6:15" x14ac:dyDescent="0.3">
      <c r="F17008" s="1"/>
    </row>
    <row r="17009" spans="6:15" x14ac:dyDescent="0.3">
      <c r="M17009" s="1"/>
      <c r="N17009" s="1"/>
      <c r="O17009" s="1"/>
    </row>
    <row r="17010" spans="6:15" x14ac:dyDescent="0.3">
      <c r="F17010" s="1"/>
    </row>
    <row r="17011" spans="6:15" x14ac:dyDescent="0.3">
      <c r="F17011" s="1"/>
    </row>
    <row r="17012" spans="6:15" x14ac:dyDescent="0.3">
      <c r="F17012" s="1"/>
    </row>
    <row r="17014" spans="6:15" x14ac:dyDescent="0.3">
      <c r="F17014" s="1"/>
    </row>
    <row r="17015" spans="6:15" x14ac:dyDescent="0.3">
      <c r="F17015" s="1"/>
    </row>
    <row r="17016" spans="6:15" x14ac:dyDescent="0.3">
      <c r="F17016" s="1"/>
    </row>
    <row r="17017" spans="6:15" x14ac:dyDescent="0.3">
      <c r="F17017" s="1"/>
    </row>
    <row r="17018" spans="6:15" x14ac:dyDescent="0.3">
      <c r="F17018" s="1"/>
    </row>
    <row r="17019" spans="6:15" x14ac:dyDescent="0.3">
      <c r="F17019" s="1"/>
    </row>
    <row r="17020" spans="6:15" x14ac:dyDescent="0.3">
      <c r="F17020" s="1"/>
    </row>
    <row r="17021" spans="6:15" x14ac:dyDescent="0.3">
      <c r="F17021" s="1"/>
    </row>
    <row r="17022" spans="6:15" x14ac:dyDescent="0.3">
      <c r="F17022" s="1"/>
    </row>
    <row r="17023" spans="6:15" x14ac:dyDescent="0.3">
      <c r="F17023" s="1"/>
    </row>
    <row r="17024" spans="6:15" x14ac:dyDescent="0.3">
      <c r="F17024" s="1"/>
    </row>
    <row r="17026" spans="6:15" x14ac:dyDescent="0.3">
      <c r="F17026" s="1"/>
    </row>
    <row r="17027" spans="6:15" x14ac:dyDescent="0.3">
      <c r="F17027" s="1"/>
    </row>
    <row r="17028" spans="6:15" x14ac:dyDescent="0.3">
      <c r="F17028" s="1"/>
      <c r="L17028" s="1"/>
      <c r="M17028" s="1"/>
      <c r="N17028" s="1"/>
    </row>
    <row r="17029" spans="6:15" x14ac:dyDescent="0.3">
      <c r="F17029" s="1"/>
    </row>
    <row r="17030" spans="6:15" x14ac:dyDescent="0.3">
      <c r="F17030" s="1"/>
    </row>
    <row r="17032" spans="6:15" x14ac:dyDescent="0.3">
      <c r="F17032" s="1"/>
    </row>
    <row r="17033" spans="6:15" x14ac:dyDescent="0.3">
      <c r="F17033" s="1"/>
    </row>
    <row r="17035" spans="6:15" x14ac:dyDescent="0.3">
      <c r="F17035" s="1"/>
      <c r="L17035" s="1"/>
      <c r="M17035" s="1"/>
      <c r="N17035" s="1"/>
      <c r="O17035" s="1"/>
    </row>
    <row r="17036" spans="6:15" x14ac:dyDescent="0.3">
      <c r="F17036" s="1"/>
    </row>
    <row r="17037" spans="6:15" x14ac:dyDescent="0.3">
      <c r="F17037" s="1"/>
    </row>
    <row r="17038" spans="6:15" x14ac:dyDescent="0.3">
      <c r="F17038" s="1"/>
    </row>
    <row r="17039" spans="6:15" x14ac:dyDescent="0.3">
      <c r="F17039" s="1"/>
      <c r="L17039" s="1"/>
      <c r="M17039" s="1"/>
      <c r="N17039" s="1"/>
      <c r="O17039" s="1"/>
    </row>
    <row r="17040" spans="6:15" x14ac:dyDescent="0.3">
      <c r="F17040" s="1"/>
    </row>
    <row r="17041" spans="6:6" x14ac:dyDescent="0.3">
      <c r="F17041" s="1"/>
    </row>
    <row r="17042" spans="6:6" x14ac:dyDescent="0.3">
      <c r="F17042" s="1"/>
    </row>
    <row r="17043" spans="6:6" x14ac:dyDescent="0.3">
      <c r="F17043" s="1"/>
    </row>
    <row r="17045" spans="6:6" x14ac:dyDescent="0.3">
      <c r="F17045" s="1"/>
    </row>
    <row r="17046" spans="6:6" x14ac:dyDescent="0.3">
      <c r="F17046" s="1"/>
    </row>
    <row r="17047" spans="6:6" x14ac:dyDescent="0.3">
      <c r="F17047" s="1"/>
    </row>
    <row r="17048" spans="6:6" x14ac:dyDescent="0.3">
      <c r="F17048" s="1"/>
    </row>
    <row r="17050" spans="6:6" x14ac:dyDescent="0.3">
      <c r="F17050" s="1"/>
    </row>
    <row r="17051" spans="6:6" x14ac:dyDescent="0.3">
      <c r="F17051" s="1"/>
    </row>
    <row r="17053" spans="6:6" x14ac:dyDescent="0.3">
      <c r="F17053" s="1"/>
    </row>
    <row r="17054" spans="6:6" x14ac:dyDescent="0.3">
      <c r="F17054" s="1"/>
    </row>
    <row r="17055" spans="6:6" x14ac:dyDescent="0.3">
      <c r="F17055" s="1"/>
    </row>
    <row r="17056" spans="6:6" x14ac:dyDescent="0.3">
      <c r="F17056" s="1"/>
    </row>
    <row r="17057" spans="6:12" x14ac:dyDescent="0.3">
      <c r="F17057" s="1"/>
    </row>
    <row r="17058" spans="6:12" x14ac:dyDescent="0.3">
      <c r="F17058" s="1"/>
    </row>
    <row r="17059" spans="6:12" x14ac:dyDescent="0.3">
      <c r="F17059" s="1"/>
    </row>
    <row r="17060" spans="6:12" x14ac:dyDescent="0.3">
      <c r="F17060" s="1"/>
    </row>
    <row r="17061" spans="6:12" x14ac:dyDescent="0.3">
      <c r="F17061" s="1"/>
    </row>
    <row r="17062" spans="6:12" x14ac:dyDescent="0.3">
      <c r="F17062" s="1"/>
    </row>
    <row r="17063" spans="6:12" x14ac:dyDescent="0.3">
      <c r="F17063" s="1"/>
    </row>
    <row r="17064" spans="6:12" x14ac:dyDescent="0.3">
      <c r="F17064" s="1"/>
    </row>
    <row r="17065" spans="6:12" x14ac:dyDescent="0.3">
      <c r="F17065" s="1"/>
      <c r="L17065" s="1"/>
    </row>
    <row r="17066" spans="6:12" x14ac:dyDescent="0.3">
      <c r="F17066" s="1"/>
    </row>
    <row r="17067" spans="6:12" x14ac:dyDescent="0.3">
      <c r="F17067" s="1"/>
    </row>
    <row r="17068" spans="6:12" x14ac:dyDescent="0.3">
      <c r="F17068" s="1"/>
    </row>
    <row r="17069" spans="6:12" x14ac:dyDescent="0.3">
      <c r="F17069" s="1"/>
    </row>
    <row r="17070" spans="6:12" x14ac:dyDescent="0.3">
      <c r="F17070" s="1"/>
    </row>
    <row r="17071" spans="6:12" x14ac:dyDescent="0.3">
      <c r="F17071" s="1"/>
    </row>
    <row r="17073" spans="6:14" x14ac:dyDescent="0.3">
      <c r="F17073" s="1"/>
    </row>
    <row r="17074" spans="6:14" x14ac:dyDescent="0.3">
      <c r="F17074" s="1"/>
    </row>
    <row r="17075" spans="6:14" x14ac:dyDescent="0.3">
      <c r="F17075" s="1"/>
    </row>
    <row r="17076" spans="6:14" x14ac:dyDescent="0.3">
      <c r="M17076" s="1"/>
      <c r="N17076" s="1"/>
    </row>
    <row r="17078" spans="6:14" x14ac:dyDescent="0.3">
      <c r="F17078" s="1"/>
    </row>
    <row r="17079" spans="6:14" x14ac:dyDescent="0.3">
      <c r="F17079" s="1"/>
    </row>
    <row r="17080" spans="6:14" x14ac:dyDescent="0.3">
      <c r="F17080" s="1"/>
    </row>
    <row r="17081" spans="6:14" x14ac:dyDescent="0.3">
      <c r="F17081" s="1"/>
    </row>
    <row r="17082" spans="6:14" x14ac:dyDescent="0.3">
      <c r="F17082" s="1"/>
    </row>
    <row r="17083" spans="6:14" x14ac:dyDescent="0.3">
      <c r="F17083" s="1"/>
    </row>
    <row r="17084" spans="6:14" x14ac:dyDescent="0.3">
      <c r="F17084" s="1"/>
    </row>
    <row r="17085" spans="6:14" x14ac:dyDescent="0.3">
      <c r="F17085" s="1"/>
    </row>
    <row r="17086" spans="6:14" x14ac:dyDescent="0.3">
      <c r="F17086" s="1"/>
    </row>
    <row r="17087" spans="6:14" x14ac:dyDescent="0.3">
      <c r="F17087" s="1"/>
    </row>
    <row r="17088" spans="6:14" x14ac:dyDescent="0.3">
      <c r="F17088" s="1"/>
    </row>
    <row r="17089" spans="6:14" x14ac:dyDescent="0.3">
      <c r="F17089" s="1"/>
      <c r="L17089" s="1"/>
    </row>
    <row r="17090" spans="6:14" x14ac:dyDescent="0.3">
      <c r="L17090" s="1"/>
      <c r="M17090" s="1"/>
      <c r="N17090" s="1"/>
    </row>
    <row r="17091" spans="6:14" x14ac:dyDescent="0.3">
      <c r="F17091" s="1"/>
    </row>
    <row r="17092" spans="6:14" x14ac:dyDescent="0.3">
      <c r="F17092" s="1"/>
    </row>
    <row r="17093" spans="6:14" x14ac:dyDescent="0.3">
      <c r="F17093" s="1"/>
      <c r="N17093" s="1"/>
    </row>
    <row r="17094" spans="6:14" x14ac:dyDescent="0.3">
      <c r="M17094" s="1"/>
      <c r="N17094" s="1"/>
    </row>
    <row r="17095" spans="6:14" x14ac:dyDescent="0.3">
      <c r="F17095" s="1"/>
    </row>
    <row r="17096" spans="6:14" x14ac:dyDescent="0.3">
      <c r="F17096" s="1"/>
      <c r="L17096" s="1"/>
    </row>
    <row r="17097" spans="6:14" x14ac:dyDescent="0.3">
      <c r="F17097" s="1"/>
    </row>
    <row r="17098" spans="6:14" x14ac:dyDescent="0.3">
      <c r="F17098" s="1"/>
    </row>
    <row r="17099" spans="6:14" x14ac:dyDescent="0.3">
      <c r="F17099" s="1"/>
    </row>
    <row r="17100" spans="6:14" x14ac:dyDescent="0.3">
      <c r="F17100" s="1"/>
    </row>
    <row r="17101" spans="6:14" x14ac:dyDescent="0.3">
      <c r="F17101" s="1"/>
      <c r="N17101" s="1"/>
    </row>
    <row r="17102" spans="6:14" x14ac:dyDescent="0.3">
      <c r="F17102" s="1"/>
    </row>
    <row r="17103" spans="6:14" x14ac:dyDescent="0.3">
      <c r="L17103" s="1"/>
      <c r="M17103" s="1"/>
    </row>
    <row r="17104" spans="6:14" x14ac:dyDescent="0.3">
      <c r="F17104" s="1"/>
    </row>
    <row r="17105" spans="6:13" x14ac:dyDescent="0.3">
      <c r="F17105" s="1"/>
    </row>
    <row r="17106" spans="6:13" x14ac:dyDescent="0.3">
      <c r="M17106" s="1"/>
    </row>
    <row r="17107" spans="6:13" x14ac:dyDescent="0.3">
      <c r="F17107" s="1"/>
    </row>
    <row r="17108" spans="6:13" x14ac:dyDescent="0.3">
      <c r="F17108" s="1"/>
    </row>
    <row r="17109" spans="6:13" x14ac:dyDescent="0.3">
      <c r="F17109" s="1"/>
    </row>
    <row r="17110" spans="6:13" x14ac:dyDescent="0.3">
      <c r="F17110" s="1"/>
    </row>
    <row r="17111" spans="6:13" x14ac:dyDescent="0.3">
      <c r="F17111" s="1"/>
    </row>
    <row r="17113" spans="6:13" x14ac:dyDescent="0.3">
      <c r="F17113" s="1"/>
    </row>
    <row r="17114" spans="6:13" x14ac:dyDescent="0.3">
      <c r="F17114" s="1"/>
    </row>
    <row r="17115" spans="6:13" x14ac:dyDescent="0.3">
      <c r="F17115" s="1"/>
    </row>
    <row r="17116" spans="6:13" x14ac:dyDescent="0.3">
      <c r="F17116" s="1"/>
    </row>
    <row r="17117" spans="6:13" x14ac:dyDescent="0.3">
      <c r="F17117" s="1"/>
    </row>
    <row r="17118" spans="6:13" x14ac:dyDescent="0.3">
      <c r="F17118" s="1"/>
    </row>
    <row r="17119" spans="6:13" x14ac:dyDescent="0.3">
      <c r="F17119" s="1"/>
      <c r="M17119" s="1"/>
    </row>
    <row r="17121" spans="6:15" x14ac:dyDescent="0.3">
      <c r="F17121" s="1"/>
    </row>
    <row r="17123" spans="6:15" x14ac:dyDescent="0.3">
      <c r="F17123" s="1"/>
    </row>
    <row r="17124" spans="6:15" x14ac:dyDescent="0.3">
      <c r="F17124" s="1"/>
    </row>
    <row r="17125" spans="6:15" x14ac:dyDescent="0.3">
      <c r="F17125" s="1"/>
    </row>
    <row r="17126" spans="6:15" x14ac:dyDescent="0.3">
      <c r="F17126" s="1"/>
      <c r="M17126" s="1"/>
      <c r="N17126" s="1"/>
      <c r="O17126" s="1"/>
    </row>
    <row r="17128" spans="6:15" x14ac:dyDescent="0.3">
      <c r="F17128" s="1"/>
    </row>
    <row r="17129" spans="6:15" x14ac:dyDescent="0.3">
      <c r="F17129" s="1"/>
    </row>
    <row r="17130" spans="6:15" x14ac:dyDescent="0.3">
      <c r="F17130" s="1"/>
    </row>
    <row r="17132" spans="6:15" x14ac:dyDescent="0.3">
      <c r="F17132" s="1"/>
    </row>
    <row r="17133" spans="6:15" x14ac:dyDescent="0.3">
      <c r="L17133" s="1"/>
      <c r="M17133" s="1"/>
    </row>
    <row r="17134" spans="6:15" x14ac:dyDescent="0.3">
      <c r="F17134" s="1"/>
      <c r="L17134" s="1"/>
      <c r="M17134" s="1"/>
      <c r="N17134" s="1"/>
      <c r="O17134" s="1"/>
    </row>
    <row r="17135" spans="6:15" x14ac:dyDescent="0.3">
      <c r="F17135" s="1"/>
    </row>
    <row r="17136" spans="6:15" x14ac:dyDescent="0.3">
      <c r="F17136" s="1"/>
    </row>
    <row r="17137" spans="6:15" x14ac:dyDescent="0.3">
      <c r="F17137" s="1"/>
    </row>
    <row r="17139" spans="6:15" x14ac:dyDescent="0.3">
      <c r="F17139" s="1"/>
    </row>
    <row r="17140" spans="6:15" x14ac:dyDescent="0.3">
      <c r="F17140" s="1"/>
    </row>
    <row r="17141" spans="6:15" x14ac:dyDescent="0.3">
      <c r="L17141" s="1"/>
      <c r="O17141" s="1"/>
    </row>
    <row r="17142" spans="6:15" x14ac:dyDescent="0.3">
      <c r="F17142" s="1"/>
    </row>
    <row r="17144" spans="6:15" x14ac:dyDescent="0.3">
      <c r="F17144" s="1"/>
    </row>
    <row r="17145" spans="6:15" x14ac:dyDescent="0.3">
      <c r="F17145" s="1"/>
    </row>
    <row r="17146" spans="6:15" x14ac:dyDescent="0.3">
      <c r="F17146" s="1"/>
    </row>
    <row r="17147" spans="6:15" x14ac:dyDescent="0.3">
      <c r="F17147" s="1"/>
    </row>
    <row r="17148" spans="6:15" x14ac:dyDescent="0.3">
      <c r="F17148" s="1"/>
    </row>
    <row r="17150" spans="6:15" x14ac:dyDescent="0.3">
      <c r="M17150" s="1"/>
    </row>
    <row r="17151" spans="6:15" x14ac:dyDescent="0.3">
      <c r="N17151" s="1"/>
    </row>
    <row r="17152" spans="6:15" x14ac:dyDescent="0.3">
      <c r="F17152" s="1"/>
    </row>
    <row r="17153" spans="6:13" x14ac:dyDescent="0.3">
      <c r="F17153" s="1"/>
    </row>
    <row r="17154" spans="6:13" x14ac:dyDescent="0.3">
      <c r="F17154" s="1"/>
    </row>
    <row r="17155" spans="6:13" x14ac:dyDescent="0.3">
      <c r="F17155" s="1"/>
    </row>
    <row r="17156" spans="6:13" x14ac:dyDescent="0.3">
      <c r="F17156" s="1"/>
    </row>
    <row r="17157" spans="6:13" x14ac:dyDescent="0.3">
      <c r="F17157" s="1"/>
    </row>
    <row r="17158" spans="6:13" x14ac:dyDescent="0.3">
      <c r="F17158" s="1"/>
    </row>
    <row r="17159" spans="6:13" x14ac:dyDescent="0.3">
      <c r="F17159" s="1"/>
    </row>
    <row r="17160" spans="6:13" x14ac:dyDescent="0.3">
      <c r="F17160" s="1"/>
    </row>
    <row r="17161" spans="6:13" x14ac:dyDescent="0.3">
      <c r="F17161" s="1"/>
    </row>
    <row r="17162" spans="6:13" x14ac:dyDescent="0.3">
      <c r="F17162" s="1"/>
    </row>
    <row r="17163" spans="6:13" x14ac:dyDescent="0.3">
      <c r="F17163" s="1"/>
      <c r="L17163" s="1"/>
    </row>
    <row r="17164" spans="6:13" x14ac:dyDescent="0.3">
      <c r="F17164" s="1"/>
      <c r="L17164" s="1"/>
    </row>
    <row r="17165" spans="6:13" x14ac:dyDescent="0.3">
      <c r="F17165" s="1"/>
    </row>
    <row r="17166" spans="6:13" x14ac:dyDescent="0.3">
      <c r="M17166" s="1"/>
    </row>
    <row r="17167" spans="6:13" x14ac:dyDescent="0.3">
      <c r="F17167" s="1"/>
    </row>
    <row r="17168" spans="6:13" x14ac:dyDescent="0.3">
      <c r="F17168" s="1"/>
    </row>
    <row r="17171" spans="6:15" x14ac:dyDescent="0.3">
      <c r="F17171" s="1"/>
    </row>
    <row r="17172" spans="6:15" x14ac:dyDescent="0.3">
      <c r="F17172" s="1"/>
    </row>
    <row r="17173" spans="6:15" x14ac:dyDescent="0.3">
      <c r="F17173" s="1"/>
    </row>
    <row r="17174" spans="6:15" x14ac:dyDescent="0.3">
      <c r="F17174" s="1"/>
    </row>
    <row r="17175" spans="6:15" x14ac:dyDescent="0.3">
      <c r="F17175" s="1"/>
    </row>
    <row r="17176" spans="6:15" x14ac:dyDescent="0.3">
      <c r="L17176" s="1"/>
    </row>
    <row r="17177" spans="6:15" x14ac:dyDescent="0.3">
      <c r="F17177" s="1"/>
      <c r="L17177" s="1"/>
      <c r="N17177" s="1"/>
      <c r="O17177" s="1"/>
    </row>
    <row r="17178" spans="6:15" x14ac:dyDescent="0.3">
      <c r="F17178" s="1"/>
    </row>
    <row r="17179" spans="6:15" x14ac:dyDescent="0.3">
      <c r="F17179" s="1"/>
      <c r="L17179" s="1"/>
    </row>
    <row r="17180" spans="6:15" x14ac:dyDescent="0.3">
      <c r="F17180" s="1"/>
    </row>
    <row r="17181" spans="6:15" x14ac:dyDescent="0.3">
      <c r="F17181" s="1"/>
    </row>
    <row r="17183" spans="6:15" x14ac:dyDescent="0.3">
      <c r="F17183" s="1"/>
    </row>
    <row r="17184" spans="6:15" x14ac:dyDescent="0.3">
      <c r="M17184" s="1"/>
    </row>
    <row r="17185" spans="6:6" x14ac:dyDescent="0.3">
      <c r="F17185" s="1"/>
    </row>
    <row r="17186" spans="6:6" x14ac:dyDescent="0.3">
      <c r="F17186" s="1"/>
    </row>
    <row r="17188" spans="6:6" x14ac:dyDescent="0.3">
      <c r="F17188" s="1"/>
    </row>
    <row r="17190" spans="6:6" x14ac:dyDescent="0.3">
      <c r="F17190" s="1"/>
    </row>
    <row r="17191" spans="6:6" x14ac:dyDescent="0.3">
      <c r="F17191" s="1"/>
    </row>
    <row r="17192" spans="6:6" x14ac:dyDescent="0.3">
      <c r="F17192" s="1"/>
    </row>
    <row r="17193" spans="6:6" x14ac:dyDescent="0.3">
      <c r="F17193" s="1"/>
    </row>
    <row r="17194" spans="6:6" x14ac:dyDescent="0.3">
      <c r="F17194" s="1"/>
    </row>
    <row r="17195" spans="6:6" x14ac:dyDescent="0.3">
      <c r="F17195" s="1"/>
    </row>
    <row r="17196" spans="6:6" x14ac:dyDescent="0.3">
      <c r="F17196" s="1"/>
    </row>
    <row r="17197" spans="6:6" x14ac:dyDescent="0.3">
      <c r="F17197" s="1"/>
    </row>
    <row r="17198" spans="6:6" x14ac:dyDescent="0.3">
      <c r="F17198" s="1"/>
    </row>
    <row r="17199" spans="6:6" x14ac:dyDescent="0.3">
      <c r="F17199" s="1"/>
    </row>
    <row r="17200" spans="6:6" x14ac:dyDescent="0.3">
      <c r="F17200" s="1"/>
    </row>
    <row r="17201" spans="6:15" x14ac:dyDescent="0.3">
      <c r="F17201" s="1"/>
      <c r="M17201" s="1"/>
    </row>
    <row r="17202" spans="6:15" x14ac:dyDescent="0.3">
      <c r="F17202" s="1"/>
    </row>
    <row r="17203" spans="6:15" x14ac:dyDescent="0.3">
      <c r="F17203" s="1"/>
    </row>
    <row r="17204" spans="6:15" x14ac:dyDescent="0.3">
      <c r="F17204" s="1"/>
    </row>
    <row r="17205" spans="6:15" x14ac:dyDescent="0.3">
      <c r="F17205" s="1"/>
    </row>
    <row r="17207" spans="6:15" x14ac:dyDescent="0.3">
      <c r="F17207" s="1"/>
    </row>
    <row r="17208" spans="6:15" x14ac:dyDescent="0.3">
      <c r="F17208" s="1"/>
    </row>
    <row r="17209" spans="6:15" x14ac:dyDescent="0.3">
      <c r="F17209" s="1"/>
    </row>
    <row r="17210" spans="6:15" x14ac:dyDescent="0.3">
      <c r="F17210" s="1"/>
    </row>
    <row r="17211" spans="6:15" x14ac:dyDescent="0.3">
      <c r="F17211" s="1"/>
    </row>
    <row r="17212" spans="6:15" x14ac:dyDescent="0.3">
      <c r="F17212" s="1"/>
    </row>
    <row r="17213" spans="6:15" x14ac:dyDescent="0.3">
      <c r="F17213" s="1"/>
    </row>
    <row r="17214" spans="6:15" x14ac:dyDescent="0.3">
      <c r="F17214" s="1"/>
    </row>
    <row r="17215" spans="6:15" x14ac:dyDescent="0.3">
      <c r="F17215" s="1"/>
      <c r="M17215" s="1"/>
      <c r="O17215" s="1"/>
    </row>
    <row r="17216" spans="6:15" x14ac:dyDescent="0.3">
      <c r="F17216" s="1"/>
    </row>
    <row r="17217" spans="6:15" x14ac:dyDescent="0.3">
      <c r="F17217" s="1"/>
    </row>
    <row r="17218" spans="6:15" x14ac:dyDescent="0.3">
      <c r="F17218" s="1"/>
    </row>
    <row r="17219" spans="6:15" x14ac:dyDescent="0.3">
      <c r="F17219" s="1"/>
    </row>
    <row r="17220" spans="6:15" x14ac:dyDescent="0.3">
      <c r="F17220" s="1"/>
      <c r="L17220" s="1"/>
      <c r="M17220" s="1"/>
      <c r="N17220" s="1"/>
      <c r="O17220" s="1"/>
    </row>
    <row r="17221" spans="6:15" x14ac:dyDescent="0.3">
      <c r="F17221" s="1"/>
    </row>
    <row r="17222" spans="6:15" x14ac:dyDescent="0.3">
      <c r="F17222" s="1"/>
    </row>
    <row r="17223" spans="6:15" x14ac:dyDescent="0.3">
      <c r="F17223" s="1"/>
    </row>
    <row r="17224" spans="6:15" x14ac:dyDescent="0.3">
      <c r="F17224" s="1"/>
    </row>
    <row r="17226" spans="6:15" x14ac:dyDescent="0.3">
      <c r="F17226" s="1"/>
    </row>
    <row r="17227" spans="6:15" x14ac:dyDescent="0.3">
      <c r="F17227" s="1"/>
    </row>
    <row r="17228" spans="6:15" x14ac:dyDescent="0.3">
      <c r="F17228" s="1"/>
    </row>
    <row r="17229" spans="6:15" x14ac:dyDescent="0.3">
      <c r="F17229" s="1"/>
    </row>
    <row r="17231" spans="6:15" x14ac:dyDescent="0.3">
      <c r="F17231" s="1"/>
    </row>
    <row r="17233" spans="6:14" x14ac:dyDescent="0.3">
      <c r="F17233" s="1"/>
    </row>
    <row r="17234" spans="6:14" x14ac:dyDescent="0.3">
      <c r="F17234" s="1"/>
    </row>
    <row r="17235" spans="6:14" x14ac:dyDescent="0.3">
      <c r="F17235" s="1"/>
    </row>
    <row r="17236" spans="6:14" x14ac:dyDescent="0.3">
      <c r="F17236" s="1"/>
    </row>
    <row r="17237" spans="6:14" x14ac:dyDescent="0.3">
      <c r="F17237" s="1"/>
    </row>
    <row r="17238" spans="6:14" x14ac:dyDescent="0.3">
      <c r="F17238" s="1"/>
    </row>
    <row r="17239" spans="6:14" x14ac:dyDescent="0.3">
      <c r="F17239" s="1"/>
    </row>
    <row r="17241" spans="6:14" x14ac:dyDescent="0.3">
      <c r="F17241" s="1"/>
    </row>
    <row r="17242" spans="6:14" x14ac:dyDescent="0.3">
      <c r="F17242" s="1"/>
    </row>
    <row r="17243" spans="6:14" x14ac:dyDescent="0.3">
      <c r="F17243" s="1"/>
    </row>
    <row r="17244" spans="6:14" x14ac:dyDescent="0.3">
      <c r="M17244" s="1"/>
      <c r="N17244" s="1"/>
    </row>
    <row r="17245" spans="6:14" x14ac:dyDescent="0.3">
      <c r="F17245" s="1"/>
    </row>
    <row r="17246" spans="6:14" x14ac:dyDescent="0.3">
      <c r="F17246" s="1"/>
    </row>
    <row r="17247" spans="6:14" x14ac:dyDescent="0.3">
      <c r="F17247" s="1"/>
    </row>
    <row r="17249" spans="6:13" x14ac:dyDescent="0.3">
      <c r="F17249" s="1"/>
    </row>
    <row r="17250" spans="6:13" x14ac:dyDescent="0.3">
      <c r="F17250" s="1"/>
    </row>
    <row r="17251" spans="6:13" x14ac:dyDescent="0.3">
      <c r="F17251" s="1"/>
    </row>
    <row r="17252" spans="6:13" x14ac:dyDescent="0.3">
      <c r="F17252" s="1"/>
    </row>
    <row r="17253" spans="6:13" x14ac:dyDescent="0.3">
      <c r="F17253" s="1"/>
    </row>
    <row r="17254" spans="6:13" x14ac:dyDescent="0.3">
      <c r="F17254" s="1"/>
    </row>
    <row r="17255" spans="6:13" x14ac:dyDescent="0.3">
      <c r="F17255" s="1"/>
    </row>
    <row r="17256" spans="6:13" x14ac:dyDescent="0.3">
      <c r="L17256" s="1"/>
    </row>
    <row r="17257" spans="6:13" x14ac:dyDescent="0.3">
      <c r="F17257" s="1"/>
    </row>
    <row r="17258" spans="6:13" x14ac:dyDescent="0.3">
      <c r="F17258" s="1"/>
    </row>
    <row r="17259" spans="6:13" x14ac:dyDescent="0.3">
      <c r="F17259" s="1"/>
    </row>
    <row r="17260" spans="6:13" x14ac:dyDescent="0.3">
      <c r="F17260" s="1"/>
    </row>
    <row r="17261" spans="6:13" x14ac:dyDescent="0.3">
      <c r="F17261" s="1"/>
    </row>
    <row r="17262" spans="6:13" x14ac:dyDescent="0.3">
      <c r="F17262" s="1"/>
    </row>
    <row r="17263" spans="6:13" x14ac:dyDescent="0.3">
      <c r="F17263" s="1"/>
    </row>
    <row r="17264" spans="6:13" x14ac:dyDescent="0.3">
      <c r="F17264" s="1"/>
      <c r="L17264" s="1"/>
      <c r="M17264" s="1"/>
    </row>
    <row r="17265" spans="6:15" x14ac:dyDescent="0.3">
      <c r="F17265" s="1"/>
    </row>
    <row r="17266" spans="6:15" x14ac:dyDescent="0.3">
      <c r="F17266" s="1"/>
    </row>
    <row r="17267" spans="6:15" x14ac:dyDescent="0.3">
      <c r="F17267" s="1"/>
    </row>
    <row r="17268" spans="6:15" x14ac:dyDescent="0.3">
      <c r="F17268" s="1"/>
      <c r="L17268" s="1"/>
      <c r="M17268" s="1"/>
      <c r="O17268" s="1"/>
    </row>
    <row r="17269" spans="6:15" x14ac:dyDescent="0.3">
      <c r="F17269" s="1"/>
    </row>
    <row r="17270" spans="6:15" x14ac:dyDescent="0.3">
      <c r="F17270" s="1"/>
    </row>
    <row r="17272" spans="6:15" x14ac:dyDescent="0.3">
      <c r="F17272" s="1"/>
    </row>
    <row r="17274" spans="6:15" x14ac:dyDescent="0.3">
      <c r="F17274" s="1"/>
    </row>
    <row r="17275" spans="6:15" x14ac:dyDescent="0.3">
      <c r="F17275" s="1"/>
    </row>
    <row r="17276" spans="6:15" x14ac:dyDescent="0.3">
      <c r="F17276" s="1"/>
    </row>
    <row r="17277" spans="6:15" x14ac:dyDescent="0.3">
      <c r="F17277" s="1"/>
    </row>
    <row r="17278" spans="6:15" x14ac:dyDescent="0.3">
      <c r="F17278" s="1"/>
    </row>
    <row r="17279" spans="6:15" x14ac:dyDescent="0.3">
      <c r="F17279" s="1"/>
    </row>
    <row r="17280" spans="6:15" x14ac:dyDescent="0.3">
      <c r="F17280" s="1"/>
    </row>
    <row r="17281" spans="6:15" x14ac:dyDescent="0.3">
      <c r="N17281" s="1"/>
    </row>
    <row r="17282" spans="6:15" x14ac:dyDescent="0.3">
      <c r="F17282" s="1"/>
    </row>
    <row r="17283" spans="6:15" x14ac:dyDescent="0.3">
      <c r="F17283" s="1"/>
      <c r="L17283" s="1"/>
      <c r="M17283" s="1"/>
      <c r="O17283" s="1"/>
    </row>
    <row r="17284" spans="6:15" x14ac:dyDescent="0.3">
      <c r="F17284" s="1"/>
      <c r="N17284" s="1"/>
    </row>
    <row r="17285" spans="6:15" x14ac:dyDescent="0.3">
      <c r="L17285" s="1"/>
      <c r="M17285" s="1"/>
      <c r="O17285" s="1"/>
    </row>
    <row r="17286" spans="6:15" x14ac:dyDescent="0.3">
      <c r="F17286" s="1"/>
      <c r="N17286" s="1"/>
    </row>
    <row r="17289" spans="6:15" x14ac:dyDescent="0.3">
      <c r="F17289" s="1"/>
      <c r="O17289" s="1"/>
    </row>
    <row r="17290" spans="6:15" x14ac:dyDescent="0.3">
      <c r="L17290" s="1"/>
    </row>
    <row r="17291" spans="6:15" x14ac:dyDescent="0.3">
      <c r="F17291" s="1"/>
    </row>
    <row r="17292" spans="6:15" x14ac:dyDescent="0.3">
      <c r="F17292" s="1"/>
    </row>
    <row r="17293" spans="6:15" x14ac:dyDescent="0.3">
      <c r="F17293" s="1"/>
    </row>
    <row r="17295" spans="6:15" x14ac:dyDescent="0.3">
      <c r="F17295" s="1"/>
    </row>
    <row r="17296" spans="6:15" x14ac:dyDescent="0.3">
      <c r="F17296" s="1"/>
    </row>
    <row r="17297" spans="6:15" x14ac:dyDescent="0.3">
      <c r="M17297" s="1"/>
      <c r="O17297" s="1"/>
    </row>
    <row r="17298" spans="6:15" x14ac:dyDescent="0.3">
      <c r="F17298" s="1"/>
      <c r="M17298" s="1"/>
    </row>
    <row r="17299" spans="6:15" x14ac:dyDescent="0.3">
      <c r="F17299" s="1"/>
    </row>
    <row r="17300" spans="6:15" x14ac:dyDescent="0.3">
      <c r="F17300" s="1"/>
    </row>
    <row r="17301" spans="6:15" x14ac:dyDescent="0.3">
      <c r="F17301" s="1"/>
    </row>
    <row r="17302" spans="6:15" x14ac:dyDescent="0.3">
      <c r="F17302" s="1"/>
    </row>
    <row r="17303" spans="6:15" x14ac:dyDescent="0.3">
      <c r="F17303" s="1"/>
    </row>
    <row r="17304" spans="6:15" x14ac:dyDescent="0.3">
      <c r="F17304" s="1"/>
    </row>
    <row r="17305" spans="6:15" x14ac:dyDescent="0.3">
      <c r="F17305" s="1"/>
      <c r="N17305" s="1"/>
      <c r="O17305" s="1"/>
    </row>
    <row r="17306" spans="6:15" x14ac:dyDescent="0.3">
      <c r="F17306" s="1"/>
    </row>
    <row r="17307" spans="6:15" x14ac:dyDescent="0.3">
      <c r="F17307" s="1"/>
    </row>
    <row r="17308" spans="6:15" x14ac:dyDescent="0.3">
      <c r="L17308" s="1"/>
      <c r="N17308" s="1"/>
    </row>
    <row r="17309" spans="6:15" x14ac:dyDescent="0.3">
      <c r="F17309" s="1"/>
    </row>
    <row r="17310" spans="6:15" x14ac:dyDescent="0.3">
      <c r="F17310" s="1"/>
    </row>
    <row r="17311" spans="6:15" x14ac:dyDescent="0.3">
      <c r="F17311" s="1"/>
    </row>
    <row r="17312" spans="6:15" x14ac:dyDescent="0.3">
      <c r="F17312" s="1"/>
    </row>
    <row r="17313" spans="6:15" x14ac:dyDescent="0.3">
      <c r="F17313" s="1"/>
    </row>
    <row r="17314" spans="6:15" x14ac:dyDescent="0.3">
      <c r="L17314" s="1"/>
      <c r="M17314" s="1"/>
    </row>
    <row r="17315" spans="6:15" x14ac:dyDescent="0.3">
      <c r="F17315" s="1"/>
    </row>
    <row r="17316" spans="6:15" x14ac:dyDescent="0.3">
      <c r="L17316" s="1"/>
      <c r="O17316" s="1"/>
    </row>
    <row r="17318" spans="6:15" x14ac:dyDescent="0.3">
      <c r="F17318" s="1"/>
    </row>
    <row r="17319" spans="6:15" x14ac:dyDescent="0.3">
      <c r="F17319" s="1"/>
    </row>
    <row r="17320" spans="6:15" x14ac:dyDescent="0.3">
      <c r="F17320" s="1"/>
    </row>
    <row r="17321" spans="6:15" x14ac:dyDescent="0.3">
      <c r="F17321" s="1"/>
    </row>
    <row r="17322" spans="6:15" x14ac:dyDescent="0.3">
      <c r="F17322" s="1"/>
    </row>
    <row r="17323" spans="6:15" x14ac:dyDescent="0.3">
      <c r="F17323" s="1"/>
    </row>
    <row r="17324" spans="6:15" x14ac:dyDescent="0.3">
      <c r="F17324" s="1"/>
    </row>
    <row r="17325" spans="6:15" x14ac:dyDescent="0.3">
      <c r="F17325" s="1"/>
    </row>
    <row r="17326" spans="6:15" x14ac:dyDescent="0.3">
      <c r="F17326" s="1"/>
    </row>
    <row r="17327" spans="6:15" x14ac:dyDescent="0.3">
      <c r="F17327" s="1"/>
    </row>
    <row r="17328" spans="6:15" x14ac:dyDescent="0.3">
      <c r="F17328" s="1"/>
    </row>
    <row r="17329" spans="6:14" x14ac:dyDescent="0.3">
      <c r="F17329" s="1"/>
    </row>
    <row r="17330" spans="6:14" x14ac:dyDescent="0.3">
      <c r="F17330" s="1"/>
    </row>
    <row r="17331" spans="6:14" x14ac:dyDescent="0.3">
      <c r="F17331" s="1"/>
    </row>
    <row r="17332" spans="6:14" x14ac:dyDescent="0.3">
      <c r="F17332" s="1"/>
    </row>
    <row r="17333" spans="6:14" x14ac:dyDescent="0.3">
      <c r="F17333" s="1"/>
    </row>
    <row r="17335" spans="6:14" x14ac:dyDescent="0.3">
      <c r="F17335" s="1"/>
    </row>
    <row r="17336" spans="6:14" x14ac:dyDescent="0.3">
      <c r="F17336" s="1"/>
    </row>
    <row r="17337" spans="6:14" x14ac:dyDescent="0.3">
      <c r="F17337" s="1"/>
      <c r="M17337" s="1"/>
      <c r="N17337" s="1"/>
    </row>
    <row r="17338" spans="6:14" x14ac:dyDescent="0.3">
      <c r="F17338" s="1"/>
    </row>
    <row r="17339" spans="6:14" x14ac:dyDescent="0.3">
      <c r="F17339" s="1"/>
    </row>
    <row r="17340" spans="6:14" x14ac:dyDescent="0.3">
      <c r="F17340" s="1"/>
    </row>
    <row r="17341" spans="6:14" x14ac:dyDescent="0.3">
      <c r="F17341" s="1"/>
    </row>
    <row r="17342" spans="6:14" x14ac:dyDescent="0.3">
      <c r="F17342" s="1"/>
    </row>
    <row r="17343" spans="6:14" x14ac:dyDescent="0.3">
      <c r="F17343" s="1"/>
    </row>
    <row r="17344" spans="6:14" x14ac:dyDescent="0.3">
      <c r="F17344" s="1"/>
    </row>
    <row r="17345" spans="6:14" x14ac:dyDescent="0.3">
      <c r="F17345" s="1"/>
      <c r="N17345" s="1"/>
    </row>
    <row r="17346" spans="6:14" x14ac:dyDescent="0.3">
      <c r="F17346" s="1"/>
    </row>
    <row r="17347" spans="6:14" x14ac:dyDescent="0.3">
      <c r="F17347" s="1"/>
    </row>
    <row r="17348" spans="6:14" x14ac:dyDescent="0.3">
      <c r="F17348" s="1"/>
      <c r="M17348" s="1"/>
    </row>
    <row r="17349" spans="6:14" x14ac:dyDescent="0.3">
      <c r="F17349" s="1"/>
    </row>
    <row r="17350" spans="6:14" x14ac:dyDescent="0.3">
      <c r="F17350" s="1"/>
    </row>
    <row r="17352" spans="6:14" x14ac:dyDescent="0.3">
      <c r="F17352" s="1"/>
    </row>
    <row r="17353" spans="6:14" x14ac:dyDescent="0.3">
      <c r="F17353" s="1"/>
    </row>
    <row r="17354" spans="6:14" x14ac:dyDescent="0.3">
      <c r="F17354" s="1"/>
    </row>
    <row r="17355" spans="6:14" x14ac:dyDescent="0.3">
      <c r="F17355" s="1"/>
    </row>
    <row r="17356" spans="6:14" x14ac:dyDescent="0.3">
      <c r="F17356" s="1"/>
    </row>
    <row r="17358" spans="6:14" x14ac:dyDescent="0.3">
      <c r="F17358" s="1"/>
    </row>
    <row r="17359" spans="6:14" x14ac:dyDescent="0.3">
      <c r="F17359" s="1"/>
    </row>
    <row r="17360" spans="6:14" x14ac:dyDescent="0.3">
      <c r="F17360" s="1"/>
    </row>
    <row r="17361" spans="6:14" x14ac:dyDescent="0.3">
      <c r="F17361" s="1"/>
    </row>
    <row r="17362" spans="6:14" x14ac:dyDescent="0.3">
      <c r="F17362" s="1"/>
    </row>
    <row r="17363" spans="6:14" x14ac:dyDescent="0.3">
      <c r="F17363" s="1"/>
    </row>
    <row r="17365" spans="6:14" x14ac:dyDescent="0.3">
      <c r="F17365" s="1"/>
    </row>
    <row r="17366" spans="6:14" x14ac:dyDescent="0.3">
      <c r="L17366" s="1"/>
      <c r="N17366" s="1"/>
    </row>
    <row r="17367" spans="6:14" x14ac:dyDescent="0.3">
      <c r="F17367" s="1"/>
      <c r="M17367" s="1"/>
    </row>
    <row r="17368" spans="6:14" x14ac:dyDescent="0.3">
      <c r="F17368" s="1"/>
    </row>
    <row r="17369" spans="6:14" x14ac:dyDescent="0.3">
      <c r="F17369" s="1"/>
      <c r="M17369" s="1"/>
    </row>
    <row r="17370" spans="6:14" x14ac:dyDescent="0.3">
      <c r="F17370" s="1"/>
    </row>
    <row r="17372" spans="6:14" x14ac:dyDescent="0.3">
      <c r="F17372" s="1"/>
      <c r="N17372" s="1"/>
    </row>
    <row r="17373" spans="6:14" x14ac:dyDescent="0.3">
      <c r="F17373" s="1"/>
    </row>
    <row r="17374" spans="6:14" x14ac:dyDescent="0.3">
      <c r="F17374" s="1"/>
    </row>
    <row r="17375" spans="6:14" x14ac:dyDescent="0.3">
      <c r="F17375" s="1"/>
    </row>
    <row r="17376" spans="6:14" x14ac:dyDescent="0.3">
      <c r="F17376" s="1"/>
    </row>
    <row r="17377" spans="6:14" x14ac:dyDescent="0.3">
      <c r="F17377" s="1"/>
    </row>
    <row r="17379" spans="6:14" x14ac:dyDescent="0.3">
      <c r="F17379" s="1"/>
    </row>
    <row r="17380" spans="6:14" x14ac:dyDescent="0.3">
      <c r="F17380" s="1"/>
    </row>
    <row r="17381" spans="6:14" x14ac:dyDescent="0.3">
      <c r="F17381" s="1"/>
    </row>
    <row r="17382" spans="6:14" x14ac:dyDescent="0.3">
      <c r="L17382" s="1"/>
    </row>
    <row r="17383" spans="6:14" x14ac:dyDescent="0.3">
      <c r="F17383" s="1"/>
    </row>
    <row r="17384" spans="6:14" x14ac:dyDescent="0.3">
      <c r="F17384" s="1"/>
    </row>
    <row r="17385" spans="6:14" x14ac:dyDescent="0.3">
      <c r="F17385" s="1"/>
    </row>
    <row r="17387" spans="6:14" x14ac:dyDescent="0.3">
      <c r="F17387" s="1"/>
    </row>
    <row r="17388" spans="6:14" x14ac:dyDescent="0.3">
      <c r="F17388" s="1"/>
      <c r="M17388" s="1"/>
    </row>
    <row r="17389" spans="6:14" x14ac:dyDescent="0.3">
      <c r="F17389" s="1"/>
    </row>
    <row r="17391" spans="6:14" x14ac:dyDescent="0.3">
      <c r="F17391" s="1"/>
    </row>
    <row r="17392" spans="6:14" x14ac:dyDescent="0.3">
      <c r="F17392" s="1"/>
      <c r="N17392" s="1"/>
    </row>
    <row r="17393" spans="6:15" x14ac:dyDescent="0.3">
      <c r="F17393" s="1"/>
    </row>
    <row r="17394" spans="6:15" x14ac:dyDescent="0.3">
      <c r="F17394" s="1"/>
    </row>
    <row r="17395" spans="6:15" x14ac:dyDescent="0.3">
      <c r="F17395" s="1"/>
    </row>
    <row r="17397" spans="6:15" x14ac:dyDescent="0.3">
      <c r="F17397" s="1"/>
    </row>
    <row r="17398" spans="6:15" x14ac:dyDescent="0.3">
      <c r="F17398" s="1"/>
      <c r="M17398" s="1"/>
      <c r="N17398" s="1"/>
      <c r="O17398" s="1"/>
    </row>
    <row r="17399" spans="6:15" x14ac:dyDescent="0.3">
      <c r="F17399" s="1"/>
    </row>
    <row r="17400" spans="6:15" x14ac:dyDescent="0.3">
      <c r="F17400" s="1"/>
    </row>
    <row r="17401" spans="6:15" x14ac:dyDescent="0.3">
      <c r="F17401" s="1"/>
    </row>
    <row r="17402" spans="6:15" x14ac:dyDescent="0.3">
      <c r="F17402" s="1"/>
    </row>
    <row r="17403" spans="6:15" x14ac:dyDescent="0.3">
      <c r="F17403" s="1"/>
    </row>
    <row r="17404" spans="6:15" x14ac:dyDescent="0.3">
      <c r="F17404" s="1"/>
    </row>
    <row r="17405" spans="6:15" x14ac:dyDescent="0.3">
      <c r="F17405" s="1"/>
    </row>
    <row r="17406" spans="6:15" x14ac:dyDescent="0.3">
      <c r="F17406" s="1"/>
    </row>
    <row r="17407" spans="6:15" x14ac:dyDescent="0.3">
      <c r="F17407" s="1"/>
    </row>
    <row r="17408" spans="6:15" x14ac:dyDescent="0.3">
      <c r="F17408" s="1"/>
    </row>
    <row r="17409" spans="6:15" x14ac:dyDescent="0.3">
      <c r="F17409" s="1"/>
    </row>
    <row r="17410" spans="6:15" x14ac:dyDescent="0.3">
      <c r="F17410" s="1"/>
    </row>
    <row r="17411" spans="6:15" x14ac:dyDescent="0.3">
      <c r="F17411" s="1"/>
    </row>
    <row r="17412" spans="6:15" x14ac:dyDescent="0.3">
      <c r="F17412" s="1"/>
    </row>
    <row r="17413" spans="6:15" x14ac:dyDescent="0.3">
      <c r="F17413" s="1"/>
    </row>
    <row r="17414" spans="6:15" x14ac:dyDescent="0.3">
      <c r="F17414" s="1"/>
    </row>
    <row r="17415" spans="6:15" x14ac:dyDescent="0.3">
      <c r="F17415" s="1"/>
    </row>
    <row r="17418" spans="6:15" x14ac:dyDescent="0.3">
      <c r="F17418" s="1"/>
    </row>
    <row r="17419" spans="6:15" x14ac:dyDescent="0.3">
      <c r="F17419" s="1"/>
    </row>
    <row r="17420" spans="6:15" x14ac:dyDescent="0.3">
      <c r="F17420" s="1"/>
      <c r="N17420" s="1"/>
    </row>
    <row r="17421" spans="6:15" x14ac:dyDescent="0.3">
      <c r="F17421" s="1"/>
    </row>
    <row r="17422" spans="6:15" x14ac:dyDescent="0.3">
      <c r="F17422" s="1"/>
    </row>
    <row r="17423" spans="6:15" x14ac:dyDescent="0.3">
      <c r="F17423" s="1"/>
    </row>
    <row r="17424" spans="6:15" x14ac:dyDescent="0.3">
      <c r="F17424" s="1"/>
      <c r="L17424" s="1"/>
      <c r="O17424" s="1"/>
    </row>
    <row r="17425" spans="6:15" x14ac:dyDescent="0.3">
      <c r="F17425" s="1"/>
    </row>
    <row r="17426" spans="6:15" x14ac:dyDescent="0.3">
      <c r="F17426" s="1"/>
    </row>
    <row r="17427" spans="6:15" x14ac:dyDescent="0.3">
      <c r="F17427" s="1"/>
    </row>
    <row r="17428" spans="6:15" x14ac:dyDescent="0.3">
      <c r="F17428" s="1"/>
    </row>
    <row r="17430" spans="6:15" x14ac:dyDescent="0.3">
      <c r="F17430" s="1"/>
    </row>
    <row r="17431" spans="6:15" x14ac:dyDescent="0.3">
      <c r="M17431" s="1"/>
      <c r="N17431" s="1"/>
      <c r="O17431" s="1"/>
    </row>
    <row r="17432" spans="6:15" x14ac:dyDescent="0.3">
      <c r="F17432" s="1"/>
    </row>
    <row r="17433" spans="6:15" x14ac:dyDescent="0.3">
      <c r="F17433" s="1"/>
    </row>
    <row r="17434" spans="6:15" x14ac:dyDescent="0.3">
      <c r="F17434" s="1"/>
    </row>
    <row r="17435" spans="6:15" x14ac:dyDescent="0.3">
      <c r="F17435" s="1"/>
    </row>
    <row r="17436" spans="6:15" x14ac:dyDescent="0.3">
      <c r="F17436" s="1"/>
    </row>
    <row r="17437" spans="6:15" x14ac:dyDescent="0.3">
      <c r="F17437" s="1"/>
    </row>
    <row r="17438" spans="6:15" x14ac:dyDescent="0.3">
      <c r="F17438" s="1"/>
    </row>
    <row r="17439" spans="6:15" x14ac:dyDescent="0.3">
      <c r="F17439" s="1"/>
    </row>
    <row r="17440" spans="6:15" x14ac:dyDescent="0.3">
      <c r="F17440" s="1"/>
    </row>
    <row r="17441" spans="6:13" x14ac:dyDescent="0.3">
      <c r="F17441" s="1"/>
    </row>
    <row r="17442" spans="6:13" x14ac:dyDescent="0.3">
      <c r="F17442" s="1"/>
    </row>
    <row r="17443" spans="6:13" x14ac:dyDescent="0.3">
      <c r="F17443" s="1"/>
    </row>
    <row r="17444" spans="6:13" x14ac:dyDescent="0.3">
      <c r="F17444" s="1"/>
      <c r="M17444" s="1"/>
    </row>
    <row r="17445" spans="6:13" x14ac:dyDescent="0.3">
      <c r="F17445" s="1"/>
    </row>
    <row r="17446" spans="6:13" x14ac:dyDescent="0.3">
      <c r="F17446" s="1"/>
    </row>
    <row r="17447" spans="6:13" x14ac:dyDescent="0.3">
      <c r="F17447" s="1"/>
    </row>
    <row r="17448" spans="6:13" x14ac:dyDescent="0.3">
      <c r="F17448" s="1"/>
    </row>
    <row r="17450" spans="6:13" x14ac:dyDescent="0.3">
      <c r="F17450" s="1"/>
    </row>
    <row r="17451" spans="6:13" x14ac:dyDescent="0.3">
      <c r="F17451" s="1"/>
    </row>
    <row r="17452" spans="6:13" x14ac:dyDescent="0.3">
      <c r="F17452" s="1"/>
    </row>
    <row r="17454" spans="6:13" x14ac:dyDescent="0.3">
      <c r="F17454" s="1"/>
    </row>
    <row r="17455" spans="6:13" x14ac:dyDescent="0.3">
      <c r="F17455" s="1"/>
    </row>
    <row r="17456" spans="6:13" x14ac:dyDescent="0.3">
      <c r="F17456" s="1"/>
    </row>
    <row r="17457" spans="6:14" x14ac:dyDescent="0.3">
      <c r="F17457" s="1"/>
    </row>
    <row r="17458" spans="6:14" x14ac:dyDescent="0.3">
      <c r="F17458" s="1"/>
    </row>
    <row r="17459" spans="6:14" x14ac:dyDescent="0.3">
      <c r="F17459" s="1"/>
    </row>
    <row r="17460" spans="6:14" x14ac:dyDescent="0.3">
      <c r="F17460" s="1"/>
    </row>
    <row r="17461" spans="6:14" x14ac:dyDescent="0.3">
      <c r="F17461" s="1"/>
    </row>
    <row r="17462" spans="6:14" x14ac:dyDescent="0.3">
      <c r="F17462" s="1"/>
    </row>
    <row r="17464" spans="6:14" x14ac:dyDescent="0.3">
      <c r="F17464" s="1"/>
    </row>
    <row r="17465" spans="6:14" x14ac:dyDescent="0.3">
      <c r="F17465" s="1"/>
    </row>
    <row r="17466" spans="6:14" x14ac:dyDescent="0.3">
      <c r="F17466" s="1"/>
      <c r="M17466" s="1"/>
    </row>
    <row r="17467" spans="6:14" x14ac:dyDescent="0.3">
      <c r="F17467" s="1"/>
    </row>
    <row r="17468" spans="6:14" x14ac:dyDescent="0.3">
      <c r="F17468" s="1"/>
    </row>
    <row r="17469" spans="6:14" x14ac:dyDescent="0.3">
      <c r="F17469" s="1"/>
    </row>
    <row r="17470" spans="6:14" x14ac:dyDescent="0.3">
      <c r="F17470" s="1"/>
      <c r="N17470" s="1"/>
    </row>
    <row r="17472" spans="6:14" x14ac:dyDescent="0.3">
      <c r="F17472" s="1"/>
    </row>
    <row r="17473" spans="6:14" x14ac:dyDescent="0.3">
      <c r="F17473" s="1"/>
    </row>
    <row r="17474" spans="6:14" x14ac:dyDescent="0.3">
      <c r="F17474" s="1"/>
    </row>
    <row r="17475" spans="6:14" x14ac:dyDescent="0.3">
      <c r="F17475" s="1"/>
    </row>
    <row r="17476" spans="6:14" x14ac:dyDescent="0.3">
      <c r="F17476" s="1"/>
    </row>
    <row r="17477" spans="6:14" x14ac:dyDescent="0.3">
      <c r="F17477" s="1"/>
    </row>
    <row r="17478" spans="6:14" x14ac:dyDescent="0.3">
      <c r="F17478" s="1"/>
    </row>
    <row r="17479" spans="6:14" x14ac:dyDescent="0.3">
      <c r="F17479" s="1"/>
      <c r="L17479" s="1"/>
      <c r="N17479" s="1"/>
    </row>
    <row r="17480" spans="6:14" x14ac:dyDescent="0.3">
      <c r="F17480" s="1"/>
    </row>
    <row r="17481" spans="6:14" x14ac:dyDescent="0.3">
      <c r="F17481" s="1"/>
    </row>
    <row r="17484" spans="6:14" x14ac:dyDescent="0.3">
      <c r="F17484" s="1"/>
    </row>
    <row r="17485" spans="6:14" x14ac:dyDescent="0.3">
      <c r="F17485" s="1"/>
    </row>
    <row r="17486" spans="6:14" x14ac:dyDescent="0.3">
      <c r="F17486" s="1"/>
    </row>
    <row r="17487" spans="6:14" x14ac:dyDescent="0.3">
      <c r="F17487" s="1"/>
    </row>
    <row r="17488" spans="6:14" x14ac:dyDescent="0.3">
      <c r="F17488" s="1"/>
    </row>
    <row r="17489" spans="6:6" x14ac:dyDescent="0.3">
      <c r="F17489" s="1"/>
    </row>
    <row r="17490" spans="6:6" x14ac:dyDescent="0.3">
      <c r="F17490" s="1"/>
    </row>
    <row r="17491" spans="6:6" x14ac:dyDescent="0.3">
      <c r="F17491" s="1"/>
    </row>
    <row r="17492" spans="6:6" x14ac:dyDescent="0.3">
      <c r="F17492" s="1"/>
    </row>
    <row r="17493" spans="6:6" x14ac:dyDescent="0.3">
      <c r="F17493" s="1"/>
    </row>
    <row r="17494" spans="6:6" x14ac:dyDescent="0.3">
      <c r="F17494" s="1"/>
    </row>
    <row r="17495" spans="6:6" x14ac:dyDescent="0.3">
      <c r="F17495" s="1"/>
    </row>
    <row r="17496" spans="6:6" x14ac:dyDescent="0.3">
      <c r="F17496" s="1"/>
    </row>
    <row r="17497" spans="6:6" x14ac:dyDescent="0.3">
      <c r="F17497" s="1"/>
    </row>
    <row r="17498" spans="6:6" x14ac:dyDescent="0.3">
      <c r="F17498" s="1"/>
    </row>
    <row r="17499" spans="6:6" x14ac:dyDescent="0.3">
      <c r="F17499" s="1"/>
    </row>
    <row r="17500" spans="6:6" x14ac:dyDescent="0.3">
      <c r="F17500" s="1"/>
    </row>
    <row r="17504" spans="6:6" x14ac:dyDescent="0.3">
      <c r="F17504" s="1"/>
    </row>
    <row r="17505" spans="6:14" x14ac:dyDescent="0.3">
      <c r="F17505" s="1"/>
    </row>
    <row r="17506" spans="6:14" x14ac:dyDescent="0.3">
      <c r="F17506" s="1"/>
      <c r="N17506" s="1"/>
    </row>
    <row r="17507" spans="6:14" x14ac:dyDescent="0.3">
      <c r="F17507" s="1"/>
    </row>
    <row r="17508" spans="6:14" x14ac:dyDescent="0.3">
      <c r="F17508" s="1"/>
      <c r="N17508" s="1"/>
    </row>
    <row r="17511" spans="6:14" x14ac:dyDescent="0.3">
      <c r="F17511" s="1"/>
    </row>
    <row r="17512" spans="6:14" x14ac:dyDescent="0.3">
      <c r="F17512" s="1"/>
    </row>
    <row r="17513" spans="6:14" x14ac:dyDescent="0.3">
      <c r="F17513" s="1"/>
    </row>
    <row r="17514" spans="6:14" x14ac:dyDescent="0.3">
      <c r="F17514" s="1"/>
    </row>
    <row r="17515" spans="6:14" x14ac:dyDescent="0.3">
      <c r="F17515" s="1"/>
    </row>
    <row r="17516" spans="6:14" x14ac:dyDescent="0.3">
      <c r="F17516" s="1"/>
    </row>
    <row r="17517" spans="6:14" x14ac:dyDescent="0.3">
      <c r="F17517" s="1"/>
    </row>
    <row r="17518" spans="6:14" x14ac:dyDescent="0.3">
      <c r="F17518" s="1"/>
      <c r="N17518" s="1"/>
    </row>
    <row r="17519" spans="6:14" x14ac:dyDescent="0.3">
      <c r="F17519" s="1"/>
    </row>
    <row r="17520" spans="6:14" x14ac:dyDescent="0.3">
      <c r="F17520" s="1"/>
    </row>
    <row r="17521" spans="6:13" x14ac:dyDescent="0.3">
      <c r="F17521" s="1"/>
    </row>
    <row r="17522" spans="6:13" x14ac:dyDescent="0.3">
      <c r="F17522" s="1"/>
    </row>
    <row r="17523" spans="6:13" x14ac:dyDescent="0.3">
      <c r="L17523" s="1"/>
    </row>
    <row r="17524" spans="6:13" x14ac:dyDescent="0.3">
      <c r="F17524" s="1"/>
    </row>
    <row r="17525" spans="6:13" x14ac:dyDescent="0.3">
      <c r="F17525" s="1"/>
    </row>
    <row r="17526" spans="6:13" x14ac:dyDescent="0.3">
      <c r="F17526" s="1"/>
    </row>
    <row r="17527" spans="6:13" x14ac:dyDescent="0.3">
      <c r="F17527" s="1"/>
      <c r="L17527" s="1"/>
    </row>
    <row r="17528" spans="6:13" x14ac:dyDescent="0.3">
      <c r="F17528" s="1"/>
    </row>
    <row r="17529" spans="6:13" x14ac:dyDescent="0.3">
      <c r="M17529" s="1"/>
    </row>
    <row r="17531" spans="6:13" x14ac:dyDescent="0.3">
      <c r="F17531" s="1"/>
    </row>
    <row r="17532" spans="6:13" x14ac:dyDescent="0.3">
      <c r="F17532" s="1"/>
    </row>
    <row r="17533" spans="6:13" x14ac:dyDescent="0.3">
      <c r="F17533" s="1"/>
    </row>
    <row r="17534" spans="6:13" x14ac:dyDescent="0.3">
      <c r="F17534" s="1"/>
    </row>
    <row r="17535" spans="6:13" x14ac:dyDescent="0.3">
      <c r="F17535" s="1"/>
    </row>
    <row r="17536" spans="6:13" x14ac:dyDescent="0.3">
      <c r="F17536" s="1"/>
    </row>
    <row r="17537" spans="6:15" x14ac:dyDescent="0.3">
      <c r="F17537" s="1"/>
      <c r="M17537" s="1"/>
    </row>
    <row r="17538" spans="6:15" x14ac:dyDescent="0.3">
      <c r="F17538" s="1"/>
      <c r="L17538" s="1"/>
    </row>
    <row r="17540" spans="6:15" x14ac:dyDescent="0.3">
      <c r="L17540" s="1"/>
      <c r="M17540" s="1"/>
      <c r="N17540" s="1"/>
      <c r="O17540" s="1"/>
    </row>
    <row r="17541" spans="6:15" x14ac:dyDescent="0.3">
      <c r="F17541" s="1"/>
    </row>
    <row r="17542" spans="6:15" x14ac:dyDescent="0.3">
      <c r="F17542" s="1"/>
    </row>
    <row r="17543" spans="6:15" x14ac:dyDescent="0.3">
      <c r="F17543" s="1"/>
    </row>
    <row r="17544" spans="6:15" x14ac:dyDescent="0.3">
      <c r="F17544" s="1"/>
    </row>
    <row r="17545" spans="6:15" x14ac:dyDescent="0.3">
      <c r="F17545" s="1"/>
    </row>
    <row r="17546" spans="6:15" x14ac:dyDescent="0.3">
      <c r="F17546" s="1"/>
    </row>
    <row r="17547" spans="6:15" x14ac:dyDescent="0.3">
      <c r="F17547" s="1"/>
    </row>
    <row r="17548" spans="6:15" x14ac:dyDescent="0.3">
      <c r="F17548" s="1"/>
    </row>
    <row r="17549" spans="6:15" x14ac:dyDescent="0.3">
      <c r="F17549" s="1"/>
    </row>
    <row r="17550" spans="6:15" x14ac:dyDescent="0.3">
      <c r="F17550" s="1"/>
    </row>
    <row r="17551" spans="6:15" x14ac:dyDescent="0.3">
      <c r="F17551" s="1"/>
    </row>
    <row r="17552" spans="6:15" x14ac:dyDescent="0.3">
      <c r="F17552" s="1"/>
      <c r="N17552" s="1"/>
      <c r="O17552" s="1"/>
    </row>
    <row r="17554" spans="6:13" x14ac:dyDescent="0.3">
      <c r="F17554" s="1"/>
    </row>
    <row r="17555" spans="6:13" x14ac:dyDescent="0.3">
      <c r="F17555" s="1"/>
    </row>
    <row r="17556" spans="6:13" x14ac:dyDescent="0.3">
      <c r="L17556" s="1"/>
      <c r="M17556" s="1"/>
    </row>
    <row r="17557" spans="6:13" x14ac:dyDescent="0.3">
      <c r="F17557" s="1"/>
    </row>
    <row r="17558" spans="6:13" x14ac:dyDescent="0.3">
      <c r="F17558" s="1"/>
    </row>
    <row r="17559" spans="6:13" x14ac:dyDescent="0.3">
      <c r="F17559" s="1"/>
    </row>
    <row r="17560" spans="6:13" x14ac:dyDescent="0.3">
      <c r="F17560" s="1"/>
    </row>
    <row r="17561" spans="6:13" x14ac:dyDescent="0.3">
      <c r="F17561" s="1"/>
    </row>
    <row r="17562" spans="6:13" x14ac:dyDescent="0.3">
      <c r="F17562" s="1"/>
    </row>
    <row r="17563" spans="6:13" x14ac:dyDescent="0.3">
      <c r="F17563" s="1"/>
    </row>
    <row r="17565" spans="6:13" x14ac:dyDescent="0.3">
      <c r="F17565" s="1"/>
    </row>
    <row r="17566" spans="6:13" x14ac:dyDescent="0.3">
      <c r="F17566" s="1"/>
    </row>
    <row r="17567" spans="6:13" x14ac:dyDescent="0.3">
      <c r="F17567" s="1"/>
    </row>
    <row r="17568" spans="6:13" x14ac:dyDescent="0.3">
      <c r="F17568" s="1"/>
    </row>
    <row r="17569" spans="6:6" x14ac:dyDescent="0.3">
      <c r="F17569" s="1"/>
    </row>
    <row r="17570" spans="6:6" x14ac:dyDescent="0.3">
      <c r="F17570" s="1"/>
    </row>
    <row r="17571" spans="6:6" x14ac:dyDescent="0.3">
      <c r="F17571" s="1"/>
    </row>
    <row r="17572" spans="6:6" x14ac:dyDescent="0.3">
      <c r="F17572" s="1"/>
    </row>
    <row r="17573" spans="6:6" x14ac:dyDescent="0.3">
      <c r="F17573" s="1"/>
    </row>
    <row r="17574" spans="6:6" x14ac:dyDescent="0.3">
      <c r="F17574" s="1"/>
    </row>
    <row r="17575" spans="6:6" x14ac:dyDescent="0.3">
      <c r="F17575" s="1"/>
    </row>
    <row r="17577" spans="6:6" x14ac:dyDescent="0.3">
      <c r="F17577" s="1"/>
    </row>
    <row r="17578" spans="6:6" x14ac:dyDescent="0.3">
      <c r="F17578" s="1"/>
    </row>
    <row r="17579" spans="6:6" x14ac:dyDescent="0.3">
      <c r="F17579" s="1"/>
    </row>
    <row r="17580" spans="6:6" x14ac:dyDescent="0.3">
      <c r="F17580" s="1"/>
    </row>
    <row r="17582" spans="6:6" x14ac:dyDescent="0.3">
      <c r="F17582" s="1"/>
    </row>
    <row r="17584" spans="6:6" x14ac:dyDescent="0.3">
      <c r="F17584" s="1"/>
    </row>
    <row r="17586" spans="6:14" x14ac:dyDescent="0.3">
      <c r="L17586" s="1"/>
      <c r="M17586" s="1"/>
      <c r="N17586" s="1"/>
    </row>
    <row r="17587" spans="6:14" x14ac:dyDescent="0.3">
      <c r="F17587" s="1"/>
    </row>
    <row r="17589" spans="6:14" x14ac:dyDescent="0.3">
      <c r="F17589" s="1"/>
    </row>
    <row r="17591" spans="6:14" x14ac:dyDescent="0.3">
      <c r="F17591" s="1"/>
    </row>
    <row r="17593" spans="6:14" x14ac:dyDescent="0.3">
      <c r="F17593" s="1"/>
    </row>
    <row r="17594" spans="6:14" x14ac:dyDescent="0.3">
      <c r="F17594" s="1"/>
      <c r="M17594" s="1"/>
    </row>
    <row r="17595" spans="6:14" x14ac:dyDescent="0.3">
      <c r="F17595" s="1"/>
    </row>
    <row r="17596" spans="6:14" x14ac:dyDescent="0.3">
      <c r="F17596" s="1"/>
    </row>
    <row r="17598" spans="6:14" x14ac:dyDescent="0.3">
      <c r="F17598" s="1"/>
    </row>
    <row r="17599" spans="6:14" x14ac:dyDescent="0.3">
      <c r="F17599" s="1"/>
    </row>
    <row r="17600" spans="6:14" x14ac:dyDescent="0.3">
      <c r="F17600" s="1"/>
      <c r="N17600" s="1"/>
    </row>
    <row r="17601" spans="6:14" x14ac:dyDescent="0.3">
      <c r="F17601" s="1"/>
    </row>
    <row r="17602" spans="6:14" x14ac:dyDescent="0.3">
      <c r="F17602" s="1"/>
    </row>
    <row r="17604" spans="6:14" x14ac:dyDescent="0.3">
      <c r="F17604" s="1"/>
    </row>
    <row r="17605" spans="6:14" x14ac:dyDescent="0.3">
      <c r="F17605" s="1"/>
    </row>
    <row r="17606" spans="6:14" x14ac:dyDescent="0.3">
      <c r="F17606" s="1"/>
    </row>
    <row r="17607" spans="6:14" x14ac:dyDescent="0.3">
      <c r="F17607" s="1"/>
    </row>
    <row r="17608" spans="6:14" x14ac:dyDescent="0.3">
      <c r="F17608" s="1"/>
    </row>
    <row r="17610" spans="6:14" x14ac:dyDescent="0.3">
      <c r="F17610" s="1"/>
    </row>
    <row r="17611" spans="6:14" x14ac:dyDescent="0.3">
      <c r="F17611" s="1"/>
    </row>
    <row r="17612" spans="6:14" x14ac:dyDescent="0.3">
      <c r="F17612" s="1"/>
    </row>
    <row r="17613" spans="6:14" x14ac:dyDescent="0.3">
      <c r="F17613" s="1"/>
    </row>
    <row r="17614" spans="6:14" x14ac:dyDescent="0.3">
      <c r="N17614" s="1"/>
    </row>
    <row r="17615" spans="6:14" x14ac:dyDescent="0.3">
      <c r="F17615" s="1"/>
    </row>
    <row r="17616" spans="6:14" x14ac:dyDescent="0.3">
      <c r="F17616" s="1"/>
    </row>
    <row r="17617" spans="6:15" x14ac:dyDescent="0.3">
      <c r="F17617" s="1"/>
    </row>
    <row r="17618" spans="6:15" x14ac:dyDescent="0.3">
      <c r="F17618" s="1"/>
    </row>
    <row r="17620" spans="6:15" x14ac:dyDescent="0.3">
      <c r="F17620" s="1"/>
      <c r="L17620" s="1"/>
      <c r="O17620" s="1"/>
    </row>
    <row r="17621" spans="6:15" x14ac:dyDescent="0.3">
      <c r="F17621" s="1"/>
    </row>
    <row r="17622" spans="6:15" x14ac:dyDescent="0.3">
      <c r="F17622" s="1"/>
    </row>
    <row r="17623" spans="6:15" x14ac:dyDescent="0.3">
      <c r="F17623" s="1"/>
    </row>
    <row r="17625" spans="6:15" x14ac:dyDescent="0.3">
      <c r="F17625" s="1"/>
      <c r="N17625" s="1"/>
    </row>
    <row r="17626" spans="6:15" x14ac:dyDescent="0.3">
      <c r="F17626" s="1"/>
    </row>
    <row r="17627" spans="6:15" x14ac:dyDescent="0.3">
      <c r="F17627" s="1"/>
    </row>
    <row r="17628" spans="6:15" x14ac:dyDescent="0.3">
      <c r="F17628" s="1"/>
      <c r="L17628" s="1"/>
    </row>
    <row r="17630" spans="6:15" x14ac:dyDescent="0.3">
      <c r="F17630" s="1"/>
      <c r="M17630" s="1"/>
      <c r="N17630" s="1"/>
    </row>
    <row r="17631" spans="6:15" x14ac:dyDescent="0.3">
      <c r="F17631" s="1"/>
    </row>
    <row r="17632" spans="6:15" x14ac:dyDescent="0.3">
      <c r="F17632" s="1"/>
    </row>
    <row r="17633" spans="6:15" x14ac:dyDescent="0.3">
      <c r="F17633" s="1"/>
    </row>
    <row r="17634" spans="6:15" x14ac:dyDescent="0.3">
      <c r="F17634" s="1"/>
    </row>
    <row r="17635" spans="6:15" x14ac:dyDescent="0.3">
      <c r="F17635" s="1"/>
    </row>
    <row r="17637" spans="6:15" x14ac:dyDescent="0.3">
      <c r="F17637" s="1"/>
    </row>
    <row r="17638" spans="6:15" x14ac:dyDescent="0.3">
      <c r="F17638" s="1"/>
    </row>
    <row r="17639" spans="6:15" x14ac:dyDescent="0.3">
      <c r="F17639" s="1"/>
    </row>
    <row r="17640" spans="6:15" x14ac:dyDescent="0.3">
      <c r="F17640" s="1"/>
    </row>
    <row r="17641" spans="6:15" x14ac:dyDescent="0.3">
      <c r="F17641" s="1"/>
    </row>
    <row r="17642" spans="6:15" x14ac:dyDescent="0.3">
      <c r="N17642" s="1"/>
    </row>
    <row r="17643" spans="6:15" x14ac:dyDescent="0.3">
      <c r="F17643" s="1"/>
    </row>
    <row r="17644" spans="6:15" x14ac:dyDescent="0.3">
      <c r="F17644" s="1"/>
      <c r="N17644" s="1"/>
    </row>
    <row r="17645" spans="6:15" x14ac:dyDescent="0.3">
      <c r="F17645" s="1"/>
      <c r="N17645" s="1"/>
    </row>
    <row r="17646" spans="6:15" x14ac:dyDescent="0.3">
      <c r="O17646" s="1"/>
    </row>
    <row r="17649" spans="6:14" x14ac:dyDescent="0.3">
      <c r="F17649" s="1"/>
    </row>
    <row r="17651" spans="6:14" x14ac:dyDescent="0.3">
      <c r="F17651" s="1"/>
    </row>
    <row r="17652" spans="6:14" x14ac:dyDescent="0.3">
      <c r="F17652" s="1"/>
    </row>
    <row r="17653" spans="6:14" x14ac:dyDescent="0.3">
      <c r="F17653" s="1"/>
    </row>
    <row r="17654" spans="6:14" x14ac:dyDescent="0.3">
      <c r="F17654" s="1"/>
    </row>
    <row r="17655" spans="6:14" x14ac:dyDescent="0.3">
      <c r="F17655" s="1"/>
    </row>
    <row r="17656" spans="6:14" x14ac:dyDescent="0.3">
      <c r="F17656" s="1"/>
    </row>
    <row r="17658" spans="6:14" x14ac:dyDescent="0.3">
      <c r="L17658" s="1"/>
      <c r="N17658" s="1"/>
    </row>
    <row r="17659" spans="6:14" x14ac:dyDescent="0.3">
      <c r="F17659" s="1"/>
    </row>
    <row r="17660" spans="6:14" x14ac:dyDescent="0.3">
      <c r="M17660" s="1"/>
    </row>
    <row r="17661" spans="6:14" x14ac:dyDescent="0.3">
      <c r="F17661" s="1"/>
    </row>
    <row r="17662" spans="6:14" x14ac:dyDescent="0.3">
      <c r="F17662" s="1"/>
    </row>
    <row r="17663" spans="6:14" x14ac:dyDescent="0.3">
      <c r="F17663" s="1"/>
    </row>
    <row r="17664" spans="6:14" x14ac:dyDescent="0.3">
      <c r="F17664" s="1"/>
      <c r="L17664" s="1"/>
    </row>
    <row r="17665" spans="6:6" x14ac:dyDescent="0.3">
      <c r="F17665" s="1"/>
    </row>
    <row r="17666" spans="6:6" x14ac:dyDescent="0.3">
      <c r="F17666" s="1"/>
    </row>
    <row r="17667" spans="6:6" x14ac:dyDescent="0.3">
      <c r="F17667" s="1"/>
    </row>
    <row r="17668" spans="6:6" x14ac:dyDescent="0.3">
      <c r="F17668" s="1"/>
    </row>
    <row r="17669" spans="6:6" x14ac:dyDescent="0.3">
      <c r="F17669" s="1"/>
    </row>
    <row r="17671" spans="6:6" x14ac:dyDescent="0.3">
      <c r="F17671" s="1"/>
    </row>
    <row r="17672" spans="6:6" x14ac:dyDescent="0.3">
      <c r="F17672" s="1"/>
    </row>
    <row r="17673" spans="6:6" x14ac:dyDescent="0.3">
      <c r="F17673" s="1"/>
    </row>
    <row r="17675" spans="6:6" x14ac:dyDescent="0.3">
      <c r="F17675" s="1"/>
    </row>
    <row r="17676" spans="6:6" x14ac:dyDescent="0.3">
      <c r="F17676" s="1"/>
    </row>
    <row r="17677" spans="6:6" x14ac:dyDescent="0.3">
      <c r="F17677" s="1"/>
    </row>
    <row r="17678" spans="6:6" x14ac:dyDescent="0.3">
      <c r="F17678" s="1"/>
    </row>
    <row r="17679" spans="6:6" x14ac:dyDescent="0.3">
      <c r="F17679" s="1"/>
    </row>
    <row r="17680" spans="6:6" x14ac:dyDescent="0.3">
      <c r="F17680" s="1"/>
    </row>
    <row r="17681" spans="6:13" x14ac:dyDescent="0.3">
      <c r="F17681" s="1"/>
    </row>
    <row r="17682" spans="6:13" x14ac:dyDescent="0.3">
      <c r="F17682" s="1"/>
      <c r="L17682" s="1"/>
    </row>
    <row r="17683" spans="6:13" x14ac:dyDescent="0.3">
      <c r="F17683" s="1"/>
    </row>
    <row r="17684" spans="6:13" x14ac:dyDescent="0.3">
      <c r="F17684" s="1"/>
    </row>
    <row r="17685" spans="6:13" x14ac:dyDescent="0.3">
      <c r="F17685" s="1"/>
      <c r="M17685" s="1"/>
    </row>
    <row r="17688" spans="6:13" x14ac:dyDescent="0.3">
      <c r="F17688" s="1"/>
    </row>
    <row r="17689" spans="6:13" x14ac:dyDescent="0.3">
      <c r="F17689" s="1"/>
    </row>
    <row r="17690" spans="6:13" x14ac:dyDescent="0.3">
      <c r="F17690" s="1"/>
      <c r="L17690" s="1"/>
    </row>
    <row r="17691" spans="6:13" x14ac:dyDescent="0.3">
      <c r="F17691" s="1"/>
    </row>
    <row r="17693" spans="6:13" x14ac:dyDescent="0.3">
      <c r="F17693" s="1"/>
    </row>
    <row r="17694" spans="6:13" x14ac:dyDescent="0.3">
      <c r="F17694" s="1"/>
    </row>
    <row r="17696" spans="6:13" x14ac:dyDescent="0.3">
      <c r="F17696" s="1"/>
    </row>
    <row r="17697" spans="6:6" x14ac:dyDescent="0.3">
      <c r="F17697" s="1"/>
    </row>
    <row r="17698" spans="6:6" x14ac:dyDescent="0.3">
      <c r="F17698" s="1"/>
    </row>
    <row r="17700" spans="6:6" x14ac:dyDescent="0.3">
      <c r="F17700" s="1"/>
    </row>
    <row r="17701" spans="6:6" x14ac:dyDescent="0.3">
      <c r="F17701" s="1"/>
    </row>
    <row r="17702" spans="6:6" x14ac:dyDescent="0.3">
      <c r="F17702" s="1"/>
    </row>
    <row r="17703" spans="6:6" x14ac:dyDescent="0.3">
      <c r="F17703" s="1"/>
    </row>
    <row r="17704" spans="6:6" x14ac:dyDescent="0.3">
      <c r="F17704" s="1"/>
    </row>
    <row r="17705" spans="6:6" x14ac:dyDescent="0.3">
      <c r="F17705" s="1"/>
    </row>
    <row r="17707" spans="6:6" x14ac:dyDescent="0.3">
      <c r="F17707" s="1"/>
    </row>
    <row r="17708" spans="6:6" x14ac:dyDescent="0.3">
      <c r="F17708" s="1"/>
    </row>
    <row r="17709" spans="6:6" x14ac:dyDescent="0.3">
      <c r="F17709" s="1"/>
    </row>
    <row r="17711" spans="6:6" x14ac:dyDescent="0.3">
      <c r="F17711" s="1"/>
    </row>
    <row r="17712" spans="6:6" x14ac:dyDescent="0.3">
      <c r="F17712" s="1"/>
    </row>
    <row r="17713" spans="6:15" x14ac:dyDescent="0.3">
      <c r="F17713" s="1"/>
    </row>
    <row r="17714" spans="6:15" x14ac:dyDescent="0.3">
      <c r="F17714" s="1"/>
    </row>
    <row r="17715" spans="6:15" x14ac:dyDescent="0.3">
      <c r="F17715" s="1"/>
    </row>
    <row r="17716" spans="6:15" x14ac:dyDescent="0.3">
      <c r="F17716" s="1"/>
    </row>
    <row r="17717" spans="6:15" x14ac:dyDescent="0.3">
      <c r="F17717" s="1"/>
    </row>
    <row r="17718" spans="6:15" x14ac:dyDescent="0.3">
      <c r="F17718" s="1"/>
    </row>
    <row r="17719" spans="6:15" x14ac:dyDescent="0.3">
      <c r="F17719" s="1"/>
    </row>
    <row r="17720" spans="6:15" x14ac:dyDescent="0.3">
      <c r="L17720" s="1"/>
    </row>
    <row r="17721" spans="6:15" x14ac:dyDescent="0.3">
      <c r="F17721" s="1"/>
    </row>
    <row r="17722" spans="6:15" x14ac:dyDescent="0.3">
      <c r="F17722" s="1"/>
    </row>
    <row r="17723" spans="6:15" x14ac:dyDescent="0.3">
      <c r="F17723" s="1"/>
    </row>
    <row r="17724" spans="6:15" x14ac:dyDescent="0.3">
      <c r="F17724" s="1"/>
    </row>
    <row r="17726" spans="6:15" x14ac:dyDescent="0.3">
      <c r="F17726" s="1"/>
    </row>
    <row r="17727" spans="6:15" x14ac:dyDescent="0.3">
      <c r="F17727" s="1"/>
      <c r="L17727" s="1"/>
      <c r="M17727" s="1"/>
      <c r="O17727" s="1"/>
    </row>
    <row r="17730" spans="6:14" x14ac:dyDescent="0.3">
      <c r="F17730" s="1"/>
    </row>
    <row r="17731" spans="6:14" x14ac:dyDescent="0.3">
      <c r="F17731" s="1"/>
      <c r="L17731" s="1"/>
      <c r="M17731" s="1"/>
    </row>
    <row r="17732" spans="6:14" x14ac:dyDescent="0.3">
      <c r="F17732" s="1"/>
    </row>
    <row r="17733" spans="6:14" x14ac:dyDescent="0.3">
      <c r="F17733" s="1"/>
    </row>
    <row r="17734" spans="6:14" x14ac:dyDescent="0.3">
      <c r="F17734" s="1"/>
      <c r="N17734" s="1"/>
    </row>
    <row r="17735" spans="6:14" x14ac:dyDescent="0.3">
      <c r="F17735" s="1"/>
    </row>
    <row r="17736" spans="6:14" x14ac:dyDescent="0.3">
      <c r="F17736" s="1"/>
    </row>
    <row r="17737" spans="6:14" x14ac:dyDescent="0.3">
      <c r="F17737" s="1"/>
    </row>
    <row r="17738" spans="6:14" x14ac:dyDescent="0.3">
      <c r="F17738" s="1"/>
    </row>
    <row r="17739" spans="6:14" x14ac:dyDescent="0.3">
      <c r="F17739" s="1"/>
    </row>
    <row r="17740" spans="6:14" x14ac:dyDescent="0.3">
      <c r="F17740" s="1"/>
    </row>
    <row r="17741" spans="6:14" x14ac:dyDescent="0.3">
      <c r="F17741" s="1"/>
      <c r="M17741" s="1"/>
      <c r="N17741" s="1"/>
    </row>
    <row r="17742" spans="6:14" x14ac:dyDescent="0.3">
      <c r="F17742" s="1"/>
    </row>
    <row r="17743" spans="6:14" x14ac:dyDescent="0.3">
      <c r="F17743" s="1"/>
    </row>
    <row r="17744" spans="6:14" x14ac:dyDescent="0.3">
      <c r="F17744" s="1"/>
    </row>
    <row r="17745" spans="6:15" x14ac:dyDescent="0.3">
      <c r="F17745" s="1"/>
    </row>
    <row r="17746" spans="6:15" x14ac:dyDescent="0.3">
      <c r="F17746" s="1"/>
    </row>
    <row r="17747" spans="6:15" x14ac:dyDescent="0.3">
      <c r="F17747" s="1"/>
    </row>
    <row r="17748" spans="6:15" x14ac:dyDescent="0.3">
      <c r="F17748" s="1"/>
    </row>
    <row r="17749" spans="6:15" x14ac:dyDescent="0.3">
      <c r="F17749" s="1"/>
      <c r="N17749" s="1"/>
      <c r="O17749" s="1"/>
    </row>
    <row r="17750" spans="6:15" x14ac:dyDescent="0.3">
      <c r="F17750" s="1"/>
    </row>
    <row r="17752" spans="6:15" x14ac:dyDescent="0.3">
      <c r="F17752" s="1"/>
    </row>
    <row r="17753" spans="6:15" x14ac:dyDescent="0.3">
      <c r="F17753" s="1"/>
      <c r="M17753" s="1"/>
    </row>
    <row r="17754" spans="6:15" x14ac:dyDescent="0.3">
      <c r="F17754" s="1"/>
    </row>
    <row r="17756" spans="6:15" x14ac:dyDescent="0.3">
      <c r="F17756" s="1"/>
    </row>
    <row r="17757" spans="6:15" x14ac:dyDescent="0.3">
      <c r="F17757" s="1"/>
    </row>
    <row r="17758" spans="6:15" x14ac:dyDescent="0.3">
      <c r="F17758" s="1"/>
    </row>
    <row r="17759" spans="6:15" x14ac:dyDescent="0.3">
      <c r="F17759" s="1"/>
    </row>
    <row r="17760" spans="6:15" x14ac:dyDescent="0.3">
      <c r="F17760" s="1"/>
      <c r="M17760" s="1"/>
    </row>
    <row r="17761" spans="6:14" x14ac:dyDescent="0.3">
      <c r="F17761" s="1"/>
    </row>
    <row r="17762" spans="6:14" x14ac:dyDescent="0.3">
      <c r="F17762" s="1"/>
    </row>
    <row r="17763" spans="6:14" x14ac:dyDescent="0.3">
      <c r="F17763" s="1"/>
    </row>
    <row r="17764" spans="6:14" x14ac:dyDescent="0.3">
      <c r="F17764" s="1"/>
      <c r="N17764" s="1"/>
    </row>
    <row r="17765" spans="6:14" x14ac:dyDescent="0.3">
      <c r="F17765" s="1"/>
    </row>
    <row r="17766" spans="6:14" x14ac:dyDescent="0.3">
      <c r="F17766" s="1"/>
    </row>
    <row r="17767" spans="6:14" x14ac:dyDescent="0.3">
      <c r="F17767" s="1"/>
    </row>
    <row r="17768" spans="6:14" x14ac:dyDescent="0.3">
      <c r="F17768" s="1"/>
    </row>
    <row r="17769" spans="6:14" x14ac:dyDescent="0.3">
      <c r="F17769" s="1"/>
    </row>
    <row r="17770" spans="6:14" x14ac:dyDescent="0.3">
      <c r="F17770" s="1"/>
    </row>
    <row r="17772" spans="6:14" x14ac:dyDescent="0.3">
      <c r="F17772" s="1"/>
    </row>
    <row r="17773" spans="6:14" x14ac:dyDescent="0.3">
      <c r="F17773" s="1"/>
    </row>
    <row r="17774" spans="6:14" x14ac:dyDescent="0.3">
      <c r="F17774" s="1"/>
    </row>
    <row r="17775" spans="6:14" x14ac:dyDescent="0.3">
      <c r="F17775" s="1"/>
    </row>
    <row r="17776" spans="6:14" x14ac:dyDescent="0.3">
      <c r="F17776" s="1"/>
    </row>
    <row r="17777" spans="6:15" x14ac:dyDescent="0.3">
      <c r="F17777" s="1"/>
    </row>
    <row r="17778" spans="6:15" x14ac:dyDescent="0.3">
      <c r="F17778" s="1"/>
    </row>
    <row r="17779" spans="6:15" x14ac:dyDescent="0.3">
      <c r="F17779" s="1"/>
      <c r="M17779" s="1"/>
    </row>
    <row r="17780" spans="6:15" x14ac:dyDescent="0.3">
      <c r="F17780" s="1"/>
    </row>
    <row r="17781" spans="6:15" x14ac:dyDescent="0.3">
      <c r="F17781" s="1"/>
    </row>
    <row r="17782" spans="6:15" x14ac:dyDescent="0.3">
      <c r="L17782" s="1"/>
    </row>
    <row r="17785" spans="6:15" x14ac:dyDescent="0.3">
      <c r="F17785" s="1"/>
    </row>
    <row r="17786" spans="6:15" x14ac:dyDescent="0.3">
      <c r="F17786" s="1"/>
    </row>
    <row r="17787" spans="6:15" x14ac:dyDescent="0.3">
      <c r="F17787" s="1"/>
    </row>
    <row r="17788" spans="6:15" x14ac:dyDescent="0.3">
      <c r="N17788" s="1"/>
      <c r="O17788" s="1"/>
    </row>
    <row r="17789" spans="6:15" x14ac:dyDescent="0.3">
      <c r="M17789" s="1"/>
    </row>
    <row r="17790" spans="6:15" x14ac:dyDescent="0.3">
      <c r="F17790" s="1"/>
    </row>
    <row r="17792" spans="6:15" x14ac:dyDescent="0.3">
      <c r="F17792" s="1"/>
    </row>
    <row r="17793" spans="6:13" x14ac:dyDescent="0.3">
      <c r="F17793" s="1"/>
    </row>
    <row r="17794" spans="6:13" x14ac:dyDescent="0.3">
      <c r="F17794" s="1"/>
    </row>
    <row r="17795" spans="6:13" x14ac:dyDescent="0.3">
      <c r="F17795" s="1"/>
    </row>
    <row r="17797" spans="6:13" x14ac:dyDescent="0.3">
      <c r="F17797" s="1"/>
      <c r="L17797" s="1"/>
      <c r="M17797" s="1"/>
    </row>
    <row r="17799" spans="6:13" x14ac:dyDescent="0.3">
      <c r="F17799" s="1"/>
    </row>
    <row r="17800" spans="6:13" x14ac:dyDescent="0.3">
      <c r="F17800" s="1"/>
    </row>
    <row r="17801" spans="6:13" x14ac:dyDescent="0.3">
      <c r="F17801" s="1"/>
    </row>
    <row r="17802" spans="6:13" x14ac:dyDescent="0.3">
      <c r="F17802" s="1"/>
    </row>
    <row r="17804" spans="6:13" x14ac:dyDescent="0.3">
      <c r="F17804" s="1"/>
    </row>
    <row r="17805" spans="6:13" x14ac:dyDescent="0.3">
      <c r="F17805" s="1"/>
    </row>
    <row r="17806" spans="6:13" x14ac:dyDescent="0.3">
      <c r="F17806" s="1"/>
    </row>
    <row r="17807" spans="6:13" x14ac:dyDescent="0.3">
      <c r="F17807" s="1"/>
    </row>
    <row r="17809" spans="6:14" x14ac:dyDescent="0.3">
      <c r="F17809" s="1"/>
    </row>
    <row r="17810" spans="6:14" x14ac:dyDescent="0.3">
      <c r="F17810" s="1"/>
    </row>
    <row r="17811" spans="6:14" x14ac:dyDescent="0.3">
      <c r="F17811" s="1"/>
    </row>
    <row r="17812" spans="6:14" x14ac:dyDescent="0.3">
      <c r="F17812" s="1"/>
      <c r="M17812" s="1"/>
    </row>
    <row r="17813" spans="6:14" x14ac:dyDescent="0.3">
      <c r="F17813" s="1"/>
    </row>
    <row r="17814" spans="6:14" x14ac:dyDescent="0.3">
      <c r="F17814" s="1"/>
    </row>
    <row r="17816" spans="6:14" x14ac:dyDescent="0.3">
      <c r="F17816" s="1"/>
    </row>
    <row r="17817" spans="6:14" x14ac:dyDescent="0.3">
      <c r="F17817" s="1"/>
    </row>
    <row r="17818" spans="6:14" x14ac:dyDescent="0.3">
      <c r="F17818" s="1"/>
    </row>
    <row r="17819" spans="6:14" x14ac:dyDescent="0.3">
      <c r="F17819" s="1"/>
    </row>
    <row r="17820" spans="6:14" x14ac:dyDescent="0.3">
      <c r="F17820" s="1"/>
    </row>
    <row r="17821" spans="6:14" x14ac:dyDescent="0.3">
      <c r="F17821" s="1"/>
    </row>
    <row r="17822" spans="6:14" x14ac:dyDescent="0.3">
      <c r="F17822" s="1"/>
      <c r="N17822" s="1"/>
    </row>
    <row r="17823" spans="6:14" x14ac:dyDescent="0.3">
      <c r="F17823" s="1"/>
    </row>
    <row r="17824" spans="6:14" x14ac:dyDescent="0.3">
      <c r="F17824" s="1"/>
    </row>
    <row r="17825" spans="6:13" x14ac:dyDescent="0.3">
      <c r="F17825" s="1"/>
    </row>
    <row r="17826" spans="6:13" x14ac:dyDescent="0.3">
      <c r="F17826" s="1"/>
    </row>
    <row r="17827" spans="6:13" x14ac:dyDescent="0.3">
      <c r="F17827" s="1"/>
    </row>
    <row r="17828" spans="6:13" x14ac:dyDescent="0.3">
      <c r="F17828" s="1"/>
    </row>
    <row r="17829" spans="6:13" x14ac:dyDescent="0.3">
      <c r="F17829" s="1"/>
    </row>
    <row r="17830" spans="6:13" x14ac:dyDescent="0.3">
      <c r="M17830" s="1"/>
    </row>
    <row r="17831" spans="6:13" x14ac:dyDescent="0.3">
      <c r="F17831" s="1"/>
    </row>
    <row r="17832" spans="6:13" x14ac:dyDescent="0.3">
      <c r="F17832" s="1"/>
    </row>
    <row r="17833" spans="6:13" x14ac:dyDescent="0.3">
      <c r="F17833" s="1"/>
    </row>
    <row r="17834" spans="6:13" x14ac:dyDescent="0.3">
      <c r="F17834" s="1"/>
    </row>
    <row r="17835" spans="6:13" x14ac:dyDescent="0.3">
      <c r="F17835" s="1"/>
    </row>
    <row r="17836" spans="6:13" x14ac:dyDescent="0.3">
      <c r="F17836" s="1"/>
    </row>
    <row r="17837" spans="6:13" x14ac:dyDescent="0.3">
      <c r="F17837" s="1"/>
    </row>
    <row r="17838" spans="6:13" x14ac:dyDescent="0.3">
      <c r="F17838" s="1"/>
    </row>
    <row r="17839" spans="6:13" x14ac:dyDescent="0.3">
      <c r="F17839" s="1"/>
    </row>
    <row r="17840" spans="6:13" x14ac:dyDescent="0.3">
      <c r="F17840" s="1"/>
    </row>
    <row r="17842" spans="6:6" x14ac:dyDescent="0.3">
      <c r="F17842" s="1"/>
    </row>
    <row r="17843" spans="6:6" x14ac:dyDescent="0.3">
      <c r="F17843" s="1"/>
    </row>
    <row r="17844" spans="6:6" x14ac:dyDescent="0.3">
      <c r="F17844" s="1"/>
    </row>
    <row r="17845" spans="6:6" x14ac:dyDescent="0.3">
      <c r="F17845" s="1"/>
    </row>
    <row r="17846" spans="6:6" x14ac:dyDescent="0.3">
      <c r="F17846" s="1"/>
    </row>
    <row r="17847" spans="6:6" x14ac:dyDescent="0.3">
      <c r="F17847" s="1"/>
    </row>
    <row r="17848" spans="6:6" x14ac:dyDescent="0.3">
      <c r="F17848" s="1"/>
    </row>
    <row r="17849" spans="6:6" x14ac:dyDescent="0.3">
      <c r="F17849" s="1"/>
    </row>
    <row r="17850" spans="6:6" x14ac:dyDescent="0.3">
      <c r="F17850" s="1"/>
    </row>
    <row r="17851" spans="6:6" x14ac:dyDescent="0.3">
      <c r="F17851" s="1"/>
    </row>
    <row r="17852" spans="6:6" x14ac:dyDescent="0.3">
      <c r="F17852" s="1"/>
    </row>
    <row r="17853" spans="6:6" x14ac:dyDescent="0.3">
      <c r="F17853" s="1"/>
    </row>
    <row r="17854" spans="6:6" x14ac:dyDescent="0.3">
      <c r="F17854" s="1"/>
    </row>
    <row r="17855" spans="6:6" x14ac:dyDescent="0.3">
      <c r="F17855" s="1"/>
    </row>
    <row r="17857" spans="6:15" x14ac:dyDescent="0.3">
      <c r="F17857" s="1"/>
    </row>
    <row r="17858" spans="6:15" x14ac:dyDescent="0.3">
      <c r="F17858" s="1"/>
    </row>
    <row r="17859" spans="6:15" x14ac:dyDescent="0.3">
      <c r="F17859" s="1"/>
    </row>
    <row r="17860" spans="6:15" x14ac:dyDescent="0.3">
      <c r="F17860" s="1"/>
      <c r="M17860" s="1"/>
      <c r="N17860" s="1"/>
    </row>
    <row r="17861" spans="6:15" x14ac:dyDescent="0.3">
      <c r="F17861" s="1"/>
    </row>
    <row r="17862" spans="6:15" x14ac:dyDescent="0.3">
      <c r="F17862" s="1"/>
    </row>
    <row r="17863" spans="6:15" x14ac:dyDescent="0.3">
      <c r="F17863" s="1"/>
    </row>
    <row r="17864" spans="6:15" x14ac:dyDescent="0.3">
      <c r="F17864" s="1"/>
    </row>
    <row r="17865" spans="6:15" x14ac:dyDescent="0.3">
      <c r="F17865" s="1"/>
      <c r="N17865" s="1"/>
      <c r="O17865" s="1"/>
    </row>
    <row r="17866" spans="6:15" x14ac:dyDescent="0.3">
      <c r="L17866" s="1"/>
      <c r="M17866" s="1"/>
      <c r="N17866" s="1"/>
      <c r="O17866" s="1"/>
    </row>
    <row r="17867" spans="6:15" x14ac:dyDescent="0.3">
      <c r="F17867" s="1"/>
    </row>
    <row r="17868" spans="6:15" x14ac:dyDescent="0.3">
      <c r="F17868" s="1"/>
      <c r="N17868" s="1"/>
    </row>
    <row r="17869" spans="6:15" x14ac:dyDescent="0.3">
      <c r="L17869" s="1"/>
      <c r="M17869" s="1"/>
      <c r="N17869" s="1"/>
      <c r="O17869" s="1"/>
    </row>
    <row r="17870" spans="6:15" x14ac:dyDescent="0.3">
      <c r="F17870" s="1"/>
    </row>
    <row r="17871" spans="6:15" x14ac:dyDescent="0.3">
      <c r="F17871" s="1"/>
    </row>
    <row r="17872" spans="6:15" x14ac:dyDescent="0.3">
      <c r="M17872" s="1"/>
    </row>
    <row r="17873" spans="6:15" x14ac:dyDescent="0.3">
      <c r="F17873" s="1"/>
    </row>
    <row r="17874" spans="6:15" x14ac:dyDescent="0.3">
      <c r="F17874" s="1"/>
    </row>
    <row r="17876" spans="6:15" x14ac:dyDescent="0.3">
      <c r="F17876" s="1"/>
    </row>
    <row r="17877" spans="6:15" x14ac:dyDescent="0.3">
      <c r="L17877" s="1"/>
      <c r="M17877" s="1"/>
      <c r="O17877" s="1"/>
    </row>
    <row r="17878" spans="6:15" x14ac:dyDescent="0.3">
      <c r="F17878" s="1"/>
    </row>
    <row r="17879" spans="6:15" x14ac:dyDescent="0.3">
      <c r="F17879" s="1"/>
    </row>
    <row r="17880" spans="6:15" x14ac:dyDescent="0.3">
      <c r="F17880" s="1"/>
    </row>
    <row r="17881" spans="6:15" x14ac:dyDescent="0.3">
      <c r="F17881" s="1"/>
    </row>
    <row r="17882" spans="6:15" x14ac:dyDescent="0.3">
      <c r="F17882" s="1"/>
    </row>
    <row r="17883" spans="6:15" x14ac:dyDescent="0.3">
      <c r="F17883" s="1"/>
    </row>
    <row r="17884" spans="6:15" x14ac:dyDescent="0.3">
      <c r="F17884" s="1"/>
    </row>
    <row r="17885" spans="6:15" x14ac:dyDescent="0.3">
      <c r="L17885" s="1"/>
      <c r="O17885" s="1"/>
    </row>
    <row r="17887" spans="6:15" x14ac:dyDescent="0.3">
      <c r="F17887" s="1"/>
    </row>
    <row r="17889" spans="6:6" x14ac:dyDescent="0.3">
      <c r="F17889" s="1"/>
    </row>
    <row r="17890" spans="6:6" x14ac:dyDescent="0.3">
      <c r="F17890" s="1"/>
    </row>
    <row r="17891" spans="6:6" x14ac:dyDescent="0.3">
      <c r="F17891" s="1"/>
    </row>
    <row r="17892" spans="6:6" x14ac:dyDescent="0.3">
      <c r="F17892" s="1"/>
    </row>
    <row r="17893" spans="6:6" x14ac:dyDescent="0.3">
      <c r="F17893" s="1"/>
    </row>
    <row r="17894" spans="6:6" x14ac:dyDescent="0.3">
      <c r="F17894" s="1"/>
    </row>
    <row r="17896" spans="6:6" x14ac:dyDescent="0.3">
      <c r="F17896" s="1"/>
    </row>
    <row r="17897" spans="6:6" x14ac:dyDescent="0.3">
      <c r="F17897" s="1"/>
    </row>
    <row r="17898" spans="6:6" x14ac:dyDescent="0.3">
      <c r="F17898" s="1"/>
    </row>
    <row r="17899" spans="6:6" x14ac:dyDescent="0.3">
      <c r="F17899" s="1"/>
    </row>
    <row r="17901" spans="6:6" x14ac:dyDescent="0.3">
      <c r="F17901" s="1"/>
    </row>
    <row r="17902" spans="6:6" x14ac:dyDescent="0.3">
      <c r="F17902" s="1"/>
    </row>
    <row r="17904" spans="6:6" x14ac:dyDescent="0.3">
      <c r="F17904" s="1"/>
    </row>
    <row r="17905" spans="6:6" x14ac:dyDescent="0.3">
      <c r="F17905" s="1"/>
    </row>
    <row r="17907" spans="6:6" x14ac:dyDescent="0.3">
      <c r="F17907" s="1"/>
    </row>
    <row r="17908" spans="6:6" x14ac:dyDescent="0.3">
      <c r="F17908" s="1"/>
    </row>
    <row r="17909" spans="6:6" x14ac:dyDescent="0.3">
      <c r="F17909" s="1"/>
    </row>
    <row r="17910" spans="6:6" x14ac:dyDescent="0.3">
      <c r="F17910" s="1"/>
    </row>
    <row r="17911" spans="6:6" x14ac:dyDescent="0.3">
      <c r="F17911" s="1"/>
    </row>
    <row r="17912" spans="6:6" x14ac:dyDescent="0.3">
      <c r="F17912" s="1"/>
    </row>
    <row r="17913" spans="6:6" x14ac:dyDescent="0.3">
      <c r="F17913" s="1"/>
    </row>
    <row r="17914" spans="6:6" x14ac:dyDescent="0.3">
      <c r="F17914" s="1"/>
    </row>
    <row r="17915" spans="6:6" x14ac:dyDescent="0.3">
      <c r="F17915" s="1"/>
    </row>
    <row r="17917" spans="6:6" x14ac:dyDescent="0.3">
      <c r="F17917" s="1"/>
    </row>
    <row r="17918" spans="6:6" x14ac:dyDescent="0.3">
      <c r="F17918" s="1"/>
    </row>
    <row r="17919" spans="6:6" x14ac:dyDescent="0.3">
      <c r="F17919" s="1"/>
    </row>
    <row r="17920" spans="6:6" x14ac:dyDescent="0.3">
      <c r="F17920" s="1"/>
    </row>
    <row r="17921" spans="6:13" x14ac:dyDescent="0.3">
      <c r="F17921" s="1"/>
    </row>
    <row r="17922" spans="6:13" x14ac:dyDescent="0.3">
      <c r="F17922" s="1"/>
    </row>
    <row r="17923" spans="6:13" x14ac:dyDescent="0.3">
      <c r="F17923" s="1"/>
    </row>
    <row r="17925" spans="6:13" x14ac:dyDescent="0.3">
      <c r="F17925" s="1"/>
    </row>
    <row r="17926" spans="6:13" x14ac:dyDescent="0.3">
      <c r="F17926" s="1"/>
      <c r="L17926" s="1"/>
    </row>
    <row r="17927" spans="6:13" x14ac:dyDescent="0.3">
      <c r="F17927" s="1"/>
    </row>
    <row r="17928" spans="6:13" x14ac:dyDescent="0.3">
      <c r="F17928" s="1"/>
    </row>
    <row r="17929" spans="6:13" x14ac:dyDescent="0.3">
      <c r="F17929" s="1"/>
    </row>
    <row r="17930" spans="6:13" x14ac:dyDescent="0.3">
      <c r="M17930" s="1"/>
    </row>
    <row r="17931" spans="6:13" x14ac:dyDescent="0.3">
      <c r="F17931" s="1"/>
    </row>
    <row r="17932" spans="6:13" x14ac:dyDescent="0.3">
      <c r="F17932" s="1"/>
    </row>
    <row r="17933" spans="6:13" x14ac:dyDescent="0.3">
      <c r="F17933" s="1"/>
    </row>
    <row r="17934" spans="6:13" x14ac:dyDescent="0.3">
      <c r="F17934" s="1"/>
    </row>
    <row r="17935" spans="6:13" x14ac:dyDescent="0.3">
      <c r="F17935" s="1"/>
    </row>
    <row r="17936" spans="6:13" x14ac:dyDescent="0.3">
      <c r="F17936" s="1"/>
    </row>
    <row r="17937" spans="6:14" x14ac:dyDescent="0.3">
      <c r="F17937" s="1"/>
    </row>
    <row r="17939" spans="6:14" x14ac:dyDescent="0.3">
      <c r="F17939" s="1"/>
    </row>
    <row r="17940" spans="6:14" x14ac:dyDescent="0.3">
      <c r="F17940" s="1"/>
    </row>
    <row r="17944" spans="6:14" x14ac:dyDescent="0.3">
      <c r="F17944" s="1"/>
    </row>
    <row r="17945" spans="6:14" x14ac:dyDescent="0.3">
      <c r="F17945" s="1"/>
      <c r="N17945" s="1"/>
    </row>
    <row r="17946" spans="6:14" x14ac:dyDescent="0.3">
      <c r="F17946" s="1"/>
    </row>
    <row r="17948" spans="6:14" x14ac:dyDescent="0.3">
      <c r="F17948" s="1"/>
    </row>
    <row r="17949" spans="6:14" x14ac:dyDescent="0.3">
      <c r="F17949" s="1"/>
    </row>
    <row r="17950" spans="6:14" x14ac:dyDescent="0.3">
      <c r="F17950" s="1"/>
    </row>
    <row r="17951" spans="6:14" x14ac:dyDescent="0.3">
      <c r="F17951" s="1"/>
    </row>
    <row r="17953" spans="6:15" x14ac:dyDescent="0.3">
      <c r="F17953" s="1"/>
    </row>
    <row r="17954" spans="6:15" x14ac:dyDescent="0.3">
      <c r="F17954" s="1"/>
      <c r="L17954" s="1"/>
      <c r="M17954" s="1"/>
      <c r="O17954" s="1"/>
    </row>
    <row r="17955" spans="6:15" x14ac:dyDescent="0.3">
      <c r="F17955" s="1"/>
      <c r="M17955" s="1"/>
    </row>
    <row r="17956" spans="6:15" x14ac:dyDescent="0.3">
      <c r="F17956" s="1"/>
      <c r="L17956" s="1"/>
      <c r="M17956" s="1"/>
      <c r="N17956" s="1"/>
      <c r="O17956" s="1"/>
    </row>
    <row r="17957" spans="6:15" x14ac:dyDescent="0.3">
      <c r="F17957" s="1"/>
      <c r="L17957" s="1"/>
      <c r="O17957" s="1"/>
    </row>
    <row r="17958" spans="6:15" x14ac:dyDescent="0.3">
      <c r="F17958" s="1"/>
    </row>
    <row r="17960" spans="6:15" x14ac:dyDescent="0.3">
      <c r="F17960" s="1"/>
    </row>
    <row r="17961" spans="6:15" x14ac:dyDescent="0.3">
      <c r="F17961" s="1"/>
    </row>
    <row r="17962" spans="6:15" x14ac:dyDescent="0.3">
      <c r="F17962" s="1"/>
    </row>
    <row r="17963" spans="6:15" x14ac:dyDescent="0.3">
      <c r="F17963" s="1"/>
    </row>
    <row r="17964" spans="6:15" x14ac:dyDescent="0.3">
      <c r="F17964" s="1"/>
    </row>
    <row r="17965" spans="6:15" x14ac:dyDescent="0.3">
      <c r="F17965" s="1"/>
    </row>
    <row r="17966" spans="6:15" x14ac:dyDescent="0.3">
      <c r="F17966" s="1"/>
    </row>
    <row r="17968" spans="6:15" x14ac:dyDescent="0.3">
      <c r="F17968" s="1"/>
    </row>
    <row r="17969" spans="6:15" x14ac:dyDescent="0.3">
      <c r="F17969" s="1"/>
    </row>
    <row r="17970" spans="6:15" x14ac:dyDescent="0.3">
      <c r="F17970" s="1"/>
    </row>
    <row r="17972" spans="6:15" x14ac:dyDescent="0.3">
      <c r="F17972" s="1"/>
      <c r="L17972" s="1"/>
      <c r="M17972" s="1"/>
      <c r="O17972" s="1"/>
    </row>
    <row r="17974" spans="6:15" x14ac:dyDescent="0.3">
      <c r="F17974" s="1"/>
    </row>
    <row r="17975" spans="6:15" x14ac:dyDescent="0.3">
      <c r="F17975" s="1"/>
    </row>
    <row r="17976" spans="6:15" x14ac:dyDescent="0.3">
      <c r="F17976" s="1"/>
      <c r="L17976" s="1"/>
      <c r="M17976" s="1"/>
      <c r="N17976" s="1"/>
      <c r="O17976" s="1"/>
    </row>
    <row r="17977" spans="6:15" x14ac:dyDescent="0.3">
      <c r="F17977" s="1"/>
    </row>
    <row r="17978" spans="6:15" x14ac:dyDescent="0.3">
      <c r="F17978" s="1"/>
    </row>
    <row r="17979" spans="6:15" x14ac:dyDescent="0.3">
      <c r="F17979" s="1"/>
    </row>
    <row r="17980" spans="6:15" x14ac:dyDescent="0.3">
      <c r="F17980" s="1"/>
    </row>
    <row r="17981" spans="6:15" x14ac:dyDescent="0.3">
      <c r="F17981" s="1"/>
    </row>
    <row r="17982" spans="6:15" x14ac:dyDescent="0.3">
      <c r="F17982" s="1"/>
    </row>
    <row r="17984" spans="6:15" x14ac:dyDescent="0.3">
      <c r="F17984" s="1"/>
    </row>
    <row r="17985" spans="6:6" x14ac:dyDescent="0.3">
      <c r="F17985" s="1"/>
    </row>
    <row r="17986" spans="6:6" x14ac:dyDescent="0.3">
      <c r="F17986" s="1"/>
    </row>
    <row r="17987" spans="6:6" x14ac:dyDescent="0.3">
      <c r="F17987" s="1"/>
    </row>
    <row r="17989" spans="6:6" x14ac:dyDescent="0.3">
      <c r="F17989" s="1"/>
    </row>
    <row r="17990" spans="6:6" x14ac:dyDescent="0.3">
      <c r="F17990" s="1"/>
    </row>
    <row r="17991" spans="6:6" x14ac:dyDescent="0.3">
      <c r="F17991" s="1"/>
    </row>
    <row r="17992" spans="6:6" x14ac:dyDescent="0.3">
      <c r="F17992" s="1"/>
    </row>
    <row r="17994" spans="6:6" x14ac:dyDescent="0.3">
      <c r="F17994" s="1"/>
    </row>
    <row r="17995" spans="6:6" x14ac:dyDescent="0.3">
      <c r="F17995" s="1"/>
    </row>
    <row r="17996" spans="6:6" x14ac:dyDescent="0.3">
      <c r="F17996" s="1"/>
    </row>
    <row r="17997" spans="6:6" x14ac:dyDescent="0.3">
      <c r="F17997" s="1"/>
    </row>
    <row r="17998" spans="6:6" x14ac:dyDescent="0.3">
      <c r="F17998" s="1"/>
    </row>
    <row r="17999" spans="6:6" x14ac:dyDescent="0.3">
      <c r="F17999" s="1"/>
    </row>
    <row r="18000" spans="6:6" x14ac:dyDescent="0.3">
      <c r="F18000" s="1"/>
    </row>
    <row r="18001" spans="6:15" x14ac:dyDescent="0.3">
      <c r="F18001" s="1"/>
    </row>
    <row r="18003" spans="6:15" x14ac:dyDescent="0.3">
      <c r="M18003" s="1"/>
      <c r="N18003" s="1"/>
      <c r="O18003" s="1"/>
    </row>
    <row r="18004" spans="6:15" x14ac:dyDescent="0.3">
      <c r="F18004" s="1"/>
    </row>
    <row r="18005" spans="6:15" x14ac:dyDescent="0.3">
      <c r="F18005" s="1"/>
    </row>
    <row r="18006" spans="6:15" x14ac:dyDescent="0.3">
      <c r="F18006" s="1"/>
    </row>
    <row r="18007" spans="6:15" x14ac:dyDescent="0.3">
      <c r="F18007" s="1"/>
    </row>
    <row r="18009" spans="6:15" x14ac:dyDescent="0.3">
      <c r="F18009" s="1"/>
    </row>
    <row r="18010" spans="6:15" x14ac:dyDescent="0.3">
      <c r="F18010" s="1"/>
    </row>
    <row r="18011" spans="6:15" x14ac:dyDescent="0.3">
      <c r="F18011" s="1"/>
    </row>
    <row r="18013" spans="6:15" x14ac:dyDescent="0.3">
      <c r="F18013" s="1"/>
    </row>
    <row r="18014" spans="6:15" x14ac:dyDescent="0.3">
      <c r="F18014" s="1"/>
    </row>
    <row r="18016" spans="6:15" x14ac:dyDescent="0.3">
      <c r="F18016" s="1"/>
    </row>
    <row r="18017" spans="6:13" x14ac:dyDescent="0.3">
      <c r="F18017" s="1"/>
    </row>
    <row r="18018" spans="6:13" x14ac:dyDescent="0.3">
      <c r="F18018" s="1"/>
    </row>
    <row r="18019" spans="6:13" x14ac:dyDescent="0.3">
      <c r="F18019" s="1"/>
    </row>
    <row r="18020" spans="6:13" x14ac:dyDescent="0.3">
      <c r="F18020" s="1"/>
    </row>
    <row r="18021" spans="6:13" x14ac:dyDescent="0.3">
      <c r="F18021" s="1"/>
    </row>
    <row r="18022" spans="6:13" x14ac:dyDescent="0.3">
      <c r="F18022" s="1"/>
    </row>
    <row r="18023" spans="6:13" x14ac:dyDescent="0.3">
      <c r="F18023" s="1"/>
      <c r="M18023" s="1"/>
    </row>
    <row r="18024" spans="6:13" x14ac:dyDescent="0.3">
      <c r="F18024" s="1"/>
    </row>
    <row r="18025" spans="6:13" x14ac:dyDescent="0.3">
      <c r="F18025" s="1"/>
    </row>
    <row r="18026" spans="6:13" x14ac:dyDescent="0.3">
      <c r="F18026" s="1"/>
    </row>
    <row r="18027" spans="6:13" x14ac:dyDescent="0.3">
      <c r="F18027" s="1"/>
    </row>
    <row r="18028" spans="6:13" x14ac:dyDescent="0.3">
      <c r="F18028" s="1"/>
    </row>
    <row r="18029" spans="6:13" x14ac:dyDescent="0.3">
      <c r="F18029" s="1"/>
    </row>
    <row r="18031" spans="6:13" x14ac:dyDescent="0.3">
      <c r="F18031" s="1"/>
    </row>
    <row r="18032" spans="6:13" x14ac:dyDescent="0.3">
      <c r="F18032" s="1"/>
    </row>
    <row r="18033" spans="6:15" x14ac:dyDescent="0.3">
      <c r="F18033" s="1"/>
    </row>
    <row r="18034" spans="6:15" x14ac:dyDescent="0.3">
      <c r="F18034" s="1"/>
    </row>
    <row r="18035" spans="6:15" x14ac:dyDescent="0.3">
      <c r="F18035" s="1"/>
    </row>
    <row r="18036" spans="6:15" x14ac:dyDescent="0.3">
      <c r="F18036" s="1"/>
      <c r="M18036" s="1"/>
    </row>
    <row r="18037" spans="6:15" x14ac:dyDescent="0.3">
      <c r="F18037" s="1"/>
    </row>
    <row r="18038" spans="6:15" x14ac:dyDescent="0.3">
      <c r="F18038" s="1"/>
    </row>
    <row r="18039" spans="6:15" x14ac:dyDescent="0.3">
      <c r="F18039" s="1"/>
    </row>
    <row r="18041" spans="6:15" x14ac:dyDescent="0.3">
      <c r="F18041" s="1"/>
    </row>
    <row r="18042" spans="6:15" x14ac:dyDescent="0.3">
      <c r="F18042" s="1"/>
    </row>
    <row r="18043" spans="6:15" x14ac:dyDescent="0.3">
      <c r="F18043" s="1"/>
      <c r="L18043" s="1"/>
      <c r="M18043" s="1"/>
      <c r="N18043" s="1"/>
      <c r="O18043" s="1"/>
    </row>
    <row r="18045" spans="6:15" x14ac:dyDescent="0.3">
      <c r="F18045" s="1"/>
    </row>
    <row r="18047" spans="6:15" x14ac:dyDescent="0.3">
      <c r="N18047" s="1"/>
    </row>
    <row r="18049" spans="6:14" x14ac:dyDescent="0.3">
      <c r="F18049" s="1"/>
    </row>
    <row r="18050" spans="6:14" x14ac:dyDescent="0.3">
      <c r="F18050" s="1"/>
    </row>
    <row r="18051" spans="6:14" x14ac:dyDescent="0.3">
      <c r="F18051" s="1"/>
    </row>
    <row r="18052" spans="6:14" x14ac:dyDescent="0.3">
      <c r="F18052" s="1"/>
      <c r="L18052" s="1"/>
    </row>
    <row r="18053" spans="6:14" x14ac:dyDescent="0.3">
      <c r="F18053" s="1"/>
    </row>
    <row r="18054" spans="6:14" x14ac:dyDescent="0.3">
      <c r="F18054" s="1"/>
    </row>
    <row r="18055" spans="6:14" x14ac:dyDescent="0.3">
      <c r="F18055" s="1"/>
      <c r="N18055" s="1"/>
    </row>
    <row r="18056" spans="6:14" x14ac:dyDescent="0.3">
      <c r="F18056" s="1"/>
    </row>
    <row r="18057" spans="6:14" x14ac:dyDescent="0.3">
      <c r="F18057" s="1"/>
    </row>
    <row r="18058" spans="6:14" x14ac:dyDescent="0.3">
      <c r="F18058" s="1"/>
    </row>
    <row r="18059" spans="6:14" x14ac:dyDescent="0.3">
      <c r="F18059" s="1"/>
    </row>
    <row r="18060" spans="6:14" x14ac:dyDescent="0.3">
      <c r="F18060" s="1"/>
    </row>
    <row r="18061" spans="6:14" x14ac:dyDescent="0.3">
      <c r="F18061" s="1"/>
    </row>
    <row r="18062" spans="6:14" x14ac:dyDescent="0.3">
      <c r="F18062" s="1"/>
    </row>
    <row r="18063" spans="6:14" x14ac:dyDescent="0.3">
      <c r="F18063" s="1"/>
    </row>
    <row r="18064" spans="6:14" x14ac:dyDescent="0.3">
      <c r="F18064" s="1"/>
    </row>
    <row r="18065" spans="6:15" x14ac:dyDescent="0.3">
      <c r="F18065" s="1"/>
    </row>
    <row r="18066" spans="6:15" x14ac:dyDescent="0.3">
      <c r="F18066" s="1"/>
    </row>
    <row r="18067" spans="6:15" x14ac:dyDescent="0.3">
      <c r="F18067" s="1"/>
    </row>
    <row r="18068" spans="6:15" x14ac:dyDescent="0.3">
      <c r="F18068" s="1"/>
    </row>
    <row r="18069" spans="6:15" x14ac:dyDescent="0.3">
      <c r="F18069" s="1"/>
    </row>
    <row r="18070" spans="6:15" x14ac:dyDescent="0.3">
      <c r="F18070" s="1"/>
    </row>
    <row r="18072" spans="6:15" x14ac:dyDescent="0.3">
      <c r="F18072" s="1"/>
    </row>
    <row r="18073" spans="6:15" x14ac:dyDescent="0.3">
      <c r="F18073" s="1"/>
      <c r="N18073" s="1"/>
      <c r="O18073" s="1"/>
    </row>
    <row r="18074" spans="6:15" x14ac:dyDescent="0.3">
      <c r="F18074" s="1"/>
    </row>
    <row r="18075" spans="6:15" x14ac:dyDescent="0.3">
      <c r="F18075" s="1"/>
    </row>
    <row r="18076" spans="6:15" x14ac:dyDescent="0.3">
      <c r="F18076" s="1"/>
    </row>
    <row r="18077" spans="6:15" x14ac:dyDescent="0.3">
      <c r="F18077" s="1"/>
    </row>
    <row r="18079" spans="6:15" x14ac:dyDescent="0.3">
      <c r="F18079" s="1"/>
    </row>
    <row r="18080" spans="6:15" x14ac:dyDescent="0.3">
      <c r="F18080" s="1"/>
    </row>
    <row r="18081" spans="6:14" x14ac:dyDescent="0.3">
      <c r="F18081" s="1"/>
    </row>
    <row r="18082" spans="6:14" x14ac:dyDescent="0.3">
      <c r="F18082" s="1"/>
    </row>
    <row r="18083" spans="6:14" x14ac:dyDescent="0.3">
      <c r="F18083" s="1"/>
    </row>
    <row r="18084" spans="6:14" x14ac:dyDescent="0.3">
      <c r="F18084" s="1"/>
    </row>
    <row r="18085" spans="6:14" x14ac:dyDescent="0.3">
      <c r="F18085" s="1"/>
    </row>
    <row r="18086" spans="6:14" x14ac:dyDescent="0.3">
      <c r="N18086" s="1"/>
    </row>
    <row r="18087" spans="6:14" x14ac:dyDescent="0.3">
      <c r="F18087" s="1"/>
    </row>
    <row r="18088" spans="6:14" x14ac:dyDescent="0.3">
      <c r="F18088" s="1"/>
    </row>
    <row r="18089" spans="6:14" x14ac:dyDescent="0.3">
      <c r="F18089" s="1"/>
    </row>
    <row r="18091" spans="6:14" x14ac:dyDescent="0.3">
      <c r="F18091" s="1"/>
    </row>
    <row r="18092" spans="6:14" x14ac:dyDescent="0.3">
      <c r="F18092" s="1"/>
    </row>
    <row r="18093" spans="6:14" x14ac:dyDescent="0.3">
      <c r="N18093" s="1"/>
    </row>
    <row r="18094" spans="6:14" x14ac:dyDescent="0.3">
      <c r="F18094" s="1"/>
    </row>
    <row r="18095" spans="6:14" x14ac:dyDescent="0.3">
      <c r="F18095" s="1"/>
    </row>
    <row r="18096" spans="6:14" x14ac:dyDescent="0.3">
      <c r="F18096" s="1"/>
    </row>
    <row r="18097" spans="6:6" x14ac:dyDescent="0.3">
      <c r="F18097" s="1"/>
    </row>
    <row r="18098" spans="6:6" x14ac:dyDescent="0.3">
      <c r="F18098" s="1"/>
    </row>
    <row r="18099" spans="6:6" x14ac:dyDescent="0.3">
      <c r="F18099" s="1"/>
    </row>
    <row r="18101" spans="6:6" x14ac:dyDescent="0.3">
      <c r="F18101" s="1"/>
    </row>
    <row r="18102" spans="6:6" x14ac:dyDescent="0.3">
      <c r="F18102" s="1"/>
    </row>
    <row r="18103" spans="6:6" x14ac:dyDescent="0.3">
      <c r="F18103" s="1"/>
    </row>
    <row r="18104" spans="6:6" x14ac:dyDescent="0.3">
      <c r="F18104" s="1"/>
    </row>
    <row r="18105" spans="6:6" x14ac:dyDescent="0.3">
      <c r="F18105" s="1"/>
    </row>
    <row r="18106" spans="6:6" x14ac:dyDescent="0.3">
      <c r="F18106" s="1"/>
    </row>
    <row r="18107" spans="6:6" x14ac:dyDescent="0.3">
      <c r="F18107" s="1"/>
    </row>
    <row r="18109" spans="6:6" x14ac:dyDescent="0.3">
      <c r="F18109" s="1"/>
    </row>
    <row r="18110" spans="6:6" x14ac:dyDescent="0.3">
      <c r="F18110" s="1"/>
    </row>
    <row r="18111" spans="6:6" x14ac:dyDescent="0.3">
      <c r="F18111" s="1"/>
    </row>
    <row r="18112" spans="6:6" x14ac:dyDescent="0.3">
      <c r="F18112" s="1"/>
    </row>
    <row r="18113" spans="6:15" x14ac:dyDescent="0.3">
      <c r="F18113" s="1"/>
    </row>
    <row r="18114" spans="6:15" x14ac:dyDescent="0.3">
      <c r="F18114" s="1"/>
    </row>
    <row r="18115" spans="6:15" x14ac:dyDescent="0.3">
      <c r="F18115" s="1"/>
    </row>
    <row r="18117" spans="6:15" x14ac:dyDescent="0.3">
      <c r="F18117" s="1"/>
    </row>
    <row r="18118" spans="6:15" x14ac:dyDescent="0.3">
      <c r="F18118" s="1"/>
    </row>
    <row r="18119" spans="6:15" x14ac:dyDescent="0.3">
      <c r="M18119" s="1"/>
      <c r="O18119" s="1"/>
    </row>
    <row r="18120" spans="6:15" x14ac:dyDescent="0.3">
      <c r="F18120" s="1"/>
    </row>
    <row r="18121" spans="6:15" x14ac:dyDescent="0.3">
      <c r="F18121" s="1"/>
    </row>
    <row r="18122" spans="6:15" x14ac:dyDescent="0.3">
      <c r="F18122" s="1"/>
    </row>
    <row r="18123" spans="6:15" x14ac:dyDescent="0.3">
      <c r="F18123" s="1"/>
    </row>
    <row r="18126" spans="6:15" x14ac:dyDescent="0.3">
      <c r="F18126" s="1"/>
    </row>
    <row r="18127" spans="6:15" x14ac:dyDescent="0.3">
      <c r="F18127" s="1"/>
    </row>
    <row r="18128" spans="6:15" x14ac:dyDescent="0.3">
      <c r="F18128" s="1"/>
    </row>
    <row r="18132" spans="6:15" x14ac:dyDescent="0.3">
      <c r="F18132" s="1"/>
    </row>
    <row r="18133" spans="6:15" x14ac:dyDescent="0.3">
      <c r="F18133" s="1"/>
    </row>
    <row r="18134" spans="6:15" x14ac:dyDescent="0.3">
      <c r="F18134" s="1"/>
    </row>
    <row r="18136" spans="6:15" x14ac:dyDescent="0.3">
      <c r="F18136" s="1"/>
    </row>
    <row r="18137" spans="6:15" x14ac:dyDescent="0.3">
      <c r="F18137" s="1"/>
      <c r="O18137" s="1"/>
    </row>
    <row r="18138" spans="6:15" x14ac:dyDescent="0.3">
      <c r="F18138" s="1"/>
    </row>
    <row r="18139" spans="6:15" x14ac:dyDescent="0.3">
      <c r="F18139" s="1"/>
    </row>
    <row r="18140" spans="6:15" x14ac:dyDescent="0.3">
      <c r="F18140" s="1"/>
    </row>
    <row r="18141" spans="6:15" x14ac:dyDescent="0.3">
      <c r="F18141" s="1"/>
    </row>
    <row r="18143" spans="6:15" x14ac:dyDescent="0.3">
      <c r="F18143" s="1"/>
    </row>
    <row r="18144" spans="6:15" x14ac:dyDescent="0.3">
      <c r="F18144" s="1"/>
    </row>
    <row r="18145" spans="6:12" x14ac:dyDescent="0.3">
      <c r="F18145" s="1"/>
    </row>
    <row r="18146" spans="6:12" x14ac:dyDescent="0.3">
      <c r="F18146" s="1"/>
    </row>
    <row r="18148" spans="6:12" x14ac:dyDescent="0.3">
      <c r="F18148" s="1"/>
    </row>
    <row r="18149" spans="6:12" x14ac:dyDescent="0.3">
      <c r="F18149" s="1"/>
    </row>
    <row r="18150" spans="6:12" x14ac:dyDescent="0.3">
      <c r="F18150" s="1"/>
    </row>
    <row r="18151" spans="6:12" x14ac:dyDescent="0.3">
      <c r="F18151" s="1"/>
    </row>
    <row r="18152" spans="6:12" x14ac:dyDescent="0.3">
      <c r="F18152" s="1"/>
    </row>
    <row r="18153" spans="6:12" x14ac:dyDescent="0.3">
      <c r="F18153" s="1"/>
      <c r="L18153" s="1"/>
    </row>
    <row r="18154" spans="6:12" x14ac:dyDescent="0.3">
      <c r="F18154" s="1"/>
      <c r="L18154" s="1"/>
    </row>
    <row r="18155" spans="6:12" x14ac:dyDescent="0.3">
      <c r="F18155" s="1"/>
    </row>
    <row r="18156" spans="6:12" x14ac:dyDescent="0.3">
      <c r="F18156" s="1"/>
    </row>
    <row r="18157" spans="6:12" x14ac:dyDescent="0.3">
      <c r="F18157" s="1"/>
    </row>
    <row r="18158" spans="6:12" x14ac:dyDescent="0.3">
      <c r="F18158" s="1"/>
    </row>
    <row r="18159" spans="6:12" x14ac:dyDescent="0.3">
      <c r="F18159" s="1"/>
    </row>
    <row r="18160" spans="6:12" x14ac:dyDescent="0.3">
      <c r="F18160" s="1"/>
    </row>
    <row r="18161" spans="6:14" x14ac:dyDescent="0.3">
      <c r="F18161" s="1"/>
    </row>
    <row r="18162" spans="6:14" x14ac:dyDescent="0.3">
      <c r="F18162" s="1"/>
    </row>
    <row r="18163" spans="6:14" x14ac:dyDescent="0.3">
      <c r="F18163" s="1"/>
    </row>
    <row r="18165" spans="6:14" x14ac:dyDescent="0.3">
      <c r="F18165" s="1"/>
    </row>
    <row r="18166" spans="6:14" x14ac:dyDescent="0.3">
      <c r="F18166" s="1"/>
    </row>
    <row r="18167" spans="6:14" x14ac:dyDescent="0.3">
      <c r="F18167" s="1"/>
    </row>
    <row r="18168" spans="6:14" x14ac:dyDescent="0.3">
      <c r="F18168" s="1"/>
    </row>
    <row r="18169" spans="6:14" x14ac:dyDescent="0.3">
      <c r="F18169" s="1"/>
    </row>
    <row r="18170" spans="6:14" x14ac:dyDescent="0.3">
      <c r="F18170" s="1"/>
    </row>
    <row r="18171" spans="6:14" x14ac:dyDescent="0.3">
      <c r="F18171" s="1"/>
    </row>
    <row r="18172" spans="6:14" x14ac:dyDescent="0.3">
      <c r="F18172" s="1"/>
    </row>
    <row r="18173" spans="6:14" x14ac:dyDescent="0.3">
      <c r="F18173" s="1"/>
      <c r="N18173" s="1"/>
    </row>
    <row r="18174" spans="6:14" x14ac:dyDescent="0.3">
      <c r="F18174" s="1"/>
      <c r="M18174" s="1"/>
    </row>
    <row r="18175" spans="6:14" x14ac:dyDescent="0.3">
      <c r="F18175" s="1"/>
    </row>
    <row r="18176" spans="6:14" x14ac:dyDescent="0.3">
      <c r="F18176" s="1"/>
    </row>
    <row r="18177" spans="6:14" x14ac:dyDescent="0.3">
      <c r="F18177" s="1"/>
    </row>
    <row r="18178" spans="6:14" x14ac:dyDescent="0.3">
      <c r="F18178" s="1"/>
    </row>
    <row r="18179" spans="6:14" x14ac:dyDescent="0.3">
      <c r="F18179" s="1"/>
    </row>
    <row r="18180" spans="6:14" x14ac:dyDescent="0.3">
      <c r="F18180" s="1"/>
    </row>
    <row r="18181" spans="6:14" x14ac:dyDescent="0.3">
      <c r="F18181" s="1"/>
    </row>
    <row r="18182" spans="6:14" x14ac:dyDescent="0.3">
      <c r="N18182" s="1"/>
    </row>
    <row r="18183" spans="6:14" x14ac:dyDescent="0.3">
      <c r="F18183" s="1"/>
    </row>
    <row r="18184" spans="6:14" x14ac:dyDescent="0.3">
      <c r="F18184" s="1"/>
    </row>
    <row r="18185" spans="6:14" x14ac:dyDescent="0.3">
      <c r="F18185" s="1"/>
    </row>
    <row r="18186" spans="6:14" x14ac:dyDescent="0.3">
      <c r="F18186" s="1"/>
    </row>
    <row r="18187" spans="6:14" x14ac:dyDescent="0.3">
      <c r="F18187" s="1"/>
    </row>
    <row r="18188" spans="6:14" x14ac:dyDescent="0.3">
      <c r="F18188" s="1"/>
    </row>
    <row r="18190" spans="6:14" x14ac:dyDescent="0.3">
      <c r="F18190" s="1"/>
    </row>
    <row r="18191" spans="6:14" x14ac:dyDescent="0.3">
      <c r="F18191" s="1"/>
    </row>
    <row r="18192" spans="6:14" x14ac:dyDescent="0.3">
      <c r="F18192" s="1"/>
    </row>
    <row r="18193" spans="6:15" x14ac:dyDescent="0.3">
      <c r="F18193" s="1"/>
    </row>
    <row r="18194" spans="6:15" x14ac:dyDescent="0.3">
      <c r="F18194" s="1"/>
    </row>
    <row r="18195" spans="6:15" x14ac:dyDescent="0.3">
      <c r="N18195" s="1"/>
      <c r="O18195" s="1"/>
    </row>
    <row r="18196" spans="6:15" x14ac:dyDescent="0.3">
      <c r="F18196" s="1"/>
    </row>
    <row r="18198" spans="6:15" x14ac:dyDescent="0.3">
      <c r="F18198" s="1"/>
    </row>
    <row r="18199" spans="6:15" x14ac:dyDescent="0.3">
      <c r="F18199" s="1"/>
      <c r="M18199" s="1"/>
    </row>
    <row r="18200" spans="6:15" x14ac:dyDescent="0.3">
      <c r="F18200" s="1"/>
    </row>
    <row r="18201" spans="6:15" x14ac:dyDescent="0.3">
      <c r="F18201" s="1"/>
    </row>
    <row r="18202" spans="6:15" x14ac:dyDescent="0.3">
      <c r="F18202" s="1"/>
    </row>
    <row r="18203" spans="6:15" x14ac:dyDescent="0.3">
      <c r="F18203" s="1"/>
    </row>
    <row r="18204" spans="6:15" x14ac:dyDescent="0.3">
      <c r="F18204" s="1"/>
    </row>
    <row r="18205" spans="6:15" x14ac:dyDescent="0.3">
      <c r="F18205" s="1"/>
    </row>
    <row r="18206" spans="6:15" x14ac:dyDescent="0.3">
      <c r="F18206" s="1"/>
    </row>
    <row r="18207" spans="6:15" x14ac:dyDescent="0.3">
      <c r="F18207" s="1"/>
      <c r="M18207" s="1"/>
    </row>
    <row r="18208" spans="6:15" x14ac:dyDescent="0.3">
      <c r="F18208" s="1"/>
    </row>
    <row r="18209" spans="6:15" x14ac:dyDescent="0.3">
      <c r="F18209" s="1"/>
    </row>
    <row r="18210" spans="6:15" x14ac:dyDescent="0.3">
      <c r="F18210" s="1"/>
    </row>
    <row r="18211" spans="6:15" x14ac:dyDescent="0.3">
      <c r="F18211" s="1"/>
    </row>
    <row r="18212" spans="6:15" x14ac:dyDescent="0.3">
      <c r="F18212" s="1"/>
    </row>
    <row r="18213" spans="6:15" x14ac:dyDescent="0.3">
      <c r="F18213" s="1"/>
    </row>
    <row r="18214" spans="6:15" x14ac:dyDescent="0.3">
      <c r="F18214" s="1"/>
      <c r="M18214" s="1"/>
      <c r="O18214" s="1"/>
    </row>
    <row r="18216" spans="6:15" x14ac:dyDescent="0.3">
      <c r="F18216" s="1"/>
    </row>
    <row r="18217" spans="6:15" x14ac:dyDescent="0.3">
      <c r="F18217" s="1"/>
    </row>
    <row r="18218" spans="6:15" x14ac:dyDescent="0.3">
      <c r="F18218" s="1"/>
    </row>
    <row r="18219" spans="6:15" x14ac:dyDescent="0.3">
      <c r="F18219" s="1"/>
    </row>
    <row r="18220" spans="6:15" x14ac:dyDescent="0.3">
      <c r="F18220" s="1"/>
    </row>
    <row r="18221" spans="6:15" x14ac:dyDescent="0.3">
      <c r="F18221" s="1"/>
    </row>
    <row r="18222" spans="6:15" x14ac:dyDescent="0.3">
      <c r="F18222" s="1"/>
    </row>
    <row r="18223" spans="6:15" x14ac:dyDescent="0.3">
      <c r="F18223" s="1"/>
      <c r="N18223" s="1"/>
    </row>
    <row r="18224" spans="6:15" x14ac:dyDescent="0.3">
      <c r="F18224" s="1"/>
      <c r="L18224" s="1"/>
    </row>
    <row r="18225" spans="6:15" x14ac:dyDescent="0.3">
      <c r="F18225" s="1"/>
    </row>
    <row r="18227" spans="6:15" x14ac:dyDescent="0.3">
      <c r="F18227" s="1"/>
    </row>
    <row r="18228" spans="6:15" x14ac:dyDescent="0.3">
      <c r="F18228" s="1"/>
    </row>
    <row r="18231" spans="6:15" x14ac:dyDescent="0.3">
      <c r="F18231" s="1"/>
    </row>
    <row r="18232" spans="6:15" x14ac:dyDescent="0.3">
      <c r="F18232" s="1"/>
    </row>
    <row r="18233" spans="6:15" x14ac:dyDescent="0.3">
      <c r="F18233" s="1"/>
      <c r="M18233" s="1"/>
      <c r="O18233" s="1"/>
    </row>
    <row r="18234" spans="6:15" x14ac:dyDescent="0.3">
      <c r="F18234" s="1"/>
    </row>
    <row r="18235" spans="6:15" x14ac:dyDescent="0.3">
      <c r="F18235" s="1"/>
      <c r="L18235" s="1"/>
      <c r="O18235" s="1"/>
    </row>
    <row r="18236" spans="6:15" x14ac:dyDescent="0.3">
      <c r="M18236" s="1"/>
    </row>
    <row r="18237" spans="6:15" x14ac:dyDescent="0.3">
      <c r="F18237" s="1"/>
    </row>
    <row r="18238" spans="6:15" x14ac:dyDescent="0.3">
      <c r="F18238" s="1"/>
    </row>
    <row r="18239" spans="6:15" x14ac:dyDescent="0.3">
      <c r="F18239" s="1"/>
    </row>
    <row r="18240" spans="6:15" x14ac:dyDescent="0.3">
      <c r="F18240" s="1"/>
    </row>
    <row r="18241" spans="6:15" x14ac:dyDescent="0.3">
      <c r="F18241" s="1"/>
    </row>
    <row r="18242" spans="6:15" x14ac:dyDescent="0.3">
      <c r="F18242" s="1"/>
    </row>
    <row r="18243" spans="6:15" x14ac:dyDescent="0.3">
      <c r="F18243" s="1"/>
    </row>
    <row r="18244" spans="6:15" x14ac:dyDescent="0.3">
      <c r="L18244" s="1"/>
      <c r="M18244" s="1"/>
      <c r="N18244" s="1"/>
      <c r="O18244" s="1"/>
    </row>
    <row r="18245" spans="6:15" x14ac:dyDescent="0.3">
      <c r="F18245" s="1"/>
    </row>
    <row r="18246" spans="6:15" x14ac:dyDescent="0.3">
      <c r="F18246" s="1"/>
    </row>
    <row r="18247" spans="6:15" x14ac:dyDescent="0.3">
      <c r="F18247" s="1"/>
    </row>
    <row r="18248" spans="6:15" x14ac:dyDescent="0.3">
      <c r="F18248" s="1"/>
    </row>
    <row r="18250" spans="6:15" x14ac:dyDescent="0.3">
      <c r="F18250" s="1"/>
    </row>
    <row r="18251" spans="6:15" x14ac:dyDescent="0.3">
      <c r="F18251" s="1"/>
    </row>
    <row r="18252" spans="6:15" x14ac:dyDescent="0.3">
      <c r="F18252" s="1"/>
    </row>
    <row r="18253" spans="6:15" x14ac:dyDescent="0.3">
      <c r="F18253" s="1"/>
    </row>
    <row r="18254" spans="6:15" x14ac:dyDescent="0.3">
      <c r="F18254" s="1"/>
    </row>
    <row r="18255" spans="6:15" x14ac:dyDescent="0.3">
      <c r="F18255" s="1"/>
      <c r="L18255" s="1"/>
      <c r="M18255" s="1"/>
    </row>
    <row r="18256" spans="6:15" x14ac:dyDescent="0.3">
      <c r="F18256" s="1"/>
    </row>
    <row r="18257" spans="6:15" x14ac:dyDescent="0.3">
      <c r="F18257" s="1"/>
      <c r="M18257" s="1"/>
      <c r="N18257" s="1"/>
    </row>
    <row r="18258" spans="6:15" x14ac:dyDescent="0.3">
      <c r="F18258" s="1"/>
    </row>
    <row r="18259" spans="6:15" x14ac:dyDescent="0.3">
      <c r="F18259" s="1"/>
    </row>
    <row r="18260" spans="6:15" x14ac:dyDescent="0.3">
      <c r="F18260" s="1"/>
    </row>
    <row r="18261" spans="6:15" x14ac:dyDescent="0.3">
      <c r="F18261" s="1"/>
    </row>
    <row r="18262" spans="6:15" x14ac:dyDescent="0.3">
      <c r="F18262" s="1"/>
    </row>
    <row r="18263" spans="6:15" x14ac:dyDescent="0.3">
      <c r="F18263" s="1"/>
    </row>
    <row r="18264" spans="6:15" x14ac:dyDescent="0.3">
      <c r="F18264" s="1"/>
    </row>
    <row r="18265" spans="6:15" x14ac:dyDescent="0.3">
      <c r="F18265" s="1"/>
    </row>
    <row r="18266" spans="6:15" x14ac:dyDescent="0.3">
      <c r="F18266" s="1"/>
      <c r="M18266" s="1"/>
      <c r="O18266" s="1"/>
    </row>
    <row r="18267" spans="6:15" x14ac:dyDescent="0.3">
      <c r="F18267" s="1"/>
    </row>
    <row r="18268" spans="6:15" x14ac:dyDescent="0.3">
      <c r="F18268" s="1"/>
    </row>
    <row r="18269" spans="6:15" x14ac:dyDescent="0.3">
      <c r="F18269" s="1"/>
    </row>
    <row r="18270" spans="6:15" x14ac:dyDescent="0.3">
      <c r="F18270" s="1"/>
    </row>
    <row r="18271" spans="6:15" x14ac:dyDescent="0.3">
      <c r="F18271" s="1"/>
    </row>
    <row r="18272" spans="6:15" x14ac:dyDescent="0.3">
      <c r="F18272" s="1"/>
    </row>
    <row r="18274" spans="6:15" x14ac:dyDescent="0.3">
      <c r="F18274" s="1"/>
    </row>
    <row r="18275" spans="6:15" x14ac:dyDescent="0.3">
      <c r="F18275" s="1"/>
    </row>
    <row r="18276" spans="6:15" x14ac:dyDescent="0.3">
      <c r="F18276" s="1"/>
    </row>
    <row r="18277" spans="6:15" x14ac:dyDescent="0.3">
      <c r="F18277" s="1"/>
    </row>
    <row r="18278" spans="6:15" x14ac:dyDescent="0.3">
      <c r="F18278" s="1"/>
    </row>
    <row r="18279" spans="6:15" x14ac:dyDescent="0.3">
      <c r="F18279" s="1"/>
    </row>
    <row r="18280" spans="6:15" x14ac:dyDescent="0.3">
      <c r="F18280" s="1"/>
    </row>
    <row r="18281" spans="6:15" x14ac:dyDescent="0.3">
      <c r="F18281" s="1"/>
    </row>
    <row r="18282" spans="6:15" x14ac:dyDescent="0.3">
      <c r="F18282" s="1"/>
    </row>
    <row r="18283" spans="6:15" x14ac:dyDescent="0.3">
      <c r="L18283" s="1"/>
      <c r="O18283" s="1"/>
    </row>
    <row r="18284" spans="6:15" x14ac:dyDescent="0.3">
      <c r="L18284" s="1"/>
      <c r="M18284" s="1"/>
      <c r="O18284" s="1"/>
    </row>
    <row r="18285" spans="6:15" x14ac:dyDescent="0.3">
      <c r="F18285" s="1"/>
    </row>
    <row r="18286" spans="6:15" x14ac:dyDescent="0.3">
      <c r="F18286" s="1"/>
    </row>
    <row r="18287" spans="6:15" x14ac:dyDescent="0.3">
      <c r="F18287" s="1"/>
    </row>
    <row r="18288" spans="6:15" x14ac:dyDescent="0.3">
      <c r="F18288" s="1"/>
    </row>
    <row r="18289" spans="6:6" x14ac:dyDescent="0.3">
      <c r="F18289" s="1"/>
    </row>
    <row r="18291" spans="6:6" x14ac:dyDescent="0.3">
      <c r="F18291" s="1"/>
    </row>
    <row r="18292" spans="6:6" x14ac:dyDescent="0.3">
      <c r="F18292" s="1"/>
    </row>
    <row r="18293" spans="6:6" x14ac:dyDescent="0.3">
      <c r="F18293" s="1"/>
    </row>
    <row r="18295" spans="6:6" x14ac:dyDescent="0.3">
      <c r="F18295" s="1"/>
    </row>
    <row r="18296" spans="6:6" x14ac:dyDescent="0.3">
      <c r="F18296" s="1"/>
    </row>
    <row r="18297" spans="6:6" x14ac:dyDescent="0.3">
      <c r="F18297" s="1"/>
    </row>
    <row r="18298" spans="6:6" x14ac:dyDescent="0.3">
      <c r="F18298" s="1"/>
    </row>
    <row r="18299" spans="6:6" x14ac:dyDescent="0.3">
      <c r="F18299" s="1"/>
    </row>
    <row r="18300" spans="6:6" x14ac:dyDescent="0.3">
      <c r="F18300" s="1"/>
    </row>
    <row r="18301" spans="6:6" x14ac:dyDescent="0.3">
      <c r="F18301" s="1"/>
    </row>
    <row r="18302" spans="6:6" x14ac:dyDescent="0.3">
      <c r="F18302" s="1"/>
    </row>
    <row r="18303" spans="6:6" x14ac:dyDescent="0.3">
      <c r="F18303" s="1"/>
    </row>
    <row r="18305" spans="6:14" x14ac:dyDescent="0.3">
      <c r="F18305" s="1"/>
    </row>
    <row r="18306" spans="6:14" x14ac:dyDescent="0.3">
      <c r="F18306" s="1"/>
    </row>
    <row r="18309" spans="6:14" x14ac:dyDescent="0.3">
      <c r="F18309" s="1"/>
    </row>
    <row r="18310" spans="6:14" x14ac:dyDescent="0.3">
      <c r="F18310" s="1"/>
    </row>
    <row r="18311" spans="6:14" x14ac:dyDescent="0.3">
      <c r="F18311" s="1"/>
    </row>
    <row r="18314" spans="6:14" x14ac:dyDescent="0.3">
      <c r="N18314" s="1"/>
    </row>
    <row r="18315" spans="6:14" x14ac:dyDescent="0.3">
      <c r="F18315" s="1"/>
    </row>
    <row r="18316" spans="6:14" x14ac:dyDescent="0.3">
      <c r="F18316" s="1"/>
    </row>
    <row r="18317" spans="6:14" x14ac:dyDescent="0.3">
      <c r="F18317" s="1"/>
    </row>
    <row r="18318" spans="6:14" x14ac:dyDescent="0.3">
      <c r="F18318" s="1"/>
    </row>
    <row r="18319" spans="6:14" x14ac:dyDescent="0.3">
      <c r="F18319" s="1"/>
    </row>
    <row r="18320" spans="6:14" x14ac:dyDescent="0.3">
      <c r="F18320" s="1"/>
    </row>
    <row r="18321" spans="6:13" x14ac:dyDescent="0.3">
      <c r="F18321" s="1"/>
      <c r="M18321" s="1"/>
    </row>
    <row r="18322" spans="6:13" x14ac:dyDescent="0.3">
      <c r="F18322" s="1"/>
    </row>
    <row r="18323" spans="6:13" x14ac:dyDescent="0.3">
      <c r="F18323" s="1"/>
    </row>
    <row r="18324" spans="6:13" x14ac:dyDescent="0.3">
      <c r="F18324" s="1"/>
    </row>
    <row r="18325" spans="6:13" x14ac:dyDescent="0.3">
      <c r="F18325" s="1"/>
    </row>
    <row r="18326" spans="6:13" x14ac:dyDescent="0.3">
      <c r="F18326" s="1"/>
    </row>
    <row r="18328" spans="6:13" x14ac:dyDescent="0.3">
      <c r="F18328" s="1"/>
    </row>
    <row r="18329" spans="6:13" x14ac:dyDescent="0.3">
      <c r="F18329" s="1"/>
    </row>
    <row r="18330" spans="6:13" x14ac:dyDescent="0.3">
      <c r="F18330" s="1"/>
    </row>
    <row r="18331" spans="6:13" x14ac:dyDescent="0.3">
      <c r="F18331" s="1"/>
    </row>
    <row r="18332" spans="6:13" x14ac:dyDescent="0.3">
      <c r="F18332" s="1"/>
    </row>
    <row r="18333" spans="6:13" x14ac:dyDescent="0.3">
      <c r="F18333" s="1"/>
    </row>
    <row r="18334" spans="6:13" x14ac:dyDescent="0.3">
      <c r="F18334" s="1"/>
    </row>
    <row r="18335" spans="6:13" x14ac:dyDescent="0.3">
      <c r="F18335" s="1"/>
    </row>
    <row r="18336" spans="6:13" x14ac:dyDescent="0.3">
      <c r="F18336" s="1"/>
    </row>
    <row r="18337" spans="6:14" x14ac:dyDescent="0.3">
      <c r="F18337" s="1"/>
      <c r="L18337" s="1"/>
    </row>
    <row r="18338" spans="6:14" x14ac:dyDescent="0.3">
      <c r="F18338" s="1"/>
    </row>
    <row r="18339" spans="6:14" x14ac:dyDescent="0.3">
      <c r="F18339" s="1"/>
    </row>
    <row r="18340" spans="6:14" x14ac:dyDescent="0.3">
      <c r="F18340" s="1"/>
    </row>
    <row r="18341" spans="6:14" x14ac:dyDescent="0.3">
      <c r="F18341" s="1"/>
    </row>
    <row r="18342" spans="6:14" x14ac:dyDescent="0.3">
      <c r="F18342" s="1"/>
    </row>
    <row r="18343" spans="6:14" x14ac:dyDescent="0.3">
      <c r="F18343" s="1"/>
    </row>
    <row r="18344" spans="6:14" x14ac:dyDescent="0.3">
      <c r="F18344" s="1"/>
      <c r="N18344" s="1"/>
    </row>
    <row r="18345" spans="6:14" x14ac:dyDescent="0.3">
      <c r="F18345" s="1"/>
    </row>
    <row r="18347" spans="6:14" x14ac:dyDescent="0.3">
      <c r="F18347" s="1"/>
    </row>
    <row r="18348" spans="6:14" x14ac:dyDescent="0.3">
      <c r="F18348" s="1"/>
    </row>
    <row r="18349" spans="6:14" x14ac:dyDescent="0.3">
      <c r="F18349" s="1"/>
    </row>
    <row r="18350" spans="6:14" x14ac:dyDescent="0.3">
      <c r="F18350" s="1"/>
    </row>
    <row r="18351" spans="6:14" x14ac:dyDescent="0.3">
      <c r="F18351" s="1"/>
    </row>
    <row r="18352" spans="6:14" x14ac:dyDescent="0.3">
      <c r="F18352" s="1"/>
    </row>
    <row r="18354" spans="6:13" x14ac:dyDescent="0.3">
      <c r="F18354" s="1"/>
    </row>
    <row r="18356" spans="6:13" x14ac:dyDescent="0.3">
      <c r="F18356" s="1"/>
    </row>
    <row r="18357" spans="6:13" x14ac:dyDescent="0.3">
      <c r="F18357" s="1"/>
    </row>
    <row r="18358" spans="6:13" x14ac:dyDescent="0.3">
      <c r="F18358" s="1"/>
    </row>
    <row r="18359" spans="6:13" x14ac:dyDescent="0.3">
      <c r="F18359" s="1"/>
    </row>
    <row r="18360" spans="6:13" x14ac:dyDescent="0.3">
      <c r="F18360" s="1"/>
    </row>
    <row r="18361" spans="6:13" x14ac:dyDescent="0.3">
      <c r="F18361" s="1"/>
    </row>
    <row r="18362" spans="6:13" x14ac:dyDescent="0.3">
      <c r="F18362" s="1"/>
    </row>
    <row r="18363" spans="6:13" x14ac:dyDescent="0.3">
      <c r="F18363" s="1"/>
    </row>
    <row r="18366" spans="6:13" x14ac:dyDescent="0.3">
      <c r="F18366" s="1"/>
      <c r="M18366" s="1"/>
    </row>
    <row r="18367" spans="6:13" x14ac:dyDescent="0.3">
      <c r="F18367" s="1"/>
      <c r="L18367" s="1"/>
    </row>
    <row r="18368" spans="6:13" x14ac:dyDescent="0.3">
      <c r="F18368" s="1"/>
    </row>
    <row r="18369" spans="6:13" x14ac:dyDescent="0.3">
      <c r="F18369" s="1"/>
    </row>
    <row r="18371" spans="6:13" x14ac:dyDescent="0.3">
      <c r="F18371" s="1"/>
    </row>
    <row r="18372" spans="6:13" x14ac:dyDescent="0.3">
      <c r="F18372" s="1"/>
    </row>
    <row r="18373" spans="6:13" x14ac:dyDescent="0.3">
      <c r="F18373" s="1"/>
    </row>
    <row r="18374" spans="6:13" x14ac:dyDescent="0.3">
      <c r="F18374" s="1"/>
    </row>
    <row r="18375" spans="6:13" x14ac:dyDescent="0.3">
      <c r="F18375" s="1"/>
    </row>
    <row r="18376" spans="6:13" x14ac:dyDescent="0.3">
      <c r="F18376" s="1"/>
    </row>
    <row r="18377" spans="6:13" x14ac:dyDescent="0.3">
      <c r="F18377" s="1"/>
    </row>
    <row r="18378" spans="6:13" x14ac:dyDescent="0.3">
      <c r="F18378" s="1"/>
    </row>
    <row r="18379" spans="6:13" x14ac:dyDescent="0.3">
      <c r="L18379" s="1"/>
    </row>
    <row r="18380" spans="6:13" x14ac:dyDescent="0.3">
      <c r="F18380" s="1"/>
    </row>
    <row r="18381" spans="6:13" x14ac:dyDescent="0.3">
      <c r="F18381" s="1"/>
    </row>
    <row r="18382" spans="6:13" x14ac:dyDescent="0.3">
      <c r="F18382" s="1"/>
    </row>
    <row r="18383" spans="6:13" x14ac:dyDescent="0.3">
      <c r="F18383" s="1"/>
    </row>
    <row r="18384" spans="6:13" x14ac:dyDescent="0.3">
      <c r="F18384" s="1"/>
      <c r="M18384" s="1"/>
    </row>
    <row r="18385" spans="6:15" x14ac:dyDescent="0.3">
      <c r="F18385" s="1"/>
    </row>
    <row r="18386" spans="6:15" x14ac:dyDescent="0.3">
      <c r="F18386" s="1"/>
    </row>
    <row r="18387" spans="6:15" x14ac:dyDescent="0.3">
      <c r="F18387" s="1"/>
    </row>
    <row r="18388" spans="6:15" x14ac:dyDescent="0.3">
      <c r="F18388" s="1"/>
    </row>
    <row r="18389" spans="6:15" x14ac:dyDescent="0.3">
      <c r="F18389" s="1"/>
    </row>
    <row r="18390" spans="6:15" x14ac:dyDescent="0.3">
      <c r="L18390" s="1"/>
      <c r="M18390" s="1"/>
      <c r="N18390" s="1"/>
      <c r="O18390" s="1"/>
    </row>
    <row r="18391" spans="6:15" x14ac:dyDescent="0.3">
      <c r="F18391" s="1"/>
    </row>
    <row r="18392" spans="6:15" x14ac:dyDescent="0.3">
      <c r="F18392" s="1"/>
    </row>
    <row r="18393" spans="6:15" x14ac:dyDescent="0.3">
      <c r="F18393" s="1"/>
    </row>
    <row r="18394" spans="6:15" x14ac:dyDescent="0.3">
      <c r="F18394" s="1"/>
    </row>
    <row r="18395" spans="6:15" x14ac:dyDescent="0.3">
      <c r="F18395" s="1"/>
    </row>
    <row r="18396" spans="6:15" x14ac:dyDescent="0.3">
      <c r="F18396" s="1"/>
      <c r="L18396" s="1"/>
    </row>
    <row r="18397" spans="6:15" x14ac:dyDescent="0.3">
      <c r="F18397" s="1"/>
    </row>
    <row r="18399" spans="6:15" x14ac:dyDescent="0.3">
      <c r="F18399" s="1"/>
    </row>
    <row r="18400" spans="6:15" x14ac:dyDescent="0.3">
      <c r="F18400" s="1"/>
    </row>
    <row r="18401" spans="6:14" x14ac:dyDescent="0.3">
      <c r="F18401" s="1"/>
    </row>
    <row r="18402" spans="6:14" x14ac:dyDescent="0.3">
      <c r="F18402" s="1"/>
    </row>
    <row r="18403" spans="6:14" x14ac:dyDescent="0.3">
      <c r="F18403" s="1"/>
    </row>
    <row r="18404" spans="6:14" x14ac:dyDescent="0.3">
      <c r="F18404" s="1"/>
    </row>
    <row r="18406" spans="6:14" x14ac:dyDescent="0.3">
      <c r="F18406" s="1"/>
      <c r="M18406" s="1"/>
    </row>
    <row r="18407" spans="6:14" x14ac:dyDescent="0.3">
      <c r="F18407" s="1"/>
    </row>
    <row r="18408" spans="6:14" x14ac:dyDescent="0.3">
      <c r="F18408" s="1"/>
      <c r="N18408" s="1"/>
    </row>
    <row r="18409" spans="6:14" x14ac:dyDescent="0.3">
      <c r="F18409" s="1"/>
    </row>
    <row r="18410" spans="6:14" x14ac:dyDescent="0.3">
      <c r="F18410" s="1"/>
    </row>
    <row r="18411" spans="6:14" x14ac:dyDescent="0.3">
      <c r="F18411" s="1"/>
    </row>
    <row r="18412" spans="6:14" x14ac:dyDescent="0.3">
      <c r="F18412" s="1"/>
    </row>
    <row r="18413" spans="6:14" x14ac:dyDescent="0.3">
      <c r="F18413" s="1"/>
    </row>
    <row r="18414" spans="6:14" x14ac:dyDescent="0.3">
      <c r="F18414" s="1"/>
    </row>
    <row r="18415" spans="6:14" x14ac:dyDescent="0.3">
      <c r="F18415" s="1"/>
    </row>
    <row r="18419" spans="6:6" x14ac:dyDescent="0.3">
      <c r="F18419" s="1"/>
    </row>
    <row r="18420" spans="6:6" x14ac:dyDescent="0.3">
      <c r="F18420" s="1"/>
    </row>
    <row r="18421" spans="6:6" x14ac:dyDescent="0.3">
      <c r="F18421" s="1"/>
    </row>
    <row r="18422" spans="6:6" x14ac:dyDescent="0.3">
      <c r="F18422" s="1"/>
    </row>
    <row r="18424" spans="6:6" x14ac:dyDescent="0.3">
      <c r="F18424" s="1"/>
    </row>
    <row r="18425" spans="6:6" x14ac:dyDescent="0.3">
      <c r="F18425" s="1"/>
    </row>
    <row r="18426" spans="6:6" x14ac:dyDescent="0.3">
      <c r="F18426" s="1"/>
    </row>
    <row r="18427" spans="6:6" x14ac:dyDescent="0.3">
      <c r="F18427" s="1"/>
    </row>
    <row r="18428" spans="6:6" x14ac:dyDescent="0.3">
      <c r="F18428" s="1"/>
    </row>
    <row r="18429" spans="6:6" x14ac:dyDescent="0.3">
      <c r="F18429" s="1"/>
    </row>
    <row r="18430" spans="6:6" x14ac:dyDescent="0.3">
      <c r="F18430" s="1"/>
    </row>
    <row r="18432" spans="6:6" x14ac:dyDescent="0.3">
      <c r="F18432" s="1"/>
    </row>
    <row r="18433" spans="6:6" x14ac:dyDescent="0.3">
      <c r="F18433" s="1"/>
    </row>
    <row r="18434" spans="6:6" x14ac:dyDescent="0.3">
      <c r="F18434" s="1"/>
    </row>
    <row r="18435" spans="6:6" x14ac:dyDescent="0.3">
      <c r="F18435" s="1"/>
    </row>
    <row r="18436" spans="6:6" x14ac:dyDescent="0.3">
      <c r="F18436" s="1"/>
    </row>
    <row r="18437" spans="6:6" x14ac:dyDescent="0.3">
      <c r="F18437" s="1"/>
    </row>
    <row r="18438" spans="6:6" x14ac:dyDescent="0.3">
      <c r="F18438" s="1"/>
    </row>
    <row r="18439" spans="6:6" x14ac:dyDescent="0.3">
      <c r="F18439" s="1"/>
    </row>
    <row r="18440" spans="6:6" x14ac:dyDescent="0.3">
      <c r="F18440" s="1"/>
    </row>
    <row r="18441" spans="6:6" x14ac:dyDescent="0.3">
      <c r="F18441" s="1"/>
    </row>
    <row r="18442" spans="6:6" x14ac:dyDescent="0.3">
      <c r="F18442" s="1"/>
    </row>
    <row r="18443" spans="6:6" x14ac:dyDescent="0.3">
      <c r="F18443" s="1"/>
    </row>
    <row r="18444" spans="6:6" x14ac:dyDescent="0.3">
      <c r="F18444" s="1"/>
    </row>
    <row r="18445" spans="6:6" x14ac:dyDescent="0.3">
      <c r="F18445" s="1"/>
    </row>
    <row r="18446" spans="6:6" x14ac:dyDescent="0.3">
      <c r="F18446" s="1"/>
    </row>
    <row r="18447" spans="6:6" x14ac:dyDescent="0.3">
      <c r="F18447" s="1"/>
    </row>
    <row r="18448" spans="6:6" x14ac:dyDescent="0.3">
      <c r="F18448" s="1"/>
    </row>
    <row r="18449" spans="6:14" x14ac:dyDescent="0.3">
      <c r="F18449" s="1"/>
      <c r="M18449" s="1"/>
    </row>
    <row r="18450" spans="6:14" x14ac:dyDescent="0.3">
      <c r="F18450" s="1"/>
      <c r="L18450" s="1"/>
    </row>
    <row r="18451" spans="6:14" x14ac:dyDescent="0.3">
      <c r="F18451" s="1"/>
    </row>
    <row r="18452" spans="6:14" x14ac:dyDescent="0.3">
      <c r="F18452" s="1"/>
    </row>
    <row r="18453" spans="6:14" x14ac:dyDescent="0.3">
      <c r="F18453" s="1"/>
    </row>
    <row r="18454" spans="6:14" x14ac:dyDescent="0.3">
      <c r="F18454" s="1"/>
    </row>
    <row r="18455" spans="6:14" x14ac:dyDescent="0.3">
      <c r="F18455" s="1"/>
    </row>
    <row r="18456" spans="6:14" x14ac:dyDescent="0.3">
      <c r="F18456" s="1"/>
    </row>
    <row r="18457" spans="6:14" x14ac:dyDescent="0.3">
      <c r="F18457" s="1"/>
      <c r="M18457" s="1"/>
    </row>
    <row r="18458" spans="6:14" x14ac:dyDescent="0.3">
      <c r="F18458" s="1"/>
    </row>
    <row r="18460" spans="6:14" x14ac:dyDescent="0.3">
      <c r="F18460" s="1"/>
    </row>
    <row r="18461" spans="6:14" x14ac:dyDescent="0.3">
      <c r="F18461" s="1"/>
      <c r="N18461" s="1"/>
    </row>
    <row r="18462" spans="6:14" x14ac:dyDescent="0.3">
      <c r="F18462" s="1"/>
    </row>
    <row r="18463" spans="6:14" x14ac:dyDescent="0.3">
      <c r="F18463" s="1"/>
    </row>
    <row r="18465" spans="6:14" x14ac:dyDescent="0.3">
      <c r="F18465" s="1"/>
    </row>
    <row r="18466" spans="6:14" x14ac:dyDescent="0.3">
      <c r="F18466" s="1"/>
    </row>
    <row r="18467" spans="6:14" x14ac:dyDescent="0.3">
      <c r="F18467" s="1"/>
    </row>
    <row r="18468" spans="6:14" x14ac:dyDescent="0.3">
      <c r="F18468" s="1"/>
    </row>
    <row r="18469" spans="6:14" x14ac:dyDescent="0.3">
      <c r="F18469" s="1"/>
      <c r="N18469" s="1"/>
    </row>
    <row r="18470" spans="6:14" x14ac:dyDescent="0.3">
      <c r="F18470" s="1"/>
    </row>
    <row r="18471" spans="6:14" x14ac:dyDescent="0.3">
      <c r="F18471" s="1"/>
    </row>
    <row r="18472" spans="6:14" x14ac:dyDescent="0.3">
      <c r="F18472" s="1"/>
    </row>
    <row r="18474" spans="6:14" x14ac:dyDescent="0.3">
      <c r="F18474" s="1"/>
    </row>
    <row r="18475" spans="6:14" x14ac:dyDescent="0.3">
      <c r="F18475" s="1"/>
    </row>
    <row r="18476" spans="6:14" x14ac:dyDescent="0.3">
      <c r="F18476" s="1"/>
    </row>
    <row r="18478" spans="6:14" x14ac:dyDescent="0.3">
      <c r="F18478" s="1"/>
    </row>
    <row r="18479" spans="6:14" x14ac:dyDescent="0.3">
      <c r="F18479" s="1"/>
    </row>
    <row r="18481" spans="6:14" x14ac:dyDescent="0.3">
      <c r="F18481" s="1"/>
    </row>
    <row r="18482" spans="6:14" x14ac:dyDescent="0.3">
      <c r="F18482" s="1"/>
    </row>
    <row r="18483" spans="6:14" x14ac:dyDescent="0.3">
      <c r="F18483" s="1"/>
    </row>
    <row r="18484" spans="6:14" x14ac:dyDescent="0.3">
      <c r="F18484" s="1"/>
    </row>
    <row r="18485" spans="6:14" x14ac:dyDescent="0.3">
      <c r="F18485" s="1"/>
    </row>
    <row r="18486" spans="6:14" x14ac:dyDescent="0.3">
      <c r="F18486" s="1"/>
    </row>
    <row r="18487" spans="6:14" x14ac:dyDescent="0.3">
      <c r="F18487" s="1"/>
    </row>
    <row r="18489" spans="6:14" x14ac:dyDescent="0.3">
      <c r="F18489" s="1"/>
    </row>
    <row r="18490" spans="6:14" x14ac:dyDescent="0.3">
      <c r="F18490" s="1"/>
    </row>
    <row r="18491" spans="6:14" x14ac:dyDescent="0.3">
      <c r="F18491" s="1"/>
    </row>
    <row r="18492" spans="6:14" x14ac:dyDescent="0.3">
      <c r="F18492" s="1"/>
    </row>
    <row r="18493" spans="6:14" x14ac:dyDescent="0.3">
      <c r="F18493" s="1"/>
    </row>
    <row r="18494" spans="6:14" x14ac:dyDescent="0.3">
      <c r="F18494" s="1"/>
    </row>
    <row r="18495" spans="6:14" x14ac:dyDescent="0.3">
      <c r="F18495" s="1"/>
      <c r="N18495" s="1"/>
    </row>
    <row r="18496" spans="6:14" x14ac:dyDescent="0.3">
      <c r="F18496" s="1"/>
      <c r="M18496" s="1"/>
    </row>
    <row r="18497" spans="6:14" x14ac:dyDescent="0.3">
      <c r="F18497" s="1"/>
    </row>
    <row r="18498" spans="6:14" x14ac:dyDescent="0.3">
      <c r="F18498" s="1"/>
    </row>
    <row r="18499" spans="6:14" x14ac:dyDescent="0.3">
      <c r="F18499" s="1"/>
      <c r="L18499" s="1"/>
      <c r="N18499" s="1"/>
    </row>
    <row r="18500" spans="6:14" x14ac:dyDescent="0.3">
      <c r="F18500" s="1"/>
    </row>
    <row r="18502" spans="6:14" x14ac:dyDescent="0.3">
      <c r="F18502" s="1"/>
    </row>
    <row r="18503" spans="6:14" x14ac:dyDescent="0.3">
      <c r="F18503" s="1"/>
    </row>
    <row r="18504" spans="6:14" x14ac:dyDescent="0.3">
      <c r="F18504" s="1"/>
    </row>
    <row r="18505" spans="6:14" x14ac:dyDescent="0.3">
      <c r="F18505" s="1"/>
    </row>
    <row r="18506" spans="6:14" x14ac:dyDescent="0.3">
      <c r="F18506" s="1"/>
      <c r="L18506" s="1"/>
    </row>
    <row r="18507" spans="6:14" x14ac:dyDescent="0.3">
      <c r="F18507" s="1"/>
    </row>
    <row r="18508" spans="6:14" x14ac:dyDescent="0.3">
      <c r="F18508" s="1"/>
      <c r="M18508" s="1"/>
    </row>
    <row r="18509" spans="6:14" x14ac:dyDescent="0.3">
      <c r="F18509" s="1"/>
    </row>
    <row r="18510" spans="6:14" x14ac:dyDescent="0.3">
      <c r="F18510" s="1"/>
    </row>
    <row r="18511" spans="6:14" x14ac:dyDescent="0.3">
      <c r="F18511" s="1"/>
    </row>
    <row r="18512" spans="6:14" x14ac:dyDescent="0.3">
      <c r="F18512" s="1"/>
    </row>
    <row r="18513" spans="6:14" x14ac:dyDescent="0.3">
      <c r="N18513" s="1"/>
    </row>
    <row r="18514" spans="6:14" x14ac:dyDescent="0.3">
      <c r="F18514" s="1"/>
    </row>
    <row r="18515" spans="6:14" x14ac:dyDescent="0.3">
      <c r="F18515" s="1"/>
    </row>
    <row r="18516" spans="6:14" x14ac:dyDescent="0.3">
      <c r="F18516" s="1"/>
    </row>
    <row r="18517" spans="6:14" x14ac:dyDescent="0.3">
      <c r="F18517" s="1"/>
    </row>
    <row r="18518" spans="6:14" x14ac:dyDescent="0.3">
      <c r="F18518" s="1"/>
    </row>
    <row r="18519" spans="6:14" x14ac:dyDescent="0.3">
      <c r="F18519" s="1"/>
    </row>
    <row r="18521" spans="6:14" x14ac:dyDescent="0.3">
      <c r="F18521" s="1"/>
    </row>
    <row r="18522" spans="6:14" x14ac:dyDescent="0.3">
      <c r="F18522" s="1"/>
    </row>
    <row r="18523" spans="6:14" x14ac:dyDescent="0.3">
      <c r="F18523" s="1"/>
    </row>
    <row r="18524" spans="6:14" x14ac:dyDescent="0.3">
      <c r="F18524" s="1"/>
    </row>
    <row r="18525" spans="6:14" x14ac:dyDescent="0.3">
      <c r="F18525" s="1"/>
    </row>
    <row r="18527" spans="6:14" x14ac:dyDescent="0.3">
      <c r="F18527" s="1"/>
    </row>
    <row r="18528" spans="6:14" x14ac:dyDescent="0.3">
      <c r="F18528" s="1"/>
    </row>
    <row r="18529" spans="6:12" x14ac:dyDescent="0.3">
      <c r="F18529" s="1"/>
      <c r="L18529" s="1"/>
    </row>
    <row r="18530" spans="6:12" x14ac:dyDescent="0.3">
      <c r="F18530" s="1"/>
    </row>
    <row r="18531" spans="6:12" x14ac:dyDescent="0.3">
      <c r="F18531" s="1"/>
    </row>
    <row r="18532" spans="6:12" x14ac:dyDescent="0.3">
      <c r="F18532" s="1"/>
    </row>
    <row r="18534" spans="6:12" x14ac:dyDescent="0.3">
      <c r="F18534" s="1"/>
    </row>
    <row r="18535" spans="6:12" x14ac:dyDescent="0.3">
      <c r="F18535" s="1"/>
    </row>
    <row r="18536" spans="6:12" x14ac:dyDescent="0.3">
      <c r="F18536" s="1"/>
    </row>
    <row r="18537" spans="6:12" x14ac:dyDescent="0.3">
      <c r="F18537" s="1"/>
    </row>
    <row r="18539" spans="6:12" x14ac:dyDescent="0.3">
      <c r="F18539" s="1"/>
      <c r="L18539" s="1"/>
    </row>
    <row r="18540" spans="6:12" x14ac:dyDescent="0.3">
      <c r="F18540" s="1"/>
    </row>
    <row r="18544" spans="6:12" x14ac:dyDescent="0.3">
      <c r="F18544" s="1"/>
    </row>
    <row r="18545" spans="6:12" x14ac:dyDescent="0.3">
      <c r="F18545" s="1"/>
    </row>
    <row r="18546" spans="6:12" x14ac:dyDescent="0.3">
      <c r="F18546" s="1"/>
    </row>
    <row r="18547" spans="6:12" x14ac:dyDescent="0.3">
      <c r="F18547" s="1"/>
      <c r="L18547" s="1"/>
    </row>
    <row r="18548" spans="6:12" x14ac:dyDescent="0.3">
      <c r="F18548" s="1"/>
    </row>
    <row r="18549" spans="6:12" x14ac:dyDescent="0.3">
      <c r="F18549" s="1"/>
    </row>
    <row r="18550" spans="6:12" x14ac:dyDescent="0.3">
      <c r="F18550" s="1"/>
    </row>
    <row r="18551" spans="6:12" x14ac:dyDescent="0.3">
      <c r="F18551" s="1"/>
    </row>
    <row r="18552" spans="6:12" x14ac:dyDescent="0.3">
      <c r="F18552" s="1"/>
    </row>
    <row r="18553" spans="6:12" x14ac:dyDescent="0.3">
      <c r="F18553" s="1"/>
    </row>
    <row r="18554" spans="6:12" x14ac:dyDescent="0.3">
      <c r="F18554" s="1"/>
    </row>
    <row r="18555" spans="6:12" x14ac:dyDescent="0.3">
      <c r="F18555" s="1"/>
    </row>
    <row r="18556" spans="6:12" x14ac:dyDescent="0.3">
      <c r="F18556" s="1"/>
    </row>
    <row r="18557" spans="6:12" x14ac:dyDescent="0.3">
      <c r="F18557" s="1"/>
    </row>
    <row r="18558" spans="6:12" x14ac:dyDescent="0.3">
      <c r="F18558" s="1"/>
    </row>
    <row r="18560" spans="6:12" x14ac:dyDescent="0.3">
      <c r="F18560" s="1"/>
    </row>
    <row r="18561" spans="6:14" x14ac:dyDescent="0.3">
      <c r="F18561" s="1"/>
    </row>
    <row r="18562" spans="6:14" x14ac:dyDescent="0.3">
      <c r="F18562" s="1"/>
    </row>
    <row r="18563" spans="6:14" x14ac:dyDescent="0.3">
      <c r="F18563" s="1"/>
    </row>
    <row r="18564" spans="6:14" x14ac:dyDescent="0.3">
      <c r="F18564" s="1"/>
    </row>
    <row r="18565" spans="6:14" x14ac:dyDescent="0.3">
      <c r="F18565" s="1"/>
      <c r="N18565" s="1"/>
    </row>
    <row r="18566" spans="6:14" x14ac:dyDescent="0.3">
      <c r="F18566" s="1"/>
    </row>
    <row r="18567" spans="6:14" x14ac:dyDescent="0.3">
      <c r="F18567" s="1"/>
    </row>
    <row r="18568" spans="6:14" x14ac:dyDescent="0.3">
      <c r="F18568" s="1"/>
    </row>
    <row r="18569" spans="6:14" x14ac:dyDescent="0.3">
      <c r="F18569" s="1"/>
      <c r="M18569" s="1"/>
    </row>
    <row r="18570" spans="6:14" x14ac:dyDescent="0.3">
      <c r="M18570" s="1"/>
    </row>
    <row r="18571" spans="6:14" x14ac:dyDescent="0.3">
      <c r="F18571" s="1"/>
    </row>
    <row r="18572" spans="6:14" x14ac:dyDescent="0.3">
      <c r="F18572" s="1"/>
    </row>
    <row r="18573" spans="6:14" x14ac:dyDescent="0.3">
      <c r="F18573" s="1"/>
    </row>
    <row r="18574" spans="6:14" x14ac:dyDescent="0.3">
      <c r="F18574" s="1"/>
    </row>
    <row r="18577" spans="6:13" x14ac:dyDescent="0.3">
      <c r="F18577" s="1"/>
    </row>
    <row r="18579" spans="6:13" x14ac:dyDescent="0.3">
      <c r="F18579" s="1"/>
    </row>
    <row r="18580" spans="6:13" x14ac:dyDescent="0.3">
      <c r="F18580" s="1"/>
    </row>
    <row r="18581" spans="6:13" x14ac:dyDescent="0.3">
      <c r="F18581" s="1"/>
    </row>
    <row r="18583" spans="6:13" x14ac:dyDescent="0.3">
      <c r="F18583" s="1"/>
    </row>
    <row r="18584" spans="6:13" x14ac:dyDescent="0.3">
      <c r="F18584" s="1"/>
      <c r="M18584" s="1"/>
    </row>
    <row r="18585" spans="6:13" x14ac:dyDescent="0.3">
      <c r="M18585" s="1"/>
    </row>
    <row r="18586" spans="6:13" x14ac:dyDescent="0.3">
      <c r="F18586" s="1"/>
    </row>
    <row r="18587" spans="6:13" x14ac:dyDescent="0.3">
      <c r="F18587" s="1"/>
    </row>
    <row r="18588" spans="6:13" x14ac:dyDescent="0.3">
      <c r="F18588" s="1"/>
    </row>
    <row r="18589" spans="6:13" x14ac:dyDescent="0.3">
      <c r="F18589" s="1"/>
    </row>
    <row r="18590" spans="6:13" x14ac:dyDescent="0.3">
      <c r="F18590" s="1"/>
    </row>
    <row r="18591" spans="6:13" x14ac:dyDescent="0.3">
      <c r="F18591" s="1"/>
    </row>
    <row r="18592" spans="6:13" x14ac:dyDescent="0.3">
      <c r="M18592" s="1"/>
    </row>
    <row r="18593" spans="6:15" x14ac:dyDescent="0.3">
      <c r="F18593" s="1"/>
    </row>
    <row r="18594" spans="6:15" x14ac:dyDescent="0.3">
      <c r="F18594" s="1"/>
    </row>
    <row r="18597" spans="6:15" x14ac:dyDescent="0.3">
      <c r="F18597" s="1"/>
    </row>
    <row r="18598" spans="6:15" x14ac:dyDescent="0.3">
      <c r="F18598" s="1"/>
      <c r="L18598" s="1"/>
      <c r="M18598" s="1"/>
    </row>
    <row r="18599" spans="6:15" x14ac:dyDescent="0.3">
      <c r="F18599" s="1"/>
    </row>
    <row r="18600" spans="6:15" x14ac:dyDescent="0.3">
      <c r="F18600" s="1"/>
    </row>
    <row r="18601" spans="6:15" x14ac:dyDescent="0.3">
      <c r="M18601" s="1"/>
      <c r="N18601" s="1"/>
    </row>
    <row r="18602" spans="6:15" x14ac:dyDescent="0.3">
      <c r="F18602" s="1"/>
    </row>
    <row r="18603" spans="6:15" x14ac:dyDescent="0.3">
      <c r="F18603" s="1"/>
      <c r="L18603" s="1"/>
      <c r="N18603" s="1"/>
      <c r="O18603" s="1"/>
    </row>
    <row r="18604" spans="6:15" x14ac:dyDescent="0.3">
      <c r="F18604" s="1"/>
    </row>
    <row r="18605" spans="6:15" x14ac:dyDescent="0.3">
      <c r="L18605" s="1"/>
      <c r="M18605" s="1"/>
      <c r="O18605" s="1"/>
    </row>
    <row r="18606" spans="6:15" x14ac:dyDescent="0.3">
      <c r="F18606" s="1"/>
    </row>
    <row r="18607" spans="6:15" x14ac:dyDescent="0.3">
      <c r="F18607" s="1"/>
    </row>
    <row r="18608" spans="6:15" x14ac:dyDescent="0.3">
      <c r="F18608" s="1"/>
    </row>
    <row r="18609" spans="6:14" x14ac:dyDescent="0.3">
      <c r="F18609" s="1"/>
    </row>
    <row r="18611" spans="6:14" x14ac:dyDescent="0.3">
      <c r="F18611" s="1"/>
    </row>
    <row r="18612" spans="6:14" x14ac:dyDescent="0.3">
      <c r="F18612" s="1"/>
    </row>
    <row r="18613" spans="6:14" x14ac:dyDescent="0.3">
      <c r="F18613" s="1"/>
    </row>
    <row r="18614" spans="6:14" x14ac:dyDescent="0.3">
      <c r="F18614" s="1"/>
    </row>
    <row r="18615" spans="6:14" x14ac:dyDescent="0.3">
      <c r="F18615" s="1"/>
    </row>
    <row r="18616" spans="6:14" x14ac:dyDescent="0.3">
      <c r="F18616" s="1"/>
    </row>
    <row r="18617" spans="6:14" x14ac:dyDescent="0.3">
      <c r="F18617" s="1"/>
    </row>
    <row r="18618" spans="6:14" x14ac:dyDescent="0.3">
      <c r="F18618" s="1"/>
    </row>
    <row r="18619" spans="6:14" x14ac:dyDescent="0.3">
      <c r="F18619" s="1"/>
    </row>
    <row r="18620" spans="6:14" x14ac:dyDescent="0.3">
      <c r="N18620" s="1"/>
    </row>
    <row r="18621" spans="6:14" x14ac:dyDescent="0.3">
      <c r="F18621" s="1"/>
    </row>
    <row r="18622" spans="6:14" x14ac:dyDescent="0.3">
      <c r="F18622" s="1"/>
    </row>
    <row r="18623" spans="6:14" x14ac:dyDescent="0.3">
      <c r="F18623" s="1"/>
    </row>
    <row r="18624" spans="6:14" x14ac:dyDescent="0.3">
      <c r="F18624" s="1"/>
    </row>
    <row r="18625" spans="6:14" x14ac:dyDescent="0.3">
      <c r="F18625" s="1"/>
      <c r="N18625" s="1"/>
    </row>
    <row r="18626" spans="6:14" x14ac:dyDescent="0.3">
      <c r="F18626" s="1"/>
    </row>
    <row r="18628" spans="6:14" x14ac:dyDescent="0.3">
      <c r="F18628" s="1"/>
    </row>
    <row r="18629" spans="6:14" x14ac:dyDescent="0.3">
      <c r="M18629" s="1"/>
    </row>
    <row r="18630" spans="6:14" x14ac:dyDescent="0.3">
      <c r="F18630" s="1"/>
    </row>
    <row r="18631" spans="6:14" x14ac:dyDescent="0.3">
      <c r="F18631" s="1"/>
    </row>
    <row r="18632" spans="6:14" x14ac:dyDescent="0.3">
      <c r="M18632" s="1"/>
    </row>
    <row r="18633" spans="6:14" x14ac:dyDescent="0.3">
      <c r="F18633" s="1"/>
    </row>
    <row r="18634" spans="6:14" x14ac:dyDescent="0.3">
      <c r="F18634" s="1"/>
    </row>
    <row r="18636" spans="6:14" x14ac:dyDescent="0.3">
      <c r="F18636" s="1"/>
    </row>
    <row r="18637" spans="6:14" x14ac:dyDescent="0.3">
      <c r="F18637" s="1"/>
    </row>
    <row r="18638" spans="6:14" x14ac:dyDescent="0.3">
      <c r="F18638" s="1"/>
    </row>
    <row r="18639" spans="6:14" x14ac:dyDescent="0.3">
      <c r="F18639" s="1"/>
    </row>
    <row r="18640" spans="6:14" x14ac:dyDescent="0.3">
      <c r="F18640" s="1"/>
    </row>
    <row r="18641" spans="6:14" x14ac:dyDescent="0.3">
      <c r="F18641" s="1"/>
    </row>
    <row r="18642" spans="6:14" x14ac:dyDescent="0.3">
      <c r="F18642" s="1"/>
    </row>
    <row r="18643" spans="6:14" x14ac:dyDescent="0.3">
      <c r="F18643" s="1"/>
    </row>
    <row r="18644" spans="6:14" x14ac:dyDescent="0.3">
      <c r="F18644" s="1"/>
    </row>
    <row r="18645" spans="6:14" x14ac:dyDescent="0.3">
      <c r="F18645" s="1"/>
    </row>
    <row r="18646" spans="6:14" x14ac:dyDescent="0.3">
      <c r="F18646" s="1"/>
    </row>
    <row r="18647" spans="6:14" x14ac:dyDescent="0.3">
      <c r="F18647" s="1"/>
    </row>
    <row r="18648" spans="6:14" x14ac:dyDescent="0.3">
      <c r="F18648" s="1"/>
    </row>
    <row r="18649" spans="6:14" x14ac:dyDescent="0.3">
      <c r="F18649" s="1"/>
    </row>
    <row r="18650" spans="6:14" x14ac:dyDescent="0.3">
      <c r="F18650" s="1"/>
    </row>
    <row r="18651" spans="6:14" x14ac:dyDescent="0.3">
      <c r="F18651" s="1"/>
    </row>
    <row r="18652" spans="6:14" x14ac:dyDescent="0.3">
      <c r="F18652" s="1"/>
    </row>
    <row r="18653" spans="6:14" x14ac:dyDescent="0.3">
      <c r="F18653" s="1"/>
    </row>
    <row r="18654" spans="6:14" x14ac:dyDescent="0.3">
      <c r="F18654" s="1"/>
    </row>
    <row r="18655" spans="6:14" x14ac:dyDescent="0.3">
      <c r="N18655" s="1"/>
    </row>
    <row r="18656" spans="6:14" x14ac:dyDescent="0.3">
      <c r="F18656" s="1"/>
    </row>
    <row r="18658" spans="6:6" x14ac:dyDescent="0.3">
      <c r="F18658" s="1"/>
    </row>
    <row r="18659" spans="6:6" x14ac:dyDescent="0.3">
      <c r="F18659" s="1"/>
    </row>
    <row r="18660" spans="6:6" x14ac:dyDescent="0.3">
      <c r="F18660" s="1"/>
    </row>
    <row r="18662" spans="6:6" x14ac:dyDescent="0.3">
      <c r="F18662" s="1"/>
    </row>
    <row r="18663" spans="6:6" x14ac:dyDescent="0.3">
      <c r="F18663" s="1"/>
    </row>
    <row r="18664" spans="6:6" x14ac:dyDescent="0.3">
      <c r="F18664" s="1"/>
    </row>
    <row r="18665" spans="6:6" x14ac:dyDescent="0.3">
      <c r="F18665" s="1"/>
    </row>
    <row r="18666" spans="6:6" x14ac:dyDescent="0.3">
      <c r="F18666" s="1"/>
    </row>
    <row r="18668" spans="6:6" x14ac:dyDescent="0.3">
      <c r="F18668" s="1"/>
    </row>
    <row r="18669" spans="6:6" x14ac:dyDescent="0.3">
      <c r="F18669" s="1"/>
    </row>
    <row r="18670" spans="6:6" x14ac:dyDescent="0.3">
      <c r="F18670" s="1"/>
    </row>
    <row r="18671" spans="6:6" x14ac:dyDescent="0.3">
      <c r="F18671" s="1"/>
    </row>
    <row r="18672" spans="6:6" x14ac:dyDescent="0.3">
      <c r="F18672" s="1"/>
    </row>
    <row r="18673" spans="6:13" x14ac:dyDescent="0.3">
      <c r="F18673" s="1"/>
    </row>
    <row r="18674" spans="6:13" x14ac:dyDescent="0.3">
      <c r="F18674" s="1"/>
    </row>
    <row r="18675" spans="6:13" x14ac:dyDescent="0.3">
      <c r="F18675" s="1"/>
    </row>
    <row r="18676" spans="6:13" x14ac:dyDescent="0.3">
      <c r="F18676" s="1"/>
    </row>
    <row r="18677" spans="6:13" x14ac:dyDescent="0.3">
      <c r="F18677" s="1"/>
    </row>
    <row r="18678" spans="6:13" x14ac:dyDescent="0.3">
      <c r="F18678" s="1"/>
    </row>
    <row r="18679" spans="6:13" x14ac:dyDescent="0.3">
      <c r="F18679" s="1"/>
    </row>
    <row r="18680" spans="6:13" x14ac:dyDescent="0.3">
      <c r="F18680" s="1"/>
    </row>
    <row r="18681" spans="6:13" x14ac:dyDescent="0.3">
      <c r="M18681" s="1"/>
    </row>
    <row r="18682" spans="6:13" x14ac:dyDescent="0.3">
      <c r="F18682" s="1"/>
    </row>
    <row r="18683" spans="6:13" x14ac:dyDescent="0.3">
      <c r="F18683" s="1"/>
    </row>
    <row r="18684" spans="6:13" x14ac:dyDescent="0.3">
      <c r="F18684" s="1"/>
    </row>
    <row r="18685" spans="6:13" x14ac:dyDescent="0.3">
      <c r="F18685" s="1"/>
    </row>
    <row r="18687" spans="6:13" x14ac:dyDescent="0.3">
      <c r="F18687" s="1"/>
    </row>
    <row r="18689" spans="6:15" x14ac:dyDescent="0.3">
      <c r="F18689" s="1"/>
    </row>
    <row r="18690" spans="6:15" x14ac:dyDescent="0.3">
      <c r="F18690" s="1"/>
    </row>
    <row r="18691" spans="6:15" x14ac:dyDescent="0.3">
      <c r="F18691" s="1"/>
    </row>
    <row r="18692" spans="6:15" x14ac:dyDescent="0.3">
      <c r="F18692" s="1"/>
    </row>
    <row r="18693" spans="6:15" x14ac:dyDescent="0.3">
      <c r="F18693" s="1"/>
    </row>
    <row r="18695" spans="6:15" x14ac:dyDescent="0.3">
      <c r="L18695" s="1"/>
    </row>
    <row r="18696" spans="6:15" x14ac:dyDescent="0.3">
      <c r="F18696" s="1"/>
    </row>
    <row r="18697" spans="6:15" x14ac:dyDescent="0.3">
      <c r="F18697" s="1"/>
    </row>
    <row r="18698" spans="6:15" x14ac:dyDescent="0.3">
      <c r="F18698" s="1"/>
    </row>
    <row r="18699" spans="6:15" x14ac:dyDescent="0.3">
      <c r="F18699" s="1"/>
    </row>
    <row r="18700" spans="6:15" x14ac:dyDescent="0.3">
      <c r="F18700" s="1"/>
      <c r="M18700" s="1"/>
      <c r="O18700" s="1"/>
    </row>
    <row r="18701" spans="6:15" x14ac:dyDescent="0.3">
      <c r="F18701" s="1"/>
    </row>
    <row r="18702" spans="6:15" x14ac:dyDescent="0.3">
      <c r="F18702" s="1"/>
    </row>
    <row r="18703" spans="6:15" x14ac:dyDescent="0.3">
      <c r="F18703" s="1"/>
    </row>
    <row r="18704" spans="6:15" x14ac:dyDescent="0.3">
      <c r="F18704" s="1"/>
    </row>
    <row r="18705" spans="6:15" x14ac:dyDescent="0.3">
      <c r="F18705" s="1"/>
    </row>
    <row r="18706" spans="6:15" x14ac:dyDescent="0.3">
      <c r="F18706" s="1"/>
    </row>
    <row r="18707" spans="6:15" x14ac:dyDescent="0.3">
      <c r="F18707" s="1"/>
    </row>
    <row r="18709" spans="6:15" x14ac:dyDescent="0.3">
      <c r="F18709" s="1"/>
    </row>
    <row r="18710" spans="6:15" x14ac:dyDescent="0.3">
      <c r="F18710" s="1"/>
    </row>
    <row r="18711" spans="6:15" x14ac:dyDescent="0.3">
      <c r="F18711" s="1"/>
    </row>
    <row r="18713" spans="6:15" x14ac:dyDescent="0.3">
      <c r="F18713" s="1"/>
    </row>
    <row r="18714" spans="6:15" x14ac:dyDescent="0.3">
      <c r="F18714" s="1"/>
    </row>
    <row r="18715" spans="6:15" x14ac:dyDescent="0.3">
      <c r="L18715" s="1"/>
      <c r="N18715" s="1"/>
      <c r="O18715" s="1"/>
    </row>
    <row r="18716" spans="6:15" x14ac:dyDescent="0.3">
      <c r="F18716" s="1"/>
    </row>
    <row r="18717" spans="6:15" x14ac:dyDescent="0.3">
      <c r="F18717" s="1"/>
    </row>
    <row r="18718" spans="6:15" x14ac:dyDescent="0.3">
      <c r="F18718" s="1"/>
    </row>
    <row r="18719" spans="6:15" x14ac:dyDescent="0.3">
      <c r="F18719" s="1"/>
    </row>
    <row r="18720" spans="6:15" x14ac:dyDescent="0.3">
      <c r="F18720" s="1"/>
    </row>
    <row r="18721" spans="6:14" x14ac:dyDescent="0.3">
      <c r="F18721" s="1"/>
    </row>
    <row r="18722" spans="6:14" x14ac:dyDescent="0.3">
      <c r="F18722" s="1"/>
    </row>
    <row r="18723" spans="6:14" x14ac:dyDescent="0.3">
      <c r="F18723" s="1"/>
    </row>
    <row r="18724" spans="6:14" x14ac:dyDescent="0.3">
      <c r="F18724" s="1"/>
    </row>
    <row r="18725" spans="6:14" x14ac:dyDescent="0.3">
      <c r="F18725" s="1"/>
      <c r="N18725" s="1"/>
    </row>
    <row r="18727" spans="6:14" x14ac:dyDescent="0.3">
      <c r="F18727" s="1"/>
    </row>
    <row r="18728" spans="6:14" x14ac:dyDescent="0.3">
      <c r="F18728" s="1"/>
    </row>
    <row r="18729" spans="6:14" x14ac:dyDescent="0.3">
      <c r="F18729" s="1"/>
    </row>
    <row r="18730" spans="6:14" x14ac:dyDescent="0.3">
      <c r="F18730" s="1"/>
    </row>
    <row r="18731" spans="6:14" x14ac:dyDescent="0.3">
      <c r="F18731" s="1"/>
    </row>
    <row r="18732" spans="6:14" x14ac:dyDescent="0.3">
      <c r="F18732" s="1"/>
    </row>
    <row r="18733" spans="6:14" x14ac:dyDescent="0.3">
      <c r="F18733" s="1"/>
    </row>
    <row r="18734" spans="6:14" x14ac:dyDescent="0.3">
      <c r="F18734" s="1"/>
    </row>
    <row r="18735" spans="6:14" x14ac:dyDescent="0.3">
      <c r="F18735" s="1"/>
    </row>
    <row r="18736" spans="6:14" x14ac:dyDescent="0.3">
      <c r="F18736" s="1"/>
    </row>
    <row r="18737" spans="6:14" x14ac:dyDescent="0.3">
      <c r="F18737" s="1"/>
    </row>
    <row r="18738" spans="6:14" x14ac:dyDescent="0.3">
      <c r="F18738" s="1"/>
    </row>
    <row r="18739" spans="6:14" x14ac:dyDescent="0.3">
      <c r="F18739" s="1"/>
    </row>
    <row r="18740" spans="6:14" x14ac:dyDescent="0.3">
      <c r="F18740" s="1"/>
      <c r="N18740" s="1"/>
    </row>
    <row r="18741" spans="6:14" x14ac:dyDescent="0.3">
      <c r="F18741" s="1"/>
    </row>
    <row r="18742" spans="6:14" x14ac:dyDescent="0.3">
      <c r="F18742" s="1"/>
    </row>
    <row r="18743" spans="6:14" x14ac:dyDescent="0.3">
      <c r="F18743" s="1"/>
    </row>
    <row r="18744" spans="6:14" x14ac:dyDescent="0.3">
      <c r="F18744" s="1"/>
      <c r="L18744" s="1"/>
    </row>
    <row r="18745" spans="6:14" x14ac:dyDescent="0.3">
      <c r="F18745" s="1"/>
    </row>
    <row r="18746" spans="6:14" x14ac:dyDescent="0.3">
      <c r="F18746" s="1"/>
    </row>
    <row r="18747" spans="6:14" x14ac:dyDescent="0.3">
      <c r="F18747" s="1"/>
      <c r="N18747" s="1"/>
    </row>
    <row r="18748" spans="6:14" x14ac:dyDescent="0.3">
      <c r="F18748" s="1"/>
    </row>
    <row r="18749" spans="6:14" x14ac:dyDescent="0.3">
      <c r="F18749" s="1"/>
    </row>
    <row r="18750" spans="6:14" x14ac:dyDescent="0.3">
      <c r="F18750" s="1"/>
    </row>
    <row r="18751" spans="6:14" x14ac:dyDescent="0.3">
      <c r="F18751" s="1"/>
    </row>
    <row r="18753" spans="6:6" x14ac:dyDescent="0.3">
      <c r="F18753" s="1"/>
    </row>
    <row r="18754" spans="6:6" x14ac:dyDescent="0.3">
      <c r="F18754" s="1"/>
    </row>
    <row r="18755" spans="6:6" x14ac:dyDescent="0.3">
      <c r="F18755" s="1"/>
    </row>
    <row r="18756" spans="6:6" x14ac:dyDescent="0.3">
      <c r="F18756" s="1"/>
    </row>
    <row r="18757" spans="6:6" x14ac:dyDescent="0.3">
      <c r="F18757" s="1"/>
    </row>
    <row r="18758" spans="6:6" x14ac:dyDescent="0.3">
      <c r="F18758" s="1"/>
    </row>
    <row r="18759" spans="6:6" x14ac:dyDescent="0.3">
      <c r="F18759" s="1"/>
    </row>
    <row r="18760" spans="6:6" x14ac:dyDescent="0.3">
      <c r="F18760" s="1"/>
    </row>
    <row r="18761" spans="6:6" x14ac:dyDescent="0.3">
      <c r="F18761" s="1"/>
    </row>
    <row r="18762" spans="6:6" x14ac:dyDescent="0.3">
      <c r="F18762" s="1"/>
    </row>
    <row r="18763" spans="6:6" x14ac:dyDescent="0.3">
      <c r="F18763" s="1"/>
    </row>
    <row r="18764" spans="6:6" x14ac:dyDescent="0.3">
      <c r="F18764" s="1"/>
    </row>
    <row r="18765" spans="6:6" x14ac:dyDescent="0.3">
      <c r="F18765" s="1"/>
    </row>
    <row r="18766" spans="6:6" x14ac:dyDescent="0.3">
      <c r="F18766" s="1"/>
    </row>
    <row r="18767" spans="6:6" x14ac:dyDescent="0.3">
      <c r="F18767" s="1"/>
    </row>
    <row r="18769" spans="6:15" x14ac:dyDescent="0.3">
      <c r="F18769" s="1"/>
      <c r="L18769" s="1"/>
      <c r="N18769" s="1"/>
      <c r="O18769" s="1"/>
    </row>
    <row r="18770" spans="6:15" x14ac:dyDescent="0.3">
      <c r="F18770" s="1"/>
    </row>
    <row r="18771" spans="6:15" x14ac:dyDescent="0.3">
      <c r="F18771" s="1"/>
    </row>
    <row r="18772" spans="6:15" x14ac:dyDescent="0.3">
      <c r="F18772" s="1"/>
    </row>
    <row r="18773" spans="6:15" x14ac:dyDescent="0.3">
      <c r="O18773" s="1"/>
    </row>
    <row r="18774" spans="6:15" x14ac:dyDescent="0.3">
      <c r="F18774" s="1"/>
    </row>
    <row r="18775" spans="6:15" x14ac:dyDescent="0.3">
      <c r="F18775" s="1"/>
    </row>
    <row r="18777" spans="6:15" x14ac:dyDescent="0.3">
      <c r="F18777" s="1"/>
    </row>
    <row r="18778" spans="6:15" x14ac:dyDescent="0.3">
      <c r="F18778" s="1"/>
    </row>
    <row r="18779" spans="6:15" x14ac:dyDescent="0.3">
      <c r="F18779" s="1"/>
    </row>
    <row r="18780" spans="6:15" x14ac:dyDescent="0.3">
      <c r="F18780" s="1"/>
    </row>
    <row r="18781" spans="6:15" x14ac:dyDescent="0.3">
      <c r="N18781" s="1"/>
    </row>
    <row r="18782" spans="6:15" x14ac:dyDescent="0.3">
      <c r="F18782" s="1"/>
    </row>
    <row r="18783" spans="6:15" x14ac:dyDescent="0.3">
      <c r="F18783" s="1"/>
    </row>
    <row r="18784" spans="6:15" x14ac:dyDescent="0.3">
      <c r="F18784" s="1"/>
    </row>
    <row r="18785" spans="6:6" x14ac:dyDescent="0.3">
      <c r="F18785" s="1"/>
    </row>
    <row r="18786" spans="6:6" x14ac:dyDescent="0.3">
      <c r="F18786" s="1"/>
    </row>
    <row r="18787" spans="6:6" x14ac:dyDescent="0.3">
      <c r="F18787" s="1"/>
    </row>
    <row r="18788" spans="6:6" x14ac:dyDescent="0.3">
      <c r="F18788" s="1"/>
    </row>
    <row r="18789" spans="6:6" x14ac:dyDescent="0.3">
      <c r="F18789" s="1"/>
    </row>
    <row r="18790" spans="6:6" x14ac:dyDescent="0.3">
      <c r="F18790" s="1"/>
    </row>
    <row r="18791" spans="6:6" x14ac:dyDescent="0.3">
      <c r="F18791" s="1"/>
    </row>
    <row r="18792" spans="6:6" x14ac:dyDescent="0.3">
      <c r="F18792" s="1"/>
    </row>
    <row r="18793" spans="6:6" x14ac:dyDescent="0.3">
      <c r="F18793" s="1"/>
    </row>
    <row r="18794" spans="6:6" x14ac:dyDescent="0.3">
      <c r="F18794" s="1"/>
    </row>
    <row r="18797" spans="6:6" x14ac:dyDescent="0.3">
      <c r="F18797" s="1"/>
    </row>
    <row r="18798" spans="6:6" x14ac:dyDescent="0.3">
      <c r="F18798" s="1"/>
    </row>
    <row r="18799" spans="6:6" x14ac:dyDescent="0.3">
      <c r="F18799" s="1"/>
    </row>
    <row r="18800" spans="6:6" x14ac:dyDescent="0.3">
      <c r="F18800" s="1"/>
    </row>
    <row r="18801" spans="6:13" x14ac:dyDescent="0.3">
      <c r="F18801" s="1"/>
      <c r="M18801" s="1"/>
    </row>
    <row r="18802" spans="6:13" x14ac:dyDescent="0.3">
      <c r="F18802" s="1"/>
    </row>
    <row r="18803" spans="6:13" x14ac:dyDescent="0.3">
      <c r="F18803" s="1"/>
    </row>
    <row r="18805" spans="6:13" x14ac:dyDescent="0.3">
      <c r="F18805" s="1"/>
    </row>
    <row r="18806" spans="6:13" x14ac:dyDescent="0.3">
      <c r="F18806" s="1"/>
    </row>
    <row r="18807" spans="6:13" x14ac:dyDescent="0.3">
      <c r="L18807" s="1"/>
      <c r="M18807" s="1"/>
    </row>
    <row r="18808" spans="6:13" x14ac:dyDescent="0.3">
      <c r="F18808" s="1"/>
    </row>
    <row r="18809" spans="6:13" x14ac:dyDescent="0.3">
      <c r="F18809" s="1"/>
    </row>
    <row r="18810" spans="6:13" x14ac:dyDescent="0.3">
      <c r="F18810" s="1"/>
    </row>
    <row r="18811" spans="6:13" x14ac:dyDescent="0.3">
      <c r="F18811" s="1"/>
    </row>
    <row r="18812" spans="6:13" x14ac:dyDescent="0.3">
      <c r="F18812" s="1"/>
    </row>
    <row r="18813" spans="6:13" x14ac:dyDescent="0.3">
      <c r="F18813" s="1"/>
    </row>
    <row r="18814" spans="6:13" x14ac:dyDescent="0.3">
      <c r="F18814" s="1"/>
    </row>
    <row r="18815" spans="6:13" x14ac:dyDescent="0.3">
      <c r="F18815" s="1"/>
    </row>
    <row r="18816" spans="6:13" x14ac:dyDescent="0.3">
      <c r="F18816" s="1"/>
    </row>
    <row r="18818" spans="6:13" x14ac:dyDescent="0.3">
      <c r="F18818" s="1"/>
    </row>
    <row r="18819" spans="6:13" x14ac:dyDescent="0.3">
      <c r="F18819" s="1"/>
    </row>
    <row r="18820" spans="6:13" x14ac:dyDescent="0.3">
      <c r="F18820" s="1"/>
    </row>
    <row r="18821" spans="6:13" x14ac:dyDescent="0.3">
      <c r="F18821" s="1"/>
    </row>
    <row r="18823" spans="6:13" x14ac:dyDescent="0.3">
      <c r="F18823" s="1"/>
    </row>
    <row r="18824" spans="6:13" x14ac:dyDescent="0.3">
      <c r="F18824" s="1"/>
      <c r="M18824" s="1"/>
    </row>
    <row r="18825" spans="6:13" x14ac:dyDescent="0.3">
      <c r="F18825" s="1"/>
    </row>
    <row r="18826" spans="6:13" x14ac:dyDescent="0.3">
      <c r="F18826" s="1"/>
    </row>
    <row r="18827" spans="6:13" x14ac:dyDescent="0.3">
      <c r="F18827" s="1"/>
    </row>
    <row r="18828" spans="6:13" x14ac:dyDescent="0.3">
      <c r="F18828" s="1"/>
    </row>
    <row r="18829" spans="6:13" x14ac:dyDescent="0.3">
      <c r="F18829" s="1"/>
    </row>
    <row r="18830" spans="6:13" x14ac:dyDescent="0.3">
      <c r="F18830" s="1"/>
    </row>
    <row r="18831" spans="6:13" x14ac:dyDescent="0.3">
      <c r="F18831" s="1"/>
    </row>
    <row r="18833" spans="6:13" x14ac:dyDescent="0.3">
      <c r="L18833" s="1"/>
      <c r="M18833" s="1"/>
    </row>
    <row r="18834" spans="6:13" x14ac:dyDescent="0.3">
      <c r="F18834" s="1"/>
    </row>
    <row r="18835" spans="6:13" x14ac:dyDescent="0.3">
      <c r="F18835" s="1"/>
    </row>
    <row r="18837" spans="6:13" x14ac:dyDescent="0.3">
      <c r="F18837" s="1"/>
    </row>
    <row r="18838" spans="6:13" x14ac:dyDescent="0.3">
      <c r="F18838" s="1"/>
    </row>
    <row r="18839" spans="6:13" x14ac:dyDescent="0.3">
      <c r="F18839" s="1"/>
    </row>
    <row r="18840" spans="6:13" x14ac:dyDescent="0.3">
      <c r="F18840" s="1"/>
    </row>
    <row r="18841" spans="6:13" x14ac:dyDescent="0.3">
      <c r="F18841" s="1"/>
    </row>
    <row r="18842" spans="6:13" x14ac:dyDescent="0.3">
      <c r="F18842" s="1"/>
    </row>
    <row r="18843" spans="6:13" x14ac:dyDescent="0.3">
      <c r="F18843" s="1"/>
    </row>
    <row r="18844" spans="6:13" x14ac:dyDescent="0.3">
      <c r="F18844" s="1"/>
    </row>
    <row r="18845" spans="6:13" x14ac:dyDescent="0.3">
      <c r="F18845" s="1"/>
    </row>
    <row r="18846" spans="6:13" x14ac:dyDescent="0.3">
      <c r="F18846" s="1"/>
    </row>
    <row r="18847" spans="6:13" x14ac:dyDescent="0.3">
      <c r="F18847" s="1"/>
    </row>
    <row r="18848" spans="6:13" x14ac:dyDescent="0.3">
      <c r="F18848" s="1"/>
    </row>
    <row r="18849" spans="6:14" x14ac:dyDescent="0.3">
      <c r="F18849" s="1"/>
    </row>
    <row r="18850" spans="6:14" x14ac:dyDescent="0.3">
      <c r="F18850" s="1"/>
    </row>
    <row r="18851" spans="6:14" x14ac:dyDescent="0.3">
      <c r="F18851" s="1"/>
    </row>
    <row r="18852" spans="6:14" x14ac:dyDescent="0.3">
      <c r="M18852" s="1"/>
      <c r="N18852" s="1"/>
    </row>
    <row r="18853" spans="6:14" x14ac:dyDescent="0.3">
      <c r="F18853" s="1"/>
    </row>
    <row r="18854" spans="6:14" x14ac:dyDescent="0.3">
      <c r="F18854" s="1"/>
    </row>
    <row r="18855" spans="6:14" x14ac:dyDescent="0.3">
      <c r="F18855" s="1"/>
    </row>
    <row r="18856" spans="6:14" x14ac:dyDescent="0.3">
      <c r="L18856" s="1"/>
      <c r="N18856" s="1"/>
    </row>
    <row r="18857" spans="6:14" x14ac:dyDescent="0.3">
      <c r="F18857" s="1"/>
    </row>
    <row r="18858" spans="6:14" x14ac:dyDescent="0.3">
      <c r="F18858" s="1"/>
    </row>
    <row r="18859" spans="6:14" x14ac:dyDescent="0.3">
      <c r="F18859" s="1"/>
    </row>
    <row r="18860" spans="6:14" x14ac:dyDescent="0.3">
      <c r="F18860" s="1"/>
    </row>
    <row r="18861" spans="6:14" x14ac:dyDescent="0.3">
      <c r="L18861" s="1"/>
    </row>
    <row r="18862" spans="6:14" x14ac:dyDescent="0.3">
      <c r="F18862" s="1"/>
    </row>
    <row r="18863" spans="6:14" x14ac:dyDescent="0.3">
      <c r="F18863" s="1"/>
    </row>
    <row r="18864" spans="6:14" x14ac:dyDescent="0.3">
      <c r="F18864" s="1"/>
      <c r="L18864" s="1"/>
      <c r="M18864" s="1"/>
    </row>
    <row r="18865" spans="6:6" x14ac:dyDescent="0.3">
      <c r="F18865" s="1"/>
    </row>
    <row r="18867" spans="6:6" x14ac:dyDescent="0.3">
      <c r="F18867" s="1"/>
    </row>
    <row r="18868" spans="6:6" x14ac:dyDescent="0.3">
      <c r="F18868" s="1"/>
    </row>
    <row r="18869" spans="6:6" x14ac:dyDescent="0.3">
      <c r="F18869" s="1"/>
    </row>
    <row r="18870" spans="6:6" x14ac:dyDescent="0.3">
      <c r="F18870" s="1"/>
    </row>
    <row r="18871" spans="6:6" x14ac:dyDescent="0.3">
      <c r="F18871" s="1"/>
    </row>
    <row r="18872" spans="6:6" x14ac:dyDescent="0.3">
      <c r="F18872" s="1"/>
    </row>
    <row r="18873" spans="6:6" x14ac:dyDescent="0.3">
      <c r="F18873" s="1"/>
    </row>
    <row r="18874" spans="6:6" x14ac:dyDescent="0.3">
      <c r="F18874" s="1"/>
    </row>
    <row r="18875" spans="6:6" x14ac:dyDescent="0.3">
      <c r="F18875" s="1"/>
    </row>
    <row r="18876" spans="6:6" x14ac:dyDescent="0.3">
      <c r="F18876" s="1"/>
    </row>
    <row r="18877" spans="6:6" x14ac:dyDescent="0.3">
      <c r="F18877" s="1"/>
    </row>
    <row r="18878" spans="6:6" x14ac:dyDescent="0.3">
      <c r="F18878" s="1"/>
    </row>
    <row r="18879" spans="6:6" x14ac:dyDescent="0.3">
      <c r="F18879" s="1"/>
    </row>
    <row r="18880" spans="6:6" x14ac:dyDescent="0.3">
      <c r="F18880" s="1"/>
    </row>
    <row r="18881" spans="6:15" x14ac:dyDescent="0.3">
      <c r="F18881" s="1"/>
    </row>
    <row r="18883" spans="6:15" x14ac:dyDescent="0.3">
      <c r="F18883" s="1"/>
    </row>
    <row r="18884" spans="6:15" x14ac:dyDescent="0.3">
      <c r="F18884" s="1"/>
    </row>
    <row r="18885" spans="6:15" x14ac:dyDescent="0.3">
      <c r="F18885" s="1"/>
    </row>
    <row r="18886" spans="6:15" x14ac:dyDescent="0.3">
      <c r="F18886" s="1"/>
    </row>
    <row r="18887" spans="6:15" x14ac:dyDescent="0.3">
      <c r="F18887" s="1"/>
    </row>
    <row r="18889" spans="6:15" x14ac:dyDescent="0.3">
      <c r="L18889" s="1"/>
      <c r="M18889" s="1"/>
      <c r="O18889" s="1"/>
    </row>
    <row r="18890" spans="6:15" x14ac:dyDescent="0.3">
      <c r="F18890" s="1"/>
    </row>
    <row r="18891" spans="6:15" x14ac:dyDescent="0.3">
      <c r="F18891" s="1"/>
    </row>
    <row r="18892" spans="6:15" x14ac:dyDescent="0.3">
      <c r="M18892" s="1"/>
      <c r="O18892" s="1"/>
    </row>
    <row r="18893" spans="6:15" x14ac:dyDescent="0.3">
      <c r="F18893" s="1"/>
    </row>
    <row r="18894" spans="6:15" x14ac:dyDescent="0.3">
      <c r="F18894" s="1"/>
    </row>
    <row r="18895" spans="6:15" x14ac:dyDescent="0.3">
      <c r="F18895" s="1"/>
    </row>
    <row r="18896" spans="6:15" x14ac:dyDescent="0.3">
      <c r="F18896" s="1"/>
    </row>
    <row r="18897" spans="6:14" x14ac:dyDescent="0.3">
      <c r="F18897" s="1"/>
    </row>
    <row r="18898" spans="6:14" x14ac:dyDescent="0.3">
      <c r="F18898" s="1"/>
    </row>
    <row r="18899" spans="6:14" x14ac:dyDescent="0.3">
      <c r="F18899" s="1"/>
    </row>
    <row r="18901" spans="6:14" x14ac:dyDescent="0.3">
      <c r="F18901" s="1"/>
    </row>
    <row r="18902" spans="6:14" x14ac:dyDescent="0.3">
      <c r="F18902" s="1"/>
    </row>
    <row r="18903" spans="6:14" x14ac:dyDescent="0.3">
      <c r="F18903" s="1"/>
    </row>
    <row r="18904" spans="6:14" x14ac:dyDescent="0.3">
      <c r="M18904" s="1"/>
    </row>
    <row r="18905" spans="6:14" x14ac:dyDescent="0.3">
      <c r="F18905" s="1"/>
    </row>
    <row r="18906" spans="6:14" x14ac:dyDescent="0.3">
      <c r="F18906" s="1"/>
    </row>
    <row r="18907" spans="6:14" x14ac:dyDescent="0.3">
      <c r="F18907" s="1"/>
    </row>
    <row r="18908" spans="6:14" x14ac:dyDescent="0.3">
      <c r="F18908" s="1"/>
    </row>
    <row r="18909" spans="6:14" x14ac:dyDescent="0.3">
      <c r="F18909" s="1"/>
      <c r="N18909" s="1"/>
    </row>
    <row r="18910" spans="6:14" x14ac:dyDescent="0.3">
      <c r="F18910" s="1"/>
    </row>
    <row r="18911" spans="6:14" x14ac:dyDescent="0.3">
      <c r="F18911" s="1"/>
    </row>
    <row r="18912" spans="6:14" x14ac:dyDescent="0.3">
      <c r="F18912" s="1"/>
    </row>
    <row r="18913" spans="6:13" x14ac:dyDescent="0.3">
      <c r="F18913" s="1"/>
    </row>
    <row r="18914" spans="6:13" x14ac:dyDescent="0.3">
      <c r="L18914" s="1"/>
      <c r="M18914" s="1"/>
    </row>
    <row r="18915" spans="6:13" x14ac:dyDescent="0.3">
      <c r="F18915" s="1"/>
    </row>
    <row r="18916" spans="6:13" x14ac:dyDescent="0.3">
      <c r="F18916" s="1"/>
    </row>
    <row r="18917" spans="6:13" x14ac:dyDescent="0.3">
      <c r="F18917" s="1"/>
    </row>
    <row r="18918" spans="6:13" x14ac:dyDescent="0.3">
      <c r="F18918" s="1"/>
    </row>
    <row r="18919" spans="6:13" x14ac:dyDescent="0.3">
      <c r="F18919" s="1"/>
    </row>
    <row r="18920" spans="6:13" x14ac:dyDescent="0.3">
      <c r="F18920" s="1"/>
    </row>
    <row r="18921" spans="6:13" x14ac:dyDescent="0.3">
      <c r="F18921" s="1"/>
    </row>
    <row r="18922" spans="6:13" x14ac:dyDescent="0.3">
      <c r="F18922" s="1"/>
    </row>
    <row r="18924" spans="6:13" x14ac:dyDescent="0.3">
      <c r="F18924" s="1"/>
    </row>
    <row r="18925" spans="6:13" x14ac:dyDescent="0.3">
      <c r="F18925" s="1"/>
    </row>
    <row r="18926" spans="6:13" x14ac:dyDescent="0.3">
      <c r="L18926" s="1"/>
    </row>
    <row r="18927" spans="6:13" x14ac:dyDescent="0.3">
      <c r="F18927" s="1"/>
    </row>
    <row r="18928" spans="6:13" x14ac:dyDescent="0.3">
      <c r="F18928" s="1"/>
    </row>
    <row r="18929" spans="6:13" x14ac:dyDescent="0.3">
      <c r="F18929" s="1"/>
    </row>
    <row r="18930" spans="6:13" x14ac:dyDescent="0.3">
      <c r="F18930" s="1"/>
    </row>
    <row r="18931" spans="6:13" x14ac:dyDescent="0.3">
      <c r="F18931" s="1"/>
    </row>
    <row r="18932" spans="6:13" x14ac:dyDescent="0.3">
      <c r="F18932" s="1"/>
    </row>
    <row r="18933" spans="6:13" x14ac:dyDescent="0.3">
      <c r="F18933" s="1"/>
    </row>
    <row r="18934" spans="6:13" x14ac:dyDescent="0.3">
      <c r="F18934" s="1"/>
    </row>
    <row r="18935" spans="6:13" x14ac:dyDescent="0.3">
      <c r="F18935" s="1"/>
    </row>
    <row r="18936" spans="6:13" x14ac:dyDescent="0.3">
      <c r="F18936" s="1"/>
    </row>
    <row r="18937" spans="6:13" x14ac:dyDescent="0.3">
      <c r="F18937" s="1"/>
    </row>
    <row r="18938" spans="6:13" x14ac:dyDescent="0.3">
      <c r="F18938" s="1"/>
    </row>
    <row r="18939" spans="6:13" x14ac:dyDescent="0.3">
      <c r="F18939" s="1"/>
    </row>
    <row r="18940" spans="6:13" x14ac:dyDescent="0.3">
      <c r="F18940" s="1"/>
      <c r="L18940" s="1"/>
      <c r="M18940" s="1"/>
    </row>
    <row r="18941" spans="6:13" x14ac:dyDescent="0.3">
      <c r="F18941" s="1"/>
    </row>
    <row r="18942" spans="6:13" x14ac:dyDescent="0.3">
      <c r="F18942" s="1"/>
    </row>
    <row r="18943" spans="6:13" x14ac:dyDescent="0.3">
      <c r="F18943" s="1"/>
    </row>
    <row r="18944" spans="6:13" x14ac:dyDescent="0.3">
      <c r="F18944" s="1"/>
    </row>
    <row r="18945" spans="6:14" x14ac:dyDescent="0.3">
      <c r="L18945" s="1"/>
    </row>
    <row r="18946" spans="6:14" x14ac:dyDescent="0.3">
      <c r="F18946" s="1"/>
      <c r="L18946" s="1"/>
      <c r="N18946" s="1"/>
    </row>
    <row r="18947" spans="6:14" x14ac:dyDescent="0.3">
      <c r="F18947" s="1"/>
    </row>
    <row r="18948" spans="6:14" x14ac:dyDescent="0.3">
      <c r="F18948" s="1"/>
    </row>
    <row r="18949" spans="6:14" x14ac:dyDescent="0.3">
      <c r="F18949" s="1"/>
    </row>
    <row r="18950" spans="6:14" x14ac:dyDescent="0.3">
      <c r="F18950" s="1"/>
    </row>
    <row r="18952" spans="6:14" x14ac:dyDescent="0.3">
      <c r="F18952" s="1"/>
    </row>
    <row r="18953" spans="6:14" x14ac:dyDescent="0.3">
      <c r="F18953" s="1"/>
    </row>
    <row r="18954" spans="6:14" x14ac:dyDescent="0.3">
      <c r="F18954" s="1"/>
    </row>
    <row r="18956" spans="6:14" x14ac:dyDescent="0.3">
      <c r="F18956" s="1"/>
    </row>
    <row r="18957" spans="6:14" x14ac:dyDescent="0.3">
      <c r="F18957" s="1"/>
    </row>
    <row r="18958" spans="6:14" x14ac:dyDescent="0.3">
      <c r="F18958" s="1"/>
    </row>
    <row r="18959" spans="6:14" x14ac:dyDescent="0.3">
      <c r="L18959" s="1"/>
    </row>
    <row r="18960" spans="6:14" x14ac:dyDescent="0.3">
      <c r="F18960" s="1"/>
    </row>
    <row r="18961" spans="6:14" x14ac:dyDescent="0.3">
      <c r="M18961" s="1"/>
      <c r="N18961" s="1"/>
    </row>
    <row r="18962" spans="6:14" x14ac:dyDescent="0.3">
      <c r="F18962" s="1"/>
    </row>
    <row r="18963" spans="6:14" x14ac:dyDescent="0.3">
      <c r="F18963" s="1"/>
    </row>
    <row r="18964" spans="6:14" x14ac:dyDescent="0.3">
      <c r="F18964" s="1"/>
    </row>
    <row r="18965" spans="6:14" x14ac:dyDescent="0.3">
      <c r="F18965" s="1"/>
    </row>
    <row r="18966" spans="6:14" x14ac:dyDescent="0.3">
      <c r="F18966" s="1"/>
    </row>
    <row r="18969" spans="6:14" x14ac:dyDescent="0.3">
      <c r="F18969" s="1"/>
      <c r="N18969" s="1"/>
    </row>
    <row r="18972" spans="6:14" x14ac:dyDescent="0.3">
      <c r="F18972" s="1"/>
    </row>
    <row r="18973" spans="6:14" x14ac:dyDescent="0.3">
      <c r="F18973" s="1"/>
    </row>
    <row r="18974" spans="6:14" x14ac:dyDescent="0.3">
      <c r="F18974" s="1"/>
    </row>
    <row r="18975" spans="6:14" x14ac:dyDescent="0.3">
      <c r="F18975" s="1"/>
    </row>
    <row r="18976" spans="6:14" x14ac:dyDescent="0.3">
      <c r="F18976" s="1"/>
    </row>
    <row r="18977" spans="6:15" x14ac:dyDescent="0.3">
      <c r="F18977" s="1"/>
    </row>
    <row r="18978" spans="6:15" x14ac:dyDescent="0.3">
      <c r="F18978" s="1"/>
    </row>
    <row r="18979" spans="6:15" x14ac:dyDescent="0.3">
      <c r="L18979" s="1"/>
      <c r="M18979" s="1"/>
      <c r="O18979" s="1"/>
    </row>
    <row r="18980" spans="6:15" x14ac:dyDescent="0.3">
      <c r="F18980" s="1"/>
    </row>
    <row r="18981" spans="6:15" x14ac:dyDescent="0.3">
      <c r="F18981" s="1"/>
    </row>
    <row r="18982" spans="6:15" x14ac:dyDescent="0.3">
      <c r="F18982" s="1"/>
    </row>
    <row r="18983" spans="6:15" x14ac:dyDescent="0.3">
      <c r="F18983" s="1"/>
    </row>
    <row r="18984" spans="6:15" x14ac:dyDescent="0.3">
      <c r="F18984" s="1"/>
    </row>
    <row r="18985" spans="6:15" x14ac:dyDescent="0.3">
      <c r="F18985" s="1"/>
    </row>
    <row r="18986" spans="6:15" x14ac:dyDescent="0.3">
      <c r="F18986" s="1"/>
    </row>
    <row r="18987" spans="6:15" x14ac:dyDescent="0.3">
      <c r="F18987" s="1"/>
      <c r="M18987" s="1"/>
    </row>
    <row r="18988" spans="6:15" x14ac:dyDescent="0.3">
      <c r="F18988" s="1"/>
    </row>
    <row r="18989" spans="6:15" x14ac:dyDescent="0.3">
      <c r="F18989" s="1"/>
    </row>
    <row r="18990" spans="6:15" x14ac:dyDescent="0.3">
      <c r="F18990" s="1"/>
    </row>
    <row r="18991" spans="6:15" x14ac:dyDescent="0.3">
      <c r="F18991" s="1"/>
    </row>
    <row r="18992" spans="6:15" x14ac:dyDescent="0.3">
      <c r="F18992" s="1"/>
    </row>
    <row r="18993" spans="6:6" x14ac:dyDescent="0.3">
      <c r="F18993" s="1"/>
    </row>
    <row r="18994" spans="6:6" x14ac:dyDescent="0.3">
      <c r="F18994" s="1"/>
    </row>
    <row r="18995" spans="6:6" x14ac:dyDescent="0.3">
      <c r="F18995" s="1"/>
    </row>
    <row r="18996" spans="6:6" x14ac:dyDescent="0.3">
      <c r="F18996" s="1"/>
    </row>
    <row r="18997" spans="6:6" x14ac:dyDescent="0.3">
      <c r="F18997" s="1"/>
    </row>
    <row r="18998" spans="6:6" x14ac:dyDescent="0.3">
      <c r="F18998" s="1"/>
    </row>
    <row r="18999" spans="6:6" x14ac:dyDescent="0.3">
      <c r="F18999" s="1"/>
    </row>
    <row r="19000" spans="6:6" x14ac:dyDescent="0.3">
      <c r="F19000" s="1"/>
    </row>
    <row r="19001" spans="6:6" x14ac:dyDescent="0.3">
      <c r="F19001" s="1"/>
    </row>
    <row r="19002" spans="6:6" x14ac:dyDescent="0.3">
      <c r="F19002" s="1"/>
    </row>
    <row r="19003" spans="6:6" x14ac:dyDescent="0.3">
      <c r="F19003" s="1"/>
    </row>
    <row r="19004" spans="6:6" x14ac:dyDescent="0.3">
      <c r="F19004" s="1"/>
    </row>
    <row r="19005" spans="6:6" x14ac:dyDescent="0.3">
      <c r="F19005" s="1"/>
    </row>
    <row r="19006" spans="6:6" x14ac:dyDescent="0.3">
      <c r="F19006" s="1"/>
    </row>
    <row r="19007" spans="6:6" x14ac:dyDescent="0.3">
      <c r="F19007" s="1"/>
    </row>
    <row r="19008" spans="6:6" x14ac:dyDescent="0.3">
      <c r="F19008" s="1"/>
    </row>
    <row r="19009" spans="6:12" x14ac:dyDescent="0.3">
      <c r="F19009" s="1"/>
    </row>
    <row r="19010" spans="6:12" x14ac:dyDescent="0.3">
      <c r="F19010" s="1"/>
    </row>
    <row r="19011" spans="6:12" x14ac:dyDescent="0.3">
      <c r="F19011" s="1"/>
    </row>
    <row r="19012" spans="6:12" x14ac:dyDescent="0.3">
      <c r="F19012" s="1"/>
    </row>
    <row r="19013" spans="6:12" x14ac:dyDescent="0.3">
      <c r="F19013" s="1"/>
    </row>
    <row r="19014" spans="6:12" x14ac:dyDescent="0.3">
      <c r="F19014" s="1"/>
    </row>
    <row r="19015" spans="6:12" x14ac:dyDescent="0.3">
      <c r="F19015" s="1"/>
    </row>
    <row r="19016" spans="6:12" x14ac:dyDescent="0.3">
      <c r="F19016" s="1"/>
    </row>
    <row r="19017" spans="6:12" x14ac:dyDescent="0.3">
      <c r="F19017" s="1"/>
    </row>
    <row r="19018" spans="6:12" x14ac:dyDescent="0.3">
      <c r="F19018" s="1"/>
    </row>
    <row r="19019" spans="6:12" x14ac:dyDescent="0.3">
      <c r="F19019" s="1"/>
    </row>
    <row r="19020" spans="6:12" x14ac:dyDescent="0.3">
      <c r="F19020" s="1"/>
    </row>
    <row r="19021" spans="6:12" x14ac:dyDescent="0.3">
      <c r="F19021" s="1"/>
    </row>
    <row r="19022" spans="6:12" x14ac:dyDescent="0.3">
      <c r="F19022" s="1"/>
      <c r="L19022" s="1"/>
    </row>
    <row r="19023" spans="6:12" x14ac:dyDescent="0.3">
      <c r="F19023" s="1"/>
    </row>
    <row r="19024" spans="6:12" x14ac:dyDescent="0.3">
      <c r="F19024" s="1"/>
    </row>
    <row r="19025" spans="6:15" x14ac:dyDescent="0.3">
      <c r="F19025" s="1"/>
    </row>
    <row r="19026" spans="6:15" x14ac:dyDescent="0.3">
      <c r="F19026" s="1"/>
    </row>
    <row r="19027" spans="6:15" x14ac:dyDescent="0.3">
      <c r="F19027" s="1"/>
      <c r="L19027" s="1"/>
      <c r="N19027" s="1"/>
      <c r="O19027" s="1"/>
    </row>
    <row r="19028" spans="6:15" x14ac:dyDescent="0.3">
      <c r="F19028" s="1"/>
    </row>
    <row r="19029" spans="6:15" x14ac:dyDescent="0.3">
      <c r="F19029" s="1"/>
    </row>
    <row r="19030" spans="6:15" x14ac:dyDescent="0.3">
      <c r="F19030" s="1"/>
    </row>
    <row r="19031" spans="6:15" x14ac:dyDescent="0.3">
      <c r="F19031" s="1"/>
    </row>
    <row r="19032" spans="6:15" x14ac:dyDescent="0.3">
      <c r="F19032" s="1"/>
    </row>
    <row r="19034" spans="6:15" x14ac:dyDescent="0.3">
      <c r="L19034" s="1"/>
      <c r="M19034" s="1"/>
      <c r="O19034" s="1"/>
    </row>
    <row r="19035" spans="6:15" x14ac:dyDescent="0.3">
      <c r="F19035" s="1"/>
    </row>
    <row r="19037" spans="6:15" x14ac:dyDescent="0.3">
      <c r="F19037" s="1"/>
    </row>
    <row r="19038" spans="6:15" x14ac:dyDescent="0.3">
      <c r="F19038" s="1"/>
    </row>
    <row r="19039" spans="6:15" x14ac:dyDescent="0.3">
      <c r="F19039" s="1"/>
    </row>
    <row r="19040" spans="6:15" x14ac:dyDescent="0.3">
      <c r="F19040" s="1"/>
    </row>
    <row r="19042" spans="6:14" x14ac:dyDescent="0.3">
      <c r="F19042" s="1"/>
    </row>
    <row r="19043" spans="6:14" x14ac:dyDescent="0.3">
      <c r="F19043" s="1"/>
    </row>
    <row r="19044" spans="6:14" x14ac:dyDescent="0.3">
      <c r="F19044" s="1"/>
    </row>
    <row r="19045" spans="6:14" x14ac:dyDescent="0.3">
      <c r="F19045" s="1"/>
    </row>
    <row r="19046" spans="6:14" x14ac:dyDescent="0.3">
      <c r="F19046" s="1"/>
    </row>
    <row r="19048" spans="6:14" x14ac:dyDescent="0.3">
      <c r="F19048" s="1"/>
    </row>
    <row r="19049" spans="6:14" x14ac:dyDescent="0.3">
      <c r="F19049" s="1"/>
    </row>
    <row r="19050" spans="6:14" x14ac:dyDescent="0.3">
      <c r="F19050" s="1"/>
    </row>
    <row r="19051" spans="6:14" x14ac:dyDescent="0.3">
      <c r="F19051" s="1"/>
      <c r="N19051" s="1"/>
    </row>
    <row r="19053" spans="6:14" x14ac:dyDescent="0.3">
      <c r="F19053" s="1"/>
      <c r="L19053" s="1"/>
    </row>
    <row r="19054" spans="6:14" x14ac:dyDescent="0.3">
      <c r="F19054" s="1"/>
    </row>
    <row r="19055" spans="6:14" x14ac:dyDescent="0.3">
      <c r="F19055" s="1"/>
    </row>
    <row r="19056" spans="6:14" x14ac:dyDescent="0.3">
      <c r="F19056" s="1"/>
    </row>
    <row r="19057" spans="6:6" x14ac:dyDescent="0.3">
      <c r="F19057" s="1"/>
    </row>
    <row r="19058" spans="6:6" x14ac:dyDescent="0.3">
      <c r="F19058" s="1"/>
    </row>
    <row r="19059" spans="6:6" x14ac:dyDescent="0.3">
      <c r="F19059" s="1"/>
    </row>
    <row r="19060" spans="6:6" x14ac:dyDescent="0.3">
      <c r="F19060" s="1"/>
    </row>
    <row r="19062" spans="6:6" x14ac:dyDescent="0.3">
      <c r="F19062" s="1"/>
    </row>
    <row r="19063" spans="6:6" x14ac:dyDescent="0.3">
      <c r="F19063" s="1"/>
    </row>
    <row r="19064" spans="6:6" x14ac:dyDescent="0.3">
      <c r="F19064" s="1"/>
    </row>
    <row r="19065" spans="6:6" x14ac:dyDescent="0.3">
      <c r="F19065" s="1"/>
    </row>
    <row r="19066" spans="6:6" x14ac:dyDescent="0.3">
      <c r="F19066" s="1"/>
    </row>
    <row r="19067" spans="6:6" x14ac:dyDescent="0.3">
      <c r="F19067" s="1"/>
    </row>
    <row r="19068" spans="6:6" x14ac:dyDescent="0.3">
      <c r="F19068" s="1"/>
    </row>
    <row r="19069" spans="6:6" x14ac:dyDescent="0.3">
      <c r="F19069" s="1"/>
    </row>
    <row r="19070" spans="6:6" x14ac:dyDescent="0.3">
      <c r="F19070" s="1"/>
    </row>
    <row r="19072" spans="6:6" x14ac:dyDescent="0.3">
      <c r="F19072" s="1"/>
    </row>
    <row r="19074" spans="6:15" x14ac:dyDescent="0.3">
      <c r="F19074" s="1"/>
    </row>
    <row r="19075" spans="6:15" x14ac:dyDescent="0.3">
      <c r="F19075" s="1"/>
      <c r="L19075" s="1"/>
      <c r="M19075" s="1"/>
      <c r="O19075" s="1"/>
    </row>
    <row r="19076" spans="6:15" x14ac:dyDescent="0.3">
      <c r="F19076" s="1"/>
    </row>
    <row r="19077" spans="6:15" x14ac:dyDescent="0.3">
      <c r="F19077" s="1"/>
      <c r="L19077" s="1"/>
      <c r="M19077" s="1"/>
    </row>
    <row r="19078" spans="6:15" x14ac:dyDescent="0.3">
      <c r="F19078" s="1"/>
    </row>
    <row r="19079" spans="6:15" x14ac:dyDescent="0.3">
      <c r="F19079" s="1"/>
    </row>
    <row r="19080" spans="6:15" x14ac:dyDescent="0.3">
      <c r="L19080" s="1"/>
    </row>
    <row r="19081" spans="6:15" x14ac:dyDescent="0.3">
      <c r="F19081" s="1"/>
    </row>
    <row r="19082" spans="6:15" x14ac:dyDescent="0.3">
      <c r="F19082" s="1"/>
    </row>
    <row r="19083" spans="6:15" x14ac:dyDescent="0.3">
      <c r="F19083" s="1"/>
    </row>
    <row r="19084" spans="6:15" x14ac:dyDescent="0.3">
      <c r="F19084" s="1"/>
    </row>
    <row r="19085" spans="6:15" x14ac:dyDescent="0.3">
      <c r="F19085" s="1"/>
    </row>
    <row r="19086" spans="6:15" x14ac:dyDescent="0.3">
      <c r="F19086" s="1"/>
    </row>
    <row r="19087" spans="6:15" x14ac:dyDescent="0.3">
      <c r="F19087" s="1"/>
    </row>
    <row r="19088" spans="6:15" x14ac:dyDescent="0.3">
      <c r="F19088" s="1"/>
    </row>
    <row r="19089" spans="6:6" x14ac:dyDescent="0.3">
      <c r="F19089" s="1"/>
    </row>
    <row r="19093" spans="6:6" x14ac:dyDescent="0.3">
      <c r="F19093" s="1"/>
    </row>
    <row r="19094" spans="6:6" x14ac:dyDescent="0.3">
      <c r="F19094" s="1"/>
    </row>
    <row r="19096" spans="6:6" x14ac:dyDescent="0.3">
      <c r="F19096" s="1"/>
    </row>
    <row r="19097" spans="6:6" x14ac:dyDescent="0.3">
      <c r="F19097" s="1"/>
    </row>
    <row r="19098" spans="6:6" x14ac:dyDescent="0.3">
      <c r="F19098" s="1"/>
    </row>
    <row r="19100" spans="6:6" x14ac:dyDescent="0.3">
      <c r="F19100" s="1"/>
    </row>
    <row r="19101" spans="6:6" x14ac:dyDescent="0.3">
      <c r="F19101" s="1"/>
    </row>
    <row r="19102" spans="6:6" x14ac:dyDescent="0.3">
      <c r="F19102" s="1"/>
    </row>
    <row r="19103" spans="6:6" x14ac:dyDescent="0.3">
      <c r="F19103" s="1"/>
    </row>
    <row r="19104" spans="6:6" x14ac:dyDescent="0.3">
      <c r="F19104" s="1"/>
    </row>
    <row r="19105" spans="6:15" x14ac:dyDescent="0.3">
      <c r="F19105" s="1"/>
    </row>
    <row r="19107" spans="6:15" x14ac:dyDescent="0.3">
      <c r="F19107" s="1"/>
    </row>
    <row r="19109" spans="6:15" x14ac:dyDescent="0.3">
      <c r="F19109" s="1"/>
    </row>
    <row r="19111" spans="6:15" x14ac:dyDescent="0.3">
      <c r="L19111" s="1"/>
    </row>
    <row r="19112" spans="6:15" x14ac:dyDescent="0.3">
      <c r="F19112" s="1"/>
    </row>
    <row r="19113" spans="6:15" x14ac:dyDescent="0.3">
      <c r="F19113" s="1"/>
    </row>
    <row r="19114" spans="6:15" x14ac:dyDescent="0.3">
      <c r="M19114" s="1"/>
      <c r="O19114" s="1"/>
    </row>
    <row r="19115" spans="6:15" x14ac:dyDescent="0.3">
      <c r="F19115" s="1"/>
    </row>
    <row r="19116" spans="6:15" x14ac:dyDescent="0.3">
      <c r="F19116" s="1"/>
    </row>
    <row r="19117" spans="6:15" x14ac:dyDescent="0.3">
      <c r="F19117" s="1"/>
    </row>
    <row r="19119" spans="6:15" x14ac:dyDescent="0.3">
      <c r="F19119" s="1"/>
    </row>
    <row r="19120" spans="6:15" x14ac:dyDescent="0.3">
      <c r="F19120" s="1"/>
    </row>
    <row r="19121" spans="6:6" x14ac:dyDescent="0.3">
      <c r="F19121" s="1"/>
    </row>
    <row r="19122" spans="6:6" x14ac:dyDescent="0.3">
      <c r="F19122" s="1"/>
    </row>
    <row r="19123" spans="6:6" x14ac:dyDescent="0.3">
      <c r="F19123" s="1"/>
    </row>
    <row r="19124" spans="6:6" x14ac:dyDescent="0.3">
      <c r="F19124" s="1"/>
    </row>
    <row r="19125" spans="6:6" x14ac:dyDescent="0.3">
      <c r="F19125" s="1"/>
    </row>
    <row r="19126" spans="6:6" x14ac:dyDescent="0.3">
      <c r="F19126" s="1"/>
    </row>
    <row r="19128" spans="6:6" x14ac:dyDescent="0.3">
      <c r="F19128" s="1"/>
    </row>
    <row r="19129" spans="6:6" x14ac:dyDescent="0.3">
      <c r="F19129" s="1"/>
    </row>
    <row r="19130" spans="6:6" x14ac:dyDescent="0.3">
      <c r="F19130" s="1"/>
    </row>
    <row r="19131" spans="6:6" x14ac:dyDescent="0.3">
      <c r="F19131" s="1"/>
    </row>
    <row r="19132" spans="6:6" x14ac:dyDescent="0.3">
      <c r="F19132" s="1"/>
    </row>
    <row r="19133" spans="6:6" x14ac:dyDescent="0.3">
      <c r="F19133" s="1"/>
    </row>
    <row r="19134" spans="6:6" x14ac:dyDescent="0.3">
      <c r="F19134" s="1"/>
    </row>
    <row r="19135" spans="6:6" x14ac:dyDescent="0.3">
      <c r="F19135" s="1"/>
    </row>
    <row r="19137" spans="6:15" x14ac:dyDescent="0.3">
      <c r="M19137" s="1"/>
      <c r="O19137" s="1"/>
    </row>
    <row r="19138" spans="6:15" x14ac:dyDescent="0.3">
      <c r="F19138" s="1"/>
    </row>
    <row r="19139" spans="6:15" x14ac:dyDescent="0.3">
      <c r="M19139" s="1"/>
    </row>
    <row r="19140" spans="6:15" x14ac:dyDescent="0.3">
      <c r="F19140" s="1"/>
    </row>
    <row r="19141" spans="6:15" x14ac:dyDescent="0.3">
      <c r="F19141" s="1"/>
    </row>
    <row r="19142" spans="6:15" x14ac:dyDescent="0.3">
      <c r="F19142" s="1"/>
    </row>
    <row r="19143" spans="6:15" x14ac:dyDescent="0.3">
      <c r="F19143" s="1"/>
    </row>
    <row r="19144" spans="6:15" x14ac:dyDescent="0.3">
      <c r="F19144" s="1"/>
      <c r="O19144" s="1"/>
    </row>
    <row r="19146" spans="6:15" x14ac:dyDescent="0.3">
      <c r="F19146" s="1"/>
    </row>
    <row r="19148" spans="6:15" x14ac:dyDescent="0.3">
      <c r="F19148" s="1"/>
    </row>
    <row r="19149" spans="6:15" x14ac:dyDescent="0.3">
      <c r="F19149" s="1"/>
    </row>
    <row r="19150" spans="6:15" x14ac:dyDescent="0.3">
      <c r="F19150" s="1"/>
    </row>
    <row r="19151" spans="6:15" x14ac:dyDescent="0.3">
      <c r="F19151" s="1"/>
    </row>
    <row r="19153" spans="6:13" x14ac:dyDescent="0.3">
      <c r="F19153" s="1"/>
    </row>
    <row r="19154" spans="6:13" x14ac:dyDescent="0.3">
      <c r="F19154" s="1"/>
    </row>
    <row r="19155" spans="6:13" x14ac:dyDescent="0.3">
      <c r="F19155" s="1"/>
    </row>
    <row r="19156" spans="6:13" x14ac:dyDescent="0.3">
      <c r="F19156" s="1"/>
      <c r="M19156" s="1"/>
    </row>
    <row r="19157" spans="6:13" x14ac:dyDescent="0.3">
      <c r="M19157" s="1"/>
    </row>
    <row r="19158" spans="6:13" x14ac:dyDescent="0.3">
      <c r="F19158" s="1"/>
    </row>
    <row r="19159" spans="6:13" x14ac:dyDescent="0.3">
      <c r="F19159" s="1"/>
    </row>
    <row r="19160" spans="6:13" x14ac:dyDescent="0.3">
      <c r="F19160" s="1"/>
    </row>
    <row r="19161" spans="6:13" x14ac:dyDescent="0.3">
      <c r="F19161" s="1"/>
    </row>
    <row r="19162" spans="6:13" x14ac:dyDescent="0.3">
      <c r="F19162" s="1"/>
    </row>
    <row r="19163" spans="6:13" x14ac:dyDescent="0.3">
      <c r="F19163" s="1"/>
    </row>
    <row r="19164" spans="6:13" x14ac:dyDescent="0.3">
      <c r="F19164" s="1"/>
    </row>
    <row r="19165" spans="6:13" x14ac:dyDescent="0.3">
      <c r="F19165" s="1"/>
    </row>
    <row r="19167" spans="6:13" x14ac:dyDescent="0.3">
      <c r="F19167" s="1"/>
    </row>
    <row r="19169" spans="6:12" x14ac:dyDescent="0.3">
      <c r="F19169" s="1"/>
    </row>
    <row r="19170" spans="6:12" x14ac:dyDescent="0.3">
      <c r="F19170" s="1"/>
    </row>
    <row r="19171" spans="6:12" x14ac:dyDescent="0.3">
      <c r="F19171" s="1"/>
    </row>
    <row r="19172" spans="6:12" x14ac:dyDescent="0.3">
      <c r="F19172" s="1"/>
    </row>
    <row r="19173" spans="6:12" x14ac:dyDescent="0.3">
      <c r="F19173" s="1"/>
    </row>
    <row r="19174" spans="6:12" x14ac:dyDescent="0.3">
      <c r="L19174" s="1"/>
    </row>
    <row r="19175" spans="6:12" x14ac:dyDescent="0.3">
      <c r="F19175" s="1"/>
    </row>
    <row r="19176" spans="6:12" x14ac:dyDescent="0.3">
      <c r="F19176" s="1"/>
    </row>
    <row r="19177" spans="6:12" x14ac:dyDescent="0.3">
      <c r="F19177" s="1"/>
    </row>
    <row r="19178" spans="6:12" x14ac:dyDescent="0.3">
      <c r="F19178" s="1"/>
    </row>
    <row r="19179" spans="6:12" x14ac:dyDescent="0.3">
      <c r="F19179" s="1"/>
    </row>
    <row r="19180" spans="6:12" x14ac:dyDescent="0.3">
      <c r="F19180" s="1"/>
    </row>
    <row r="19181" spans="6:12" x14ac:dyDescent="0.3">
      <c r="F19181" s="1"/>
    </row>
    <row r="19182" spans="6:12" x14ac:dyDescent="0.3">
      <c r="F19182" s="1"/>
    </row>
    <row r="19185" spans="6:14" x14ac:dyDescent="0.3">
      <c r="F19185" s="1"/>
    </row>
    <row r="19186" spans="6:14" x14ac:dyDescent="0.3">
      <c r="F19186" s="1"/>
    </row>
    <row r="19187" spans="6:14" x14ac:dyDescent="0.3">
      <c r="F19187" s="1"/>
    </row>
    <row r="19188" spans="6:14" x14ac:dyDescent="0.3">
      <c r="F19188" s="1"/>
    </row>
    <row r="19189" spans="6:14" x14ac:dyDescent="0.3">
      <c r="F19189" s="1"/>
    </row>
    <row r="19190" spans="6:14" x14ac:dyDescent="0.3">
      <c r="F19190" s="1"/>
      <c r="N19190" s="1"/>
    </row>
    <row r="19191" spans="6:14" x14ac:dyDescent="0.3">
      <c r="F19191" s="1"/>
    </row>
    <row r="19192" spans="6:14" x14ac:dyDescent="0.3">
      <c r="F19192" s="1"/>
    </row>
    <row r="19194" spans="6:14" x14ac:dyDescent="0.3">
      <c r="F19194" s="1"/>
    </row>
    <row r="19195" spans="6:14" x14ac:dyDescent="0.3">
      <c r="F19195" s="1"/>
    </row>
    <row r="19196" spans="6:14" x14ac:dyDescent="0.3">
      <c r="F19196" s="1"/>
    </row>
    <row r="19197" spans="6:14" x14ac:dyDescent="0.3">
      <c r="F19197" s="1"/>
      <c r="M19197" s="1"/>
      <c r="N19197" s="1"/>
    </row>
    <row r="19198" spans="6:14" x14ac:dyDescent="0.3">
      <c r="F19198" s="1"/>
      <c r="L19198" s="1"/>
    </row>
    <row r="19201" spans="6:6" x14ac:dyDescent="0.3">
      <c r="F19201" s="1"/>
    </row>
    <row r="19202" spans="6:6" x14ac:dyDescent="0.3">
      <c r="F19202" s="1"/>
    </row>
    <row r="19203" spans="6:6" x14ac:dyDescent="0.3">
      <c r="F19203" s="1"/>
    </row>
    <row r="19204" spans="6:6" x14ac:dyDescent="0.3">
      <c r="F19204" s="1"/>
    </row>
    <row r="19205" spans="6:6" x14ac:dyDescent="0.3">
      <c r="F19205" s="1"/>
    </row>
    <row r="19206" spans="6:6" x14ac:dyDescent="0.3">
      <c r="F19206" s="1"/>
    </row>
    <row r="19207" spans="6:6" x14ac:dyDescent="0.3">
      <c r="F19207" s="1"/>
    </row>
    <row r="19208" spans="6:6" x14ac:dyDescent="0.3">
      <c r="F19208" s="1"/>
    </row>
    <row r="19209" spans="6:6" x14ac:dyDescent="0.3">
      <c r="F19209" s="1"/>
    </row>
    <row r="19210" spans="6:6" x14ac:dyDescent="0.3">
      <c r="F19210" s="1"/>
    </row>
    <row r="19211" spans="6:6" x14ac:dyDescent="0.3">
      <c r="F19211" s="1"/>
    </row>
    <row r="19212" spans="6:6" x14ac:dyDescent="0.3">
      <c r="F19212" s="1"/>
    </row>
    <row r="19213" spans="6:6" x14ac:dyDescent="0.3">
      <c r="F19213" s="1"/>
    </row>
    <row r="19214" spans="6:6" x14ac:dyDescent="0.3">
      <c r="F19214" s="1"/>
    </row>
    <row r="19215" spans="6:6" x14ac:dyDescent="0.3">
      <c r="F19215" s="1"/>
    </row>
    <row r="19216" spans="6:6" x14ac:dyDescent="0.3">
      <c r="F19216" s="1"/>
    </row>
    <row r="19217" spans="6:15" x14ac:dyDescent="0.3">
      <c r="F19217" s="1"/>
    </row>
    <row r="19218" spans="6:15" x14ac:dyDescent="0.3">
      <c r="F19218" s="1"/>
    </row>
    <row r="19219" spans="6:15" x14ac:dyDescent="0.3">
      <c r="L19219" s="1"/>
      <c r="M19219" s="1"/>
      <c r="O19219" s="1"/>
    </row>
    <row r="19221" spans="6:15" x14ac:dyDescent="0.3">
      <c r="F19221" s="1"/>
      <c r="M19221" s="1"/>
    </row>
    <row r="19222" spans="6:15" x14ac:dyDescent="0.3">
      <c r="F19222" s="1"/>
    </row>
    <row r="19223" spans="6:15" x14ac:dyDescent="0.3">
      <c r="F19223" s="1"/>
    </row>
    <row r="19224" spans="6:15" x14ac:dyDescent="0.3">
      <c r="F19224" s="1"/>
    </row>
    <row r="19225" spans="6:15" x14ac:dyDescent="0.3">
      <c r="F19225" s="1"/>
    </row>
    <row r="19226" spans="6:15" x14ac:dyDescent="0.3">
      <c r="F19226" s="1"/>
      <c r="L19226" s="1"/>
    </row>
    <row r="19227" spans="6:15" x14ac:dyDescent="0.3">
      <c r="F19227" s="1"/>
    </row>
    <row r="19228" spans="6:15" x14ac:dyDescent="0.3">
      <c r="F19228" s="1"/>
    </row>
    <row r="19229" spans="6:15" x14ac:dyDescent="0.3">
      <c r="F19229" s="1"/>
    </row>
    <row r="19230" spans="6:15" x14ac:dyDescent="0.3">
      <c r="F19230" s="1"/>
    </row>
    <row r="19232" spans="6:15" x14ac:dyDescent="0.3">
      <c r="F19232" s="1"/>
    </row>
    <row r="19233" spans="6:15" x14ac:dyDescent="0.3">
      <c r="F19233" s="1"/>
    </row>
    <row r="19234" spans="6:15" x14ac:dyDescent="0.3">
      <c r="F19234" s="1"/>
    </row>
    <row r="19235" spans="6:15" x14ac:dyDescent="0.3">
      <c r="F19235" s="1"/>
    </row>
    <row r="19236" spans="6:15" x14ac:dyDescent="0.3">
      <c r="F19236" s="1"/>
    </row>
    <row r="19237" spans="6:15" x14ac:dyDescent="0.3">
      <c r="F19237" s="1"/>
    </row>
    <row r="19238" spans="6:15" x14ac:dyDescent="0.3">
      <c r="F19238" s="1"/>
    </row>
    <row r="19239" spans="6:15" x14ac:dyDescent="0.3">
      <c r="F19239" s="1"/>
    </row>
    <row r="19240" spans="6:15" x14ac:dyDescent="0.3">
      <c r="F19240" s="1"/>
      <c r="M19240" s="1"/>
      <c r="N19240" s="1"/>
      <c r="O19240" s="1"/>
    </row>
    <row r="19241" spans="6:15" x14ac:dyDescent="0.3">
      <c r="F19241" s="1"/>
    </row>
    <row r="19242" spans="6:15" x14ac:dyDescent="0.3">
      <c r="F19242" s="1"/>
    </row>
    <row r="19243" spans="6:15" x14ac:dyDescent="0.3">
      <c r="F19243" s="1"/>
    </row>
    <row r="19244" spans="6:15" x14ac:dyDescent="0.3">
      <c r="F19244" s="1"/>
    </row>
    <row r="19245" spans="6:15" x14ac:dyDescent="0.3">
      <c r="F19245" s="1"/>
    </row>
    <row r="19246" spans="6:15" x14ac:dyDescent="0.3">
      <c r="M19246" s="1"/>
      <c r="N19246" s="1"/>
    </row>
    <row r="19247" spans="6:15" x14ac:dyDescent="0.3">
      <c r="F19247" s="1"/>
    </row>
    <row r="19248" spans="6:15" x14ac:dyDescent="0.3">
      <c r="F19248" s="1"/>
    </row>
    <row r="19249" spans="6:14" x14ac:dyDescent="0.3">
      <c r="F19249" s="1"/>
    </row>
    <row r="19250" spans="6:14" x14ac:dyDescent="0.3">
      <c r="F19250" s="1"/>
    </row>
    <row r="19253" spans="6:14" x14ac:dyDescent="0.3">
      <c r="F19253" s="1"/>
    </row>
    <row r="19254" spans="6:14" x14ac:dyDescent="0.3">
      <c r="F19254" s="1"/>
    </row>
    <row r="19255" spans="6:14" x14ac:dyDescent="0.3">
      <c r="F19255" s="1"/>
    </row>
    <row r="19256" spans="6:14" x14ac:dyDescent="0.3">
      <c r="F19256" s="1"/>
      <c r="L19256" s="1"/>
      <c r="N19256" s="1"/>
    </row>
    <row r="19257" spans="6:14" x14ac:dyDescent="0.3">
      <c r="F19257" s="1"/>
    </row>
    <row r="19258" spans="6:14" x14ac:dyDescent="0.3">
      <c r="F19258" s="1"/>
    </row>
    <row r="19259" spans="6:14" x14ac:dyDescent="0.3">
      <c r="F19259" s="1"/>
    </row>
    <row r="19260" spans="6:14" x14ac:dyDescent="0.3">
      <c r="F19260" s="1"/>
    </row>
    <row r="19261" spans="6:14" x14ac:dyDescent="0.3">
      <c r="N19261" s="1"/>
    </row>
    <row r="19262" spans="6:14" x14ac:dyDescent="0.3">
      <c r="F19262" s="1"/>
    </row>
    <row r="19263" spans="6:14" x14ac:dyDescent="0.3">
      <c r="F19263" s="1"/>
    </row>
    <row r="19264" spans="6:14" x14ac:dyDescent="0.3">
      <c r="F19264" s="1"/>
    </row>
    <row r="19265" spans="6:15" x14ac:dyDescent="0.3">
      <c r="F19265" s="1"/>
    </row>
    <row r="19267" spans="6:15" x14ac:dyDescent="0.3">
      <c r="F19267" s="1"/>
    </row>
    <row r="19268" spans="6:15" x14ac:dyDescent="0.3">
      <c r="F19268" s="1"/>
    </row>
    <row r="19269" spans="6:15" x14ac:dyDescent="0.3">
      <c r="F19269" s="1"/>
    </row>
    <row r="19270" spans="6:15" x14ac:dyDescent="0.3">
      <c r="F19270" s="1"/>
    </row>
    <row r="19271" spans="6:15" x14ac:dyDescent="0.3">
      <c r="N19271" s="1"/>
      <c r="O19271" s="1"/>
    </row>
    <row r="19273" spans="6:15" x14ac:dyDescent="0.3">
      <c r="F19273" s="1"/>
    </row>
    <row r="19274" spans="6:15" x14ac:dyDescent="0.3">
      <c r="F19274" s="1"/>
    </row>
    <row r="19275" spans="6:15" x14ac:dyDescent="0.3">
      <c r="F19275" s="1"/>
    </row>
    <row r="19277" spans="6:15" x14ac:dyDescent="0.3">
      <c r="F19277" s="1"/>
    </row>
    <row r="19278" spans="6:15" x14ac:dyDescent="0.3">
      <c r="L19278" s="1"/>
      <c r="M19278" s="1"/>
      <c r="O19278" s="1"/>
    </row>
    <row r="19279" spans="6:15" x14ac:dyDescent="0.3">
      <c r="F19279" s="1"/>
    </row>
    <row r="19280" spans="6:15" x14ac:dyDescent="0.3">
      <c r="F19280" s="1"/>
    </row>
    <row r="19281" spans="6:14" x14ac:dyDescent="0.3">
      <c r="N19281" s="1"/>
    </row>
    <row r="19282" spans="6:14" x14ac:dyDescent="0.3">
      <c r="F19282" s="1"/>
    </row>
    <row r="19283" spans="6:14" x14ac:dyDescent="0.3">
      <c r="F19283" s="1"/>
    </row>
    <row r="19284" spans="6:14" x14ac:dyDescent="0.3">
      <c r="F19284" s="1"/>
    </row>
    <row r="19285" spans="6:14" x14ac:dyDescent="0.3">
      <c r="F19285" s="1"/>
    </row>
    <row r="19286" spans="6:14" x14ac:dyDescent="0.3">
      <c r="F19286" s="1"/>
    </row>
    <row r="19287" spans="6:14" x14ac:dyDescent="0.3">
      <c r="F19287" s="1"/>
    </row>
    <row r="19288" spans="6:14" x14ac:dyDescent="0.3">
      <c r="F19288" s="1"/>
    </row>
    <row r="19289" spans="6:14" x14ac:dyDescent="0.3">
      <c r="F19289" s="1"/>
    </row>
    <row r="19291" spans="6:14" x14ac:dyDescent="0.3">
      <c r="F19291" s="1"/>
    </row>
    <row r="19292" spans="6:14" x14ac:dyDescent="0.3">
      <c r="F19292" s="1"/>
    </row>
    <row r="19293" spans="6:14" x14ac:dyDescent="0.3">
      <c r="F19293" s="1"/>
    </row>
    <row r="19294" spans="6:14" x14ac:dyDescent="0.3">
      <c r="F19294" s="1"/>
    </row>
    <row r="19295" spans="6:14" x14ac:dyDescent="0.3">
      <c r="F19295" s="1"/>
    </row>
    <row r="19296" spans="6:14" x14ac:dyDescent="0.3">
      <c r="F19296" s="1"/>
    </row>
    <row r="19297" spans="6:14" x14ac:dyDescent="0.3">
      <c r="F19297" s="1"/>
    </row>
    <row r="19298" spans="6:14" x14ac:dyDescent="0.3">
      <c r="F19298" s="1"/>
    </row>
    <row r="19299" spans="6:14" x14ac:dyDescent="0.3">
      <c r="F19299" s="1"/>
    </row>
    <row r="19300" spans="6:14" x14ac:dyDescent="0.3">
      <c r="F19300" s="1"/>
    </row>
    <row r="19301" spans="6:14" x14ac:dyDescent="0.3">
      <c r="F19301" s="1"/>
    </row>
    <row r="19302" spans="6:14" x14ac:dyDescent="0.3">
      <c r="F19302" s="1"/>
    </row>
    <row r="19303" spans="6:14" x14ac:dyDescent="0.3">
      <c r="F19303" s="1"/>
    </row>
    <row r="19304" spans="6:14" x14ac:dyDescent="0.3">
      <c r="F19304" s="1"/>
    </row>
    <row r="19306" spans="6:14" x14ac:dyDescent="0.3">
      <c r="F19306" s="1"/>
    </row>
    <row r="19307" spans="6:14" x14ac:dyDescent="0.3">
      <c r="F19307" s="1"/>
    </row>
    <row r="19308" spans="6:14" x14ac:dyDescent="0.3">
      <c r="F19308" s="1"/>
    </row>
    <row r="19309" spans="6:14" x14ac:dyDescent="0.3">
      <c r="F19309" s="1"/>
      <c r="N19309" s="1"/>
    </row>
    <row r="19310" spans="6:14" x14ac:dyDescent="0.3">
      <c r="F19310" s="1"/>
    </row>
    <row r="19311" spans="6:14" x14ac:dyDescent="0.3">
      <c r="F19311" s="1"/>
    </row>
    <row r="19313" spans="6:14" x14ac:dyDescent="0.3">
      <c r="F19313" s="1"/>
    </row>
    <row r="19314" spans="6:14" x14ac:dyDescent="0.3">
      <c r="F19314" s="1"/>
    </row>
    <row r="19315" spans="6:14" x14ac:dyDescent="0.3">
      <c r="F19315" s="1"/>
      <c r="L19315" s="1"/>
    </row>
    <row r="19316" spans="6:14" x14ac:dyDescent="0.3">
      <c r="F19316" s="1"/>
    </row>
    <row r="19317" spans="6:14" x14ac:dyDescent="0.3">
      <c r="F19317" s="1"/>
    </row>
    <row r="19318" spans="6:14" x14ac:dyDescent="0.3">
      <c r="F19318" s="1"/>
    </row>
    <row r="19319" spans="6:14" x14ac:dyDescent="0.3">
      <c r="F19319" s="1"/>
    </row>
    <row r="19320" spans="6:14" x14ac:dyDescent="0.3">
      <c r="F19320" s="1"/>
    </row>
    <row r="19321" spans="6:14" x14ac:dyDescent="0.3">
      <c r="L19321" s="1"/>
      <c r="M19321" s="1"/>
    </row>
    <row r="19322" spans="6:14" x14ac:dyDescent="0.3">
      <c r="F19322" s="1"/>
    </row>
    <row r="19323" spans="6:14" x14ac:dyDescent="0.3">
      <c r="F19323" s="1"/>
    </row>
    <row r="19324" spans="6:14" x14ac:dyDescent="0.3">
      <c r="F19324" s="1"/>
    </row>
    <row r="19325" spans="6:14" x14ac:dyDescent="0.3">
      <c r="F19325" s="1"/>
    </row>
    <row r="19327" spans="6:14" x14ac:dyDescent="0.3">
      <c r="F19327" s="1"/>
      <c r="M19327" s="1"/>
      <c r="N19327" s="1"/>
    </row>
    <row r="19328" spans="6:14" x14ac:dyDescent="0.3">
      <c r="F19328" s="1"/>
    </row>
    <row r="19329" spans="6:15" x14ac:dyDescent="0.3">
      <c r="F19329" s="1"/>
    </row>
    <row r="19330" spans="6:15" x14ac:dyDescent="0.3">
      <c r="F19330" s="1"/>
    </row>
    <row r="19331" spans="6:15" x14ac:dyDescent="0.3">
      <c r="F19331" s="1"/>
    </row>
    <row r="19332" spans="6:15" x14ac:dyDescent="0.3">
      <c r="F19332" s="1"/>
    </row>
    <row r="19333" spans="6:15" x14ac:dyDescent="0.3">
      <c r="M19333" s="1"/>
      <c r="O19333" s="1"/>
    </row>
    <row r="19335" spans="6:15" x14ac:dyDescent="0.3">
      <c r="F19335" s="1"/>
    </row>
    <row r="19336" spans="6:15" x14ac:dyDescent="0.3">
      <c r="F19336" s="1"/>
    </row>
    <row r="19337" spans="6:15" x14ac:dyDescent="0.3">
      <c r="F19337" s="1"/>
    </row>
    <row r="19338" spans="6:15" x14ac:dyDescent="0.3">
      <c r="F19338" s="1"/>
    </row>
    <row r="19339" spans="6:15" x14ac:dyDescent="0.3">
      <c r="F19339" s="1"/>
    </row>
    <row r="19340" spans="6:15" x14ac:dyDescent="0.3">
      <c r="F19340" s="1"/>
    </row>
    <row r="19341" spans="6:15" x14ac:dyDescent="0.3">
      <c r="F19341" s="1"/>
    </row>
    <row r="19342" spans="6:15" x14ac:dyDescent="0.3">
      <c r="F19342" s="1"/>
    </row>
    <row r="19343" spans="6:15" x14ac:dyDescent="0.3">
      <c r="F19343" s="1"/>
    </row>
    <row r="19344" spans="6:15" x14ac:dyDescent="0.3">
      <c r="F19344" s="1"/>
    </row>
    <row r="19345" spans="6:15" x14ac:dyDescent="0.3">
      <c r="F19345" s="1"/>
    </row>
    <row r="19346" spans="6:15" x14ac:dyDescent="0.3">
      <c r="F19346" s="1"/>
      <c r="L19346" s="1"/>
      <c r="N19346" s="1"/>
      <c r="O19346" s="1"/>
    </row>
    <row r="19347" spans="6:15" x14ac:dyDescent="0.3">
      <c r="F19347" s="1"/>
    </row>
    <row r="19348" spans="6:15" x14ac:dyDescent="0.3">
      <c r="F19348" s="1"/>
    </row>
    <row r="19349" spans="6:15" x14ac:dyDescent="0.3">
      <c r="M19349" s="1"/>
    </row>
    <row r="19350" spans="6:15" x14ac:dyDescent="0.3">
      <c r="F19350" s="1"/>
    </row>
    <row r="19351" spans="6:15" x14ac:dyDescent="0.3">
      <c r="F19351" s="1"/>
    </row>
    <row r="19352" spans="6:15" x14ac:dyDescent="0.3">
      <c r="F19352" s="1"/>
    </row>
    <row r="19353" spans="6:15" x14ac:dyDescent="0.3">
      <c r="F19353" s="1"/>
    </row>
    <row r="19354" spans="6:15" x14ac:dyDescent="0.3">
      <c r="F19354" s="1"/>
    </row>
    <row r="19355" spans="6:15" x14ac:dyDescent="0.3">
      <c r="F19355" s="1"/>
    </row>
    <row r="19356" spans="6:15" x14ac:dyDescent="0.3">
      <c r="F19356" s="1"/>
    </row>
    <row r="19357" spans="6:15" x14ac:dyDescent="0.3">
      <c r="F19357" s="1"/>
    </row>
    <row r="19358" spans="6:15" x14ac:dyDescent="0.3">
      <c r="F19358" s="1"/>
    </row>
    <row r="19359" spans="6:15" x14ac:dyDescent="0.3">
      <c r="F19359" s="1"/>
    </row>
    <row r="19360" spans="6:15" x14ac:dyDescent="0.3">
      <c r="F19360" s="1"/>
    </row>
    <row r="19361" spans="6:6" x14ac:dyDescent="0.3">
      <c r="F19361" s="1"/>
    </row>
    <row r="19362" spans="6:6" x14ac:dyDescent="0.3">
      <c r="F19362" s="1"/>
    </row>
    <row r="19363" spans="6:6" x14ac:dyDescent="0.3">
      <c r="F19363" s="1"/>
    </row>
    <row r="19364" spans="6:6" x14ac:dyDescent="0.3">
      <c r="F19364" s="1"/>
    </row>
    <row r="19365" spans="6:6" x14ac:dyDescent="0.3">
      <c r="F19365" s="1"/>
    </row>
    <row r="19366" spans="6:6" x14ac:dyDescent="0.3">
      <c r="F19366" s="1"/>
    </row>
    <row r="19367" spans="6:6" x14ac:dyDescent="0.3">
      <c r="F19367" s="1"/>
    </row>
    <row r="19368" spans="6:6" x14ac:dyDescent="0.3">
      <c r="F19368" s="1"/>
    </row>
    <row r="19369" spans="6:6" x14ac:dyDescent="0.3">
      <c r="F19369" s="1"/>
    </row>
    <row r="19370" spans="6:6" x14ac:dyDescent="0.3">
      <c r="F19370" s="1"/>
    </row>
    <row r="19371" spans="6:6" x14ac:dyDescent="0.3">
      <c r="F19371" s="1"/>
    </row>
    <row r="19372" spans="6:6" x14ac:dyDescent="0.3">
      <c r="F19372" s="1"/>
    </row>
    <row r="19373" spans="6:6" x14ac:dyDescent="0.3">
      <c r="F19373" s="1"/>
    </row>
    <row r="19374" spans="6:6" x14ac:dyDescent="0.3">
      <c r="F19374" s="1"/>
    </row>
    <row r="19375" spans="6:6" x14ac:dyDescent="0.3">
      <c r="F19375" s="1"/>
    </row>
    <row r="19376" spans="6:6" x14ac:dyDescent="0.3">
      <c r="F19376" s="1"/>
    </row>
    <row r="19377" spans="6:15" x14ac:dyDescent="0.3">
      <c r="F19377" s="1"/>
    </row>
    <row r="19378" spans="6:15" x14ac:dyDescent="0.3">
      <c r="L19378" s="1"/>
      <c r="M19378" s="1"/>
      <c r="N19378" s="1"/>
    </row>
    <row r="19379" spans="6:15" x14ac:dyDescent="0.3">
      <c r="F19379" s="1"/>
    </row>
    <row r="19380" spans="6:15" x14ac:dyDescent="0.3">
      <c r="F19380" s="1"/>
    </row>
    <row r="19381" spans="6:15" x14ac:dyDescent="0.3">
      <c r="F19381" s="1"/>
    </row>
    <row r="19382" spans="6:15" x14ac:dyDescent="0.3">
      <c r="F19382" s="1"/>
    </row>
    <row r="19383" spans="6:15" x14ac:dyDescent="0.3">
      <c r="F19383" s="1"/>
      <c r="N19383" s="1"/>
    </row>
    <row r="19384" spans="6:15" x14ac:dyDescent="0.3">
      <c r="F19384" s="1"/>
    </row>
    <row r="19385" spans="6:15" x14ac:dyDescent="0.3">
      <c r="F19385" s="1"/>
      <c r="N19385" s="1"/>
    </row>
    <row r="19386" spans="6:15" x14ac:dyDescent="0.3">
      <c r="F19386" s="1"/>
    </row>
    <row r="19387" spans="6:15" x14ac:dyDescent="0.3">
      <c r="F19387" s="1"/>
    </row>
    <row r="19388" spans="6:15" x14ac:dyDescent="0.3">
      <c r="F19388" s="1"/>
    </row>
    <row r="19389" spans="6:15" x14ac:dyDescent="0.3">
      <c r="F19389" s="1"/>
    </row>
    <row r="19391" spans="6:15" x14ac:dyDescent="0.3">
      <c r="M19391" s="1"/>
      <c r="N19391" s="1"/>
      <c r="O19391" s="1"/>
    </row>
    <row r="19392" spans="6:15" x14ac:dyDescent="0.3">
      <c r="F19392" s="1"/>
    </row>
    <row r="19393" spans="6:15" x14ac:dyDescent="0.3">
      <c r="F19393" s="1"/>
    </row>
    <row r="19394" spans="6:15" x14ac:dyDescent="0.3">
      <c r="F19394" s="1"/>
    </row>
    <row r="19395" spans="6:15" x14ac:dyDescent="0.3">
      <c r="F19395" s="1"/>
    </row>
    <row r="19396" spans="6:15" x14ac:dyDescent="0.3">
      <c r="F19396" s="1"/>
      <c r="L19396" s="1"/>
      <c r="M19396" s="1"/>
    </row>
    <row r="19398" spans="6:15" x14ac:dyDescent="0.3">
      <c r="F19398" s="1"/>
    </row>
    <row r="19399" spans="6:15" x14ac:dyDescent="0.3">
      <c r="F19399" s="1"/>
      <c r="M19399" s="1"/>
    </row>
    <row r="19400" spans="6:15" x14ac:dyDescent="0.3">
      <c r="F19400" s="1"/>
      <c r="L19400" s="1"/>
    </row>
    <row r="19401" spans="6:15" x14ac:dyDescent="0.3">
      <c r="O19401" s="1"/>
    </row>
    <row r="19402" spans="6:15" x14ac:dyDescent="0.3">
      <c r="F19402" s="1"/>
      <c r="N19402" s="1"/>
    </row>
    <row r="19403" spans="6:15" x14ac:dyDescent="0.3">
      <c r="F19403" s="1"/>
    </row>
    <row r="19404" spans="6:15" x14ac:dyDescent="0.3">
      <c r="F19404" s="1"/>
    </row>
    <row r="19406" spans="6:15" x14ac:dyDescent="0.3">
      <c r="L19406" s="1"/>
      <c r="N19406" s="1"/>
    </row>
    <row r="19407" spans="6:15" x14ac:dyDescent="0.3">
      <c r="F19407" s="1"/>
    </row>
    <row r="19408" spans="6:15" x14ac:dyDescent="0.3">
      <c r="L19408" s="1"/>
      <c r="O19408" s="1"/>
    </row>
    <row r="19409" spans="6:14" x14ac:dyDescent="0.3">
      <c r="F19409" s="1"/>
    </row>
    <row r="19410" spans="6:14" x14ac:dyDescent="0.3">
      <c r="M19410" s="1"/>
    </row>
    <row r="19411" spans="6:14" x14ac:dyDescent="0.3">
      <c r="F19411" s="1"/>
    </row>
    <row r="19412" spans="6:14" x14ac:dyDescent="0.3">
      <c r="F19412" s="1"/>
      <c r="N19412" s="1"/>
    </row>
    <row r="19413" spans="6:14" x14ac:dyDescent="0.3">
      <c r="F19413" s="1"/>
    </row>
    <row r="19414" spans="6:14" x14ac:dyDescent="0.3">
      <c r="F19414" s="1"/>
    </row>
    <row r="19415" spans="6:14" x14ac:dyDescent="0.3">
      <c r="F19415" s="1"/>
      <c r="M19415" s="1"/>
    </row>
    <row r="19416" spans="6:14" x14ac:dyDescent="0.3">
      <c r="F19416" s="1"/>
    </row>
    <row r="19417" spans="6:14" x14ac:dyDescent="0.3">
      <c r="F19417" s="1"/>
    </row>
    <row r="19418" spans="6:14" x14ac:dyDescent="0.3">
      <c r="F19418" s="1"/>
    </row>
    <row r="19419" spans="6:14" x14ac:dyDescent="0.3">
      <c r="F19419" s="1"/>
    </row>
    <row r="19420" spans="6:14" x14ac:dyDescent="0.3">
      <c r="F19420" s="1"/>
    </row>
    <row r="19422" spans="6:14" x14ac:dyDescent="0.3">
      <c r="F19422" s="1"/>
    </row>
    <row r="19424" spans="6:14" x14ac:dyDescent="0.3">
      <c r="F19424" s="1"/>
    </row>
    <row r="19425" spans="6:15" x14ac:dyDescent="0.3">
      <c r="F19425" s="1"/>
    </row>
    <row r="19426" spans="6:15" x14ac:dyDescent="0.3">
      <c r="F19426" s="1"/>
    </row>
    <row r="19427" spans="6:15" x14ac:dyDescent="0.3">
      <c r="F19427" s="1"/>
    </row>
    <row r="19428" spans="6:15" x14ac:dyDescent="0.3">
      <c r="F19428" s="1"/>
    </row>
    <row r="19429" spans="6:15" x14ac:dyDescent="0.3">
      <c r="F19429" s="1"/>
    </row>
    <row r="19430" spans="6:15" x14ac:dyDescent="0.3">
      <c r="F19430" s="1"/>
    </row>
    <row r="19431" spans="6:15" x14ac:dyDescent="0.3">
      <c r="F19431" s="1"/>
    </row>
    <row r="19432" spans="6:15" x14ac:dyDescent="0.3">
      <c r="L19432" s="1"/>
      <c r="M19432" s="1"/>
      <c r="O19432" s="1"/>
    </row>
    <row r="19433" spans="6:15" x14ac:dyDescent="0.3">
      <c r="F19433" s="1"/>
    </row>
    <row r="19434" spans="6:15" x14ac:dyDescent="0.3">
      <c r="F19434" s="1"/>
    </row>
    <row r="19435" spans="6:15" x14ac:dyDescent="0.3">
      <c r="F19435" s="1"/>
    </row>
    <row r="19436" spans="6:15" x14ac:dyDescent="0.3">
      <c r="F19436" s="1"/>
    </row>
    <row r="19437" spans="6:15" x14ac:dyDescent="0.3">
      <c r="F19437" s="1"/>
    </row>
    <row r="19438" spans="6:15" x14ac:dyDescent="0.3">
      <c r="F19438" s="1"/>
    </row>
    <row r="19439" spans="6:15" x14ac:dyDescent="0.3">
      <c r="F19439" s="1"/>
    </row>
    <row r="19440" spans="6:15" x14ac:dyDescent="0.3">
      <c r="F19440" s="1"/>
    </row>
    <row r="19441" spans="6:14" x14ac:dyDescent="0.3">
      <c r="F19441" s="1"/>
    </row>
    <row r="19442" spans="6:14" x14ac:dyDescent="0.3">
      <c r="F19442" s="1"/>
      <c r="N19442" s="1"/>
    </row>
    <row r="19443" spans="6:14" x14ac:dyDescent="0.3">
      <c r="F19443" s="1"/>
    </row>
    <row r="19444" spans="6:14" x14ac:dyDescent="0.3">
      <c r="L19444" s="1"/>
    </row>
    <row r="19445" spans="6:14" x14ac:dyDescent="0.3">
      <c r="F19445" s="1"/>
    </row>
    <row r="19446" spans="6:14" x14ac:dyDescent="0.3">
      <c r="F19446" s="1"/>
    </row>
    <row r="19447" spans="6:14" x14ac:dyDescent="0.3">
      <c r="F19447" s="1"/>
    </row>
    <row r="19448" spans="6:14" x14ac:dyDescent="0.3">
      <c r="F19448" s="1"/>
      <c r="M19448" s="1"/>
      <c r="N19448" s="1"/>
    </row>
    <row r="19449" spans="6:14" x14ac:dyDescent="0.3">
      <c r="F19449" s="1"/>
      <c r="M19449" s="1"/>
    </row>
    <row r="19450" spans="6:14" x14ac:dyDescent="0.3">
      <c r="F19450" s="1"/>
    </row>
    <row r="19451" spans="6:14" x14ac:dyDescent="0.3">
      <c r="F19451" s="1"/>
    </row>
    <row r="19452" spans="6:14" x14ac:dyDescent="0.3">
      <c r="F19452" s="1"/>
    </row>
    <row r="19453" spans="6:14" x14ac:dyDescent="0.3">
      <c r="F19453" s="1"/>
    </row>
    <row r="19454" spans="6:14" x14ac:dyDescent="0.3">
      <c r="F19454" s="1"/>
    </row>
    <row r="19455" spans="6:14" x14ac:dyDescent="0.3">
      <c r="F19455" s="1"/>
    </row>
    <row r="19456" spans="6:14" x14ac:dyDescent="0.3">
      <c r="F19456" s="1"/>
    </row>
    <row r="19457" spans="6:6" x14ac:dyDescent="0.3">
      <c r="F19457" s="1"/>
    </row>
    <row r="19458" spans="6:6" x14ac:dyDescent="0.3">
      <c r="F19458" s="1"/>
    </row>
    <row r="19459" spans="6:6" x14ac:dyDescent="0.3">
      <c r="F19459" s="1"/>
    </row>
    <row r="19460" spans="6:6" x14ac:dyDescent="0.3">
      <c r="F19460" s="1"/>
    </row>
    <row r="19461" spans="6:6" x14ac:dyDescent="0.3">
      <c r="F19461" s="1"/>
    </row>
    <row r="19463" spans="6:6" x14ac:dyDescent="0.3">
      <c r="F19463" s="1"/>
    </row>
    <row r="19464" spans="6:6" x14ac:dyDescent="0.3">
      <c r="F19464" s="1"/>
    </row>
    <row r="19465" spans="6:6" x14ac:dyDescent="0.3">
      <c r="F19465" s="1"/>
    </row>
    <row r="19468" spans="6:6" x14ac:dyDescent="0.3">
      <c r="F19468" s="1"/>
    </row>
    <row r="19469" spans="6:6" x14ac:dyDescent="0.3">
      <c r="F19469" s="1"/>
    </row>
    <row r="19470" spans="6:6" x14ac:dyDescent="0.3">
      <c r="F19470" s="1"/>
    </row>
    <row r="19471" spans="6:6" x14ac:dyDescent="0.3">
      <c r="F19471" s="1"/>
    </row>
    <row r="19472" spans="6:6" x14ac:dyDescent="0.3">
      <c r="F19472" s="1"/>
    </row>
    <row r="19473" spans="6:14" x14ac:dyDescent="0.3">
      <c r="F19473" s="1"/>
      <c r="N19473" s="1"/>
    </row>
    <row r="19474" spans="6:14" x14ac:dyDescent="0.3">
      <c r="F19474" s="1"/>
    </row>
    <row r="19475" spans="6:14" x14ac:dyDescent="0.3">
      <c r="F19475" s="1"/>
    </row>
    <row r="19476" spans="6:14" x14ac:dyDescent="0.3">
      <c r="F19476" s="1"/>
    </row>
    <row r="19477" spans="6:14" x14ac:dyDescent="0.3">
      <c r="F19477" s="1"/>
    </row>
    <row r="19478" spans="6:14" x14ac:dyDescent="0.3">
      <c r="F19478" s="1"/>
    </row>
    <row r="19479" spans="6:14" x14ac:dyDescent="0.3">
      <c r="F19479" s="1"/>
    </row>
    <row r="19480" spans="6:14" x14ac:dyDescent="0.3">
      <c r="F19480" s="1"/>
    </row>
    <row r="19481" spans="6:14" x14ac:dyDescent="0.3">
      <c r="F19481" s="1"/>
    </row>
    <row r="19482" spans="6:14" x14ac:dyDescent="0.3">
      <c r="F19482" s="1"/>
    </row>
    <row r="19483" spans="6:14" x14ac:dyDescent="0.3">
      <c r="F19483" s="1"/>
    </row>
    <row r="19484" spans="6:14" x14ac:dyDescent="0.3">
      <c r="F19484" s="1"/>
    </row>
    <row r="19486" spans="6:14" x14ac:dyDescent="0.3">
      <c r="F19486" s="1"/>
    </row>
    <row r="19487" spans="6:14" x14ac:dyDescent="0.3">
      <c r="F19487" s="1"/>
    </row>
    <row r="19488" spans="6:14" x14ac:dyDescent="0.3">
      <c r="F19488" s="1"/>
    </row>
    <row r="19489" spans="6:15" x14ac:dyDescent="0.3">
      <c r="L19489" s="1"/>
      <c r="O19489" s="1"/>
    </row>
    <row r="19490" spans="6:15" x14ac:dyDescent="0.3">
      <c r="L19490" s="1"/>
      <c r="N19490" s="1"/>
      <c r="O19490" s="1"/>
    </row>
    <row r="19491" spans="6:15" x14ac:dyDescent="0.3">
      <c r="F19491" s="1"/>
    </row>
    <row r="19492" spans="6:15" x14ac:dyDescent="0.3">
      <c r="F19492" s="1"/>
      <c r="N19492" s="1"/>
    </row>
    <row r="19493" spans="6:15" x14ac:dyDescent="0.3">
      <c r="F19493" s="1"/>
    </row>
    <row r="19494" spans="6:15" x14ac:dyDescent="0.3">
      <c r="F19494" s="1"/>
    </row>
    <row r="19495" spans="6:15" x14ac:dyDescent="0.3">
      <c r="F19495" s="1"/>
    </row>
    <row r="19496" spans="6:15" x14ac:dyDescent="0.3">
      <c r="F19496" s="1"/>
    </row>
    <row r="19497" spans="6:15" x14ac:dyDescent="0.3">
      <c r="F19497" s="1"/>
    </row>
    <row r="19498" spans="6:15" x14ac:dyDescent="0.3">
      <c r="F19498" s="1"/>
    </row>
    <row r="19499" spans="6:15" x14ac:dyDescent="0.3">
      <c r="F19499" s="1"/>
    </row>
    <row r="19500" spans="6:15" x14ac:dyDescent="0.3">
      <c r="F19500" s="1"/>
    </row>
    <row r="19502" spans="6:15" x14ac:dyDescent="0.3">
      <c r="F19502" s="1"/>
    </row>
    <row r="19504" spans="6:15" x14ac:dyDescent="0.3">
      <c r="F19504" s="1"/>
    </row>
    <row r="19506" spans="6:14" x14ac:dyDescent="0.3">
      <c r="F19506" s="1"/>
    </row>
    <row r="19507" spans="6:14" x14ac:dyDescent="0.3">
      <c r="F19507" s="1"/>
    </row>
    <row r="19508" spans="6:14" x14ac:dyDescent="0.3">
      <c r="F19508" s="1"/>
    </row>
    <row r="19509" spans="6:14" x14ac:dyDescent="0.3">
      <c r="F19509" s="1"/>
    </row>
    <row r="19510" spans="6:14" x14ac:dyDescent="0.3">
      <c r="F19510" s="1"/>
    </row>
    <row r="19511" spans="6:14" x14ac:dyDescent="0.3">
      <c r="F19511" s="1"/>
    </row>
    <row r="19513" spans="6:14" x14ac:dyDescent="0.3">
      <c r="F19513" s="1"/>
    </row>
    <row r="19514" spans="6:14" x14ac:dyDescent="0.3">
      <c r="F19514" s="1"/>
    </row>
    <row r="19515" spans="6:14" x14ac:dyDescent="0.3">
      <c r="L19515" s="1"/>
      <c r="M19515" s="1"/>
      <c r="N19515" s="1"/>
    </row>
    <row r="19516" spans="6:14" x14ac:dyDescent="0.3">
      <c r="F19516" s="1"/>
    </row>
    <row r="19517" spans="6:14" x14ac:dyDescent="0.3">
      <c r="F19517" s="1"/>
    </row>
    <row r="19518" spans="6:14" x14ac:dyDescent="0.3">
      <c r="F19518" s="1"/>
    </row>
    <row r="19519" spans="6:14" x14ac:dyDescent="0.3">
      <c r="F19519" s="1"/>
    </row>
    <row r="19520" spans="6:14" x14ac:dyDescent="0.3">
      <c r="F19520" s="1"/>
    </row>
    <row r="19521" spans="6:15" x14ac:dyDescent="0.3">
      <c r="F19521" s="1"/>
    </row>
    <row r="19522" spans="6:15" x14ac:dyDescent="0.3">
      <c r="F19522" s="1"/>
    </row>
    <row r="19523" spans="6:15" x14ac:dyDescent="0.3">
      <c r="F19523" s="1"/>
    </row>
    <row r="19524" spans="6:15" x14ac:dyDescent="0.3">
      <c r="F19524" s="1"/>
    </row>
    <row r="19525" spans="6:15" x14ac:dyDescent="0.3">
      <c r="F19525" s="1"/>
    </row>
    <row r="19526" spans="6:15" x14ac:dyDescent="0.3">
      <c r="F19526" s="1"/>
    </row>
    <row r="19527" spans="6:15" x14ac:dyDescent="0.3">
      <c r="F19527" s="1"/>
    </row>
    <row r="19528" spans="6:15" x14ac:dyDescent="0.3">
      <c r="F19528" s="1"/>
      <c r="L19528" s="1"/>
      <c r="M19528" s="1"/>
      <c r="N19528" s="1"/>
      <c r="O19528" s="1"/>
    </row>
    <row r="19529" spans="6:15" x14ac:dyDescent="0.3">
      <c r="F19529" s="1"/>
    </row>
    <row r="19531" spans="6:15" x14ac:dyDescent="0.3">
      <c r="F19531" s="1"/>
    </row>
    <row r="19532" spans="6:15" x14ac:dyDescent="0.3">
      <c r="F19532" s="1"/>
    </row>
    <row r="19533" spans="6:15" x14ac:dyDescent="0.3">
      <c r="F19533" s="1"/>
    </row>
    <row r="19534" spans="6:15" x14ac:dyDescent="0.3">
      <c r="F19534" s="1"/>
    </row>
    <row r="19535" spans="6:15" x14ac:dyDescent="0.3">
      <c r="F19535" s="1"/>
    </row>
    <row r="19536" spans="6:15" x14ac:dyDescent="0.3">
      <c r="F19536" s="1"/>
    </row>
    <row r="19538" spans="6:15" x14ac:dyDescent="0.3">
      <c r="F19538" s="1"/>
    </row>
    <row r="19539" spans="6:15" x14ac:dyDescent="0.3">
      <c r="F19539" s="1"/>
    </row>
    <row r="19540" spans="6:15" x14ac:dyDescent="0.3">
      <c r="F19540" s="1"/>
    </row>
    <row r="19541" spans="6:15" x14ac:dyDescent="0.3">
      <c r="F19541" s="1"/>
    </row>
    <row r="19542" spans="6:15" x14ac:dyDescent="0.3">
      <c r="F19542" s="1"/>
    </row>
    <row r="19545" spans="6:15" x14ac:dyDescent="0.3">
      <c r="F19545" s="1"/>
    </row>
    <row r="19546" spans="6:15" x14ac:dyDescent="0.3">
      <c r="L19546" s="1"/>
      <c r="N19546" s="1"/>
      <c r="O19546" s="1"/>
    </row>
    <row r="19547" spans="6:15" x14ac:dyDescent="0.3">
      <c r="F19547" s="1"/>
    </row>
    <row r="19548" spans="6:15" x14ac:dyDescent="0.3">
      <c r="F19548" s="1"/>
    </row>
    <row r="19549" spans="6:15" x14ac:dyDescent="0.3">
      <c r="F19549" s="1"/>
    </row>
    <row r="19550" spans="6:15" x14ac:dyDescent="0.3">
      <c r="F19550" s="1"/>
    </row>
    <row r="19551" spans="6:15" x14ac:dyDescent="0.3">
      <c r="F19551" s="1"/>
    </row>
    <row r="19552" spans="6:15" x14ac:dyDescent="0.3">
      <c r="F19552" s="1"/>
    </row>
    <row r="19553" spans="6:14" x14ac:dyDescent="0.3">
      <c r="F19553" s="1"/>
    </row>
    <row r="19554" spans="6:14" x14ac:dyDescent="0.3">
      <c r="F19554" s="1"/>
    </row>
    <row r="19555" spans="6:14" x14ac:dyDescent="0.3">
      <c r="M19555" s="1"/>
    </row>
    <row r="19556" spans="6:14" x14ac:dyDescent="0.3">
      <c r="F19556" s="1"/>
    </row>
    <row r="19557" spans="6:14" x14ac:dyDescent="0.3">
      <c r="F19557" s="1"/>
    </row>
    <row r="19558" spans="6:14" x14ac:dyDescent="0.3">
      <c r="F19558" s="1"/>
    </row>
    <row r="19559" spans="6:14" x14ac:dyDescent="0.3">
      <c r="F19559" s="1"/>
    </row>
    <row r="19560" spans="6:14" x14ac:dyDescent="0.3">
      <c r="M19560" s="1"/>
    </row>
    <row r="19561" spans="6:14" x14ac:dyDescent="0.3">
      <c r="F19561" s="1"/>
      <c r="M19561" s="1"/>
    </row>
    <row r="19562" spans="6:14" x14ac:dyDescent="0.3">
      <c r="F19562" s="1"/>
    </row>
    <row r="19563" spans="6:14" x14ac:dyDescent="0.3">
      <c r="F19563" s="1"/>
    </row>
    <row r="19564" spans="6:14" x14ac:dyDescent="0.3">
      <c r="F19564" s="1"/>
    </row>
    <row r="19566" spans="6:14" x14ac:dyDescent="0.3">
      <c r="M19566" s="1"/>
      <c r="N19566" s="1"/>
    </row>
    <row r="19567" spans="6:14" x14ac:dyDescent="0.3">
      <c r="F19567" s="1"/>
      <c r="M19567" s="1"/>
      <c r="N19567" s="1"/>
    </row>
    <row r="19568" spans="6:14" x14ac:dyDescent="0.3">
      <c r="F19568" s="1"/>
    </row>
    <row r="19569" spans="6:15" x14ac:dyDescent="0.3">
      <c r="F19569" s="1"/>
    </row>
    <row r="19571" spans="6:15" x14ac:dyDescent="0.3">
      <c r="F19571" s="1"/>
    </row>
    <row r="19572" spans="6:15" x14ac:dyDescent="0.3">
      <c r="F19572" s="1"/>
    </row>
    <row r="19573" spans="6:15" x14ac:dyDescent="0.3">
      <c r="M19573" s="1"/>
      <c r="N19573" s="1"/>
      <c r="O19573" s="1"/>
    </row>
    <row r="19574" spans="6:15" x14ac:dyDescent="0.3">
      <c r="F19574" s="1"/>
    </row>
    <row r="19575" spans="6:15" x14ac:dyDescent="0.3">
      <c r="F19575" s="1"/>
    </row>
    <row r="19576" spans="6:15" x14ac:dyDescent="0.3">
      <c r="F19576" s="1"/>
    </row>
    <row r="19577" spans="6:15" x14ac:dyDescent="0.3">
      <c r="F19577" s="1"/>
    </row>
    <row r="19578" spans="6:15" x14ac:dyDescent="0.3">
      <c r="F19578" s="1"/>
    </row>
    <row r="19579" spans="6:15" x14ac:dyDescent="0.3">
      <c r="F19579" s="1"/>
      <c r="M19579" s="1"/>
      <c r="N19579" s="1"/>
    </row>
    <row r="19580" spans="6:15" x14ac:dyDescent="0.3">
      <c r="F19580" s="1"/>
    </row>
    <row r="19581" spans="6:15" x14ac:dyDescent="0.3">
      <c r="F19581" s="1"/>
    </row>
    <row r="19582" spans="6:15" x14ac:dyDescent="0.3">
      <c r="F19582" s="1"/>
    </row>
    <row r="19584" spans="6:15" x14ac:dyDescent="0.3">
      <c r="F19584" s="1"/>
    </row>
    <row r="19586" spans="6:12" x14ac:dyDescent="0.3">
      <c r="F19586" s="1"/>
    </row>
    <row r="19587" spans="6:12" x14ac:dyDescent="0.3">
      <c r="F19587" s="1"/>
    </row>
    <row r="19588" spans="6:12" x14ac:dyDescent="0.3">
      <c r="F19588" s="1"/>
    </row>
    <row r="19591" spans="6:12" x14ac:dyDescent="0.3">
      <c r="F19591" s="1"/>
    </row>
    <row r="19592" spans="6:12" x14ac:dyDescent="0.3">
      <c r="F19592" s="1"/>
      <c r="L19592" s="1"/>
    </row>
    <row r="19593" spans="6:12" x14ac:dyDescent="0.3">
      <c r="F19593" s="1"/>
    </row>
    <row r="19594" spans="6:12" x14ac:dyDescent="0.3">
      <c r="F19594" s="1"/>
    </row>
    <row r="19595" spans="6:12" x14ac:dyDescent="0.3">
      <c r="F19595" s="1"/>
    </row>
    <row r="19596" spans="6:12" x14ac:dyDescent="0.3">
      <c r="F19596" s="1"/>
    </row>
    <row r="19599" spans="6:12" x14ac:dyDescent="0.3">
      <c r="F19599" s="1"/>
    </row>
    <row r="19600" spans="6:12" x14ac:dyDescent="0.3">
      <c r="F19600" s="1"/>
    </row>
    <row r="19601" spans="6:15" x14ac:dyDescent="0.3">
      <c r="F19601" s="1"/>
    </row>
    <row r="19602" spans="6:15" x14ac:dyDescent="0.3">
      <c r="F19602" s="1"/>
    </row>
    <row r="19603" spans="6:15" x14ac:dyDescent="0.3">
      <c r="F19603" s="1"/>
    </row>
    <row r="19604" spans="6:15" x14ac:dyDescent="0.3">
      <c r="F19604" s="1"/>
    </row>
    <row r="19605" spans="6:15" x14ac:dyDescent="0.3">
      <c r="F19605" s="1"/>
    </row>
    <row r="19606" spans="6:15" x14ac:dyDescent="0.3">
      <c r="F19606" s="1"/>
    </row>
    <row r="19607" spans="6:15" x14ac:dyDescent="0.3">
      <c r="F19607" s="1"/>
    </row>
    <row r="19608" spans="6:15" x14ac:dyDescent="0.3">
      <c r="F19608" s="1"/>
    </row>
    <row r="19609" spans="6:15" x14ac:dyDescent="0.3">
      <c r="N19609" s="1"/>
    </row>
    <row r="19610" spans="6:15" x14ac:dyDescent="0.3">
      <c r="F19610" s="1"/>
    </row>
    <row r="19611" spans="6:15" x14ac:dyDescent="0.3">
      <c r="F19611" s="1"/>
    </row>
    <row r="19612" spans="6:15" x14ac:dyDescent="0.3">
      <c r="F19612" s="1"/>
    </row>
    <row r="19613" spans="6:15" x14ac:dyDescent="0.3">
      <c r="F19613" s="1"/>
    </row>
    <row r="19614" spans="6:15" x14ac:dyDescent="0.3">
      <c r="F19614" s="1"/>
      <c r="L19614" s="1"/>
      <c r="N19614" s="1"/>
      <c r="O19614" s="1"/>
    </row>
    <row r="19615" spans="6:15" x14ac:dyDescent="0.3">
      <c r="F19615" s="1"/>
    </row>
    <row r="19617" spans="6:6" x14ac:dyDescent="0.3">
      <c r="F19617" s="1"/>
    </row>
    <row r="19618" spans="6:6" x14ac:dyDescent="0.3">
      <c r="F19618" s="1"/>
    </row>
    <row r="19619" spans="6:6" x14ac:dyDescent="0.3">
      <c r="F19619" s="1"/>
    </row>
    <row r="19620" spans="6:6" x14ac:dyDescent="0.3">
      <c r="F19620" s="1"/>
    </row>
    <row r="19621" spans="6:6" x14ac:dyDescent="0.3">
      <c r="F19621" s="1"/>
    </row>
    <row r="19622" spans="6:6" x14ac:dyDescent="0.3">
      <c r="F19622" s="1"/>
    </row>
    <row r="19623" spans="6:6" x14ac:dyDescent="0.3">
      <c r="F19623" s="1"/>
    </row>
    <row r="19624" spans="6:6" x14ac:dyDescent="0.3">
      <c r="F19624" s="1"/>
    </row>
    <row r="19625" spans="6:6" x14ac:dyDescent="0.3">
      <c r="F19625" s="1"/>
    </row>
    <row r="19626" spans="6:6" x14ac:dyDescent="0.3">
      <c r="F19626" s="1"/>
    </row>
    <row r="19627" spans="6:6" x14ac:dyDescent="0.3">
      <c r="F19627" s="1"/>
    </row>
    <row r="19628" spans="6:6" x14ac:dyDescent="0.3">
      <c r="F19628" s="1"/>
    </row>
    <row r="19629" spans="6:6" x14ac:dyDescent="0.3">
      <c r="F19629" s="1"/>
    </row>
    <row r="19631" spans="6:6" x14ac:dyDescent="0.3">
      <c r="F19631" s="1"/>
    </row>
    <row r="19632" spans="6:6" x14ac:dyDescent="0.3">
      <c r="F19632" s="1"/>
    </row>
    <row r="19633" spans="6:6" x14ac:dyDescent="0.3">
      <c r="F19633" s="1"/>
    </row>
    <row r="19635" spans="6:6" x14ac:dyDescent="0.3">
      <c r="F19635" s="1"/>
    </row>
    <row r="19636" spans="6:6" x14ac:dyDescent="0.3">
      <c r="F19636" s="1"/>
    </row>
    <row r="19637" spans="6:6" x14ac:dyDescent="0.3">
      <c r="F19637" s="1"/>
    </row>
    <row r="19638" spans="6:6" x14ac:dyDescent="0.3">
      <c r="F19638" s="1"/>
    </row>
    <row r="19639" spans="6:6" x14ac:dyDescent="0.3">
      <c r="F19639" s="1"/>
    </row>
    <row r="19640" spans="6:6" x14ac:dyDescent="0.3">
      <c r="F19640" s="1"/>
    </row>
    <row r="19641" spans="6:6" x14ac:dyDescent="0.3">
      <c r="F19641" s="1"/>
    </row>
    <row r="19643" spans="6:6" x14ac:dyDescent="0.3">
      <c r="F19643" s="1"/>
    </row>
    <row r="19645" spans="6:6" x14ac:dyDescent="0.3">
      <c r="F19645" s="1"/>
    </row>
    <row r="19646" spans="6:6" x14ac:dyDescent="0.3">
      <c r="F19646" s="1"/>
    </row>
    <row r="19647" spans="6:6" x14ac:dyDescent="0.3">
      <c r="F19647" s="1"/>
    </row>
    <row r="19648" spans="6:6" x14ac:dyDescent="0.3">
      <c r="F19648" s="1"/>
    </row>
    <row r="19649" spans="6:14" x14ac:dyDescent="0.3">
      <c r="F19649" s="1"/>
    </row>
    <row r="19650" spans="6:14" x14ac:dyDescent="0.3">
      <c r="F19650" s="1"/>
    </row>
    <row r="19651" spans="6:14" x14ac:dyDescent="0.3">
      <c r="F19651" s="1"/>
    </row>
    <row r="19653" spans="6:14" x14ac:dyDescent="0.3">
      <c r="F19653" s="1"/>
    </row>
    <row r="19654" spans="6:14" x14ac:dyDescent="0.3">
      <c r="F19654" s="1"/>
    </row>
    <row r="19656" spans="6:14" x14ac:dyDescent="0.3">
      <c r="F19656" s="1"/>
    </row>
    <row r="19657" spans="6:14" x14ac:dyDescent="0.3">
      <c r="L19657" s="1"/>
      <c r="N19657" s="1"/>
    </row>
    <row r="19658" spans="6:14" x14ac:dyDescent="0.3">
      <c r="F19658" s="1"/>
    </row>
    <row r="19659" spans="6:14" x14ac:dyDescent="0.3">
      <c r="F19659" s="1"/>
    </row>
    <row r="19662" spans="6:14" x14ac:dyDescent="0.3">
      <c r="F19662" s="1"/>
    </row>
    <row r="19664" spans="6:14" x14ac:dyDescent="0.3">
      <c r="F19664" s="1"/>
    </row>
    <row r="19665" spans="6:15" x14ac:dyDescent="0.3">
      <c r="F19665" s="1"/>
      <c r="N19665" s="1"/>
      <c r="O19665" s="1"/>
    </row>
    <row r="19666" spans="6:15" x14ac:dyDescent="0.3">
      <c r="F19666" s="1"/>
    </row>
    <row r="19667" spans="6:15" x14ac:dyDescent="0.3">
      <c r="F19667" s="1"/>
    </row>
    <row r="19668" spans="6:15" x14ac:dyDescent="0.3">
      <c r="F19668" s="1"/>
    </row>
    <row r="19670" spans="6:15" x14ac:dyDescent="0.3">
      <c r="F19670" s="1"/>
    </row>
    <row r="19671" spans="6:15" x14ac:dyDescent="0.3">
      <c r="F19671" s="1"/>
    </row>
    <row r="19672" spans="6:15" x14ac:dyDescent="0.3">
      <c r="F19672" s="1"/>
    </row>
    <row r="19674" spans="6:15" x14ac:dyDescent="0.3">
      <c r="F19674" s="1"/>
    </row>
    <row r="19675" spans="6:15" x14ac:dyDescent="0.3">
      <c r="F19675" s="1"/>
    </row>
    <row r="19676" spans="6:15" x14ac:dyDescent="0.3">
      <c r="F19676" s="1"/>
    </row>
    <row r="19677" spans="6:15" x14ac:dyDescent="0.3">
      <c r="F19677" s="1"/>
    </row>
    <row r="19678" spans="6:15" x14ac:dyDescent="0.3">
      <c r="F19678" s="1"/>
      <c r="M19678" s="1"/>
    </row>
    <row r="19679" spans="6:15" x14ac:dyDescent="0.3">
      <c r="F19679" s="1"/>
    </row>
    <row r="19680" spans="6:15" x14ac:dyDescent="0.3">
      <c r="F19680" s="1"/>
    </row>
    <row r="19681" spans="6:15" x14ac:dyDescent="0.3">
      <c r="F19681" s="1"/>
    </row>
    <row r="19682" spans="6:15" x14ac:dyDescent="0.3">
      <c r="F19682" s="1"/>
    </row>
    <row r="19683" spans="6:15" x14ac:dyDescent="0.3">
      <c r="F19683" s="1"/>
    </row>
    <row r="19684" spans="6:15" x14ac:dyDescent="0.3">
      <c r="F19684" s="1"/>
    </row>
    <row r="19685" spans="6:15" x14ac:dyDescent="0.3">
      <c r="F19685" s="1"/>
    </row>
    <row r="19686" spans="6:15" x14ac:dyDescent="0.3">
      <c r="F19686" s="1"/>
    </row>
    <row r="19687" spans="6:15" x14ac:dyDescent="0.3">
      <c r="F19687" s="1"/>
    </row>
    <row r="19688" spans="6:15" x14ac:dyDescent="0.3">
      <c r="F19688" s="1"/>
    </row>
    <row r="19689" spans="6:15" x14ac:dyDescent="0.3">
      <c r="F19689" s="1"/>
    </row>
    <row r="19691" spans="6:15" x14ac:dyDescent="0.3">
      <c r="F19691" s="1"/>
    </row>
    <row r="19692" spans="6:15" x14ac:dyDescent="0.3">
      <c r="F19692" s="1"/>
      <c r="L19692" s="1"/>
      <c r="N19692" s="1"/>
      <c r="O19692" s="1"/>
    </row>
    <row r="19693" spans="6:15" x14ac:dyDescent="0.3">
      <c r="F19693" s="1"/>
    </row>
    <row r="19694" spans="6:15" x14ac:dyDescent="0.3">
      <c r="F19694" s="1"/>
    </row>
    <row r="19695" spans="6:15" x14ac:dyDescent="0.3">
      <c r="F19695" s="1"/>
    </row>
    <row r="19697" spans="6:15" x14ac:dyDescent="0.3">
      <c r="L19697" s="1"/>
      <c r="M19697" s="1"/>
      <c r="N19697" s="1"/>
      <c r="O19697" s="1"/>
    </row>
    <row r="19698" spans="6:15" x14ac:dyDescent="0.3">
      <c r="F19698" s="1"/>
    </row>
    <row r="19699" spans="6:15" x14ac:dyDescent="0.3">
      <c r="F19699" s="1"/>
    </row>
    <row r="19700" spans="6:15" x14ac:dyDescent="0.3">
      <c r="F19700" s="1"/>
    </row>
    <row r="19702" spans="6:15" x14ac:dyDescent="0.3">
      <c r="F19702" s="1"/>
    </row>
    <row r="19703" spans="6:15" x14ac:dyDescent="0.3">
      <c r="F19703" s="1"/>
    </row>
    <row r="19704" spans="6:15" x14ac:dyDescent="0.3">
      <c r="F19704" s="1"/>
    </row>
    <row r="19705" spans="6:15" x14ac:dyDescent="0.3">
      <c r="F19705" s="1"/>
    </row>
    <row r="19706" spans="6:15" x14ac:dyDescent="0.3">
      <c r="F19706" s="1"/>
    </row>
    <row r="19707" spans="6:15" x14ac:dyDescent="0.3">
      <c r="F19707" s="1"/>
    </row>
    <row r="19708" spans="6:15" x14ac:dyDescent="0.3">
      <c r="F19708" s="1"/>
    </row>
    <row r="19710" spans="6:15" x14ac:dyDescent="0.3">
      <c r="F19710" s="1"/>
    </row>
    <row r="19711" spans="6:15" x14ac:dyDescent="0.3">
      <c r="F19711" s="1"/>
    </row>
    <row r="19713" spans="6:6" x14ac:dyDescent="0.3">
      <c r="F19713" s="1"/>
    </row>
    <row r="19714" spans="6:6" x14ac:dyDescent="0.3">
      <c r="F19714" s="1"/>
    </row>
    <row r="19715" spans="6:6" x14ac:dyDescent="0.3">
      <c r="F19715" s="1"/>
    </row>
    <row r="19716" spans="6:6" x14ac:dyDescent="0.3">
      <c r="F19716" s="1"/>
    </row>
    <row r="19717" spans="6:6" x14ac:dyDescent="0.3">
      <c r="F19717" s="1"/>
    </row>
    <row r="19718" spans="6:6" x14ac:dyDescent="0.3">
      <c r="F19718" s="1"/>
    </row>
    <row r="19720" spans="6:6" x14ac:dyDescent="0.3">
      <c r="F19720" s="1"/>
    </row>
    <row r="19721" spans="6:6" x14ac:dyDescent="0.3">
      <c r="F19721" s="1"/>
    </row>
    <row r="19722" spans="6:6" x14ac:dyDescent="0.3">
      <c r="F19722" s="1"/>
    </row>
    <row r="19723" spans="6:6" x14ac:dyDescent="0.3">
      <c r="F19723" s="1"/>
    </row>
    <row r="19724" spans="6:6" x14ac:dyDescent="0.3">
      <c r="F19724" s="1"/>
    </row>
    <row r="19725" spans="6:6" x14ac:dyDescent="0.3">
      <c r="F19725" s="1"/>
    </row>
    <row r="19726" spans="6:6" x14ac:dyDescent="0.3">
      <c r="F19726" s="1"/>
    </row>
    <row r="19727" spans="6:6" x14ac:dyDescent="0.3">
      <c r="F19727" s="1"/>
    </row>
    <row r="19728" spans="6:6" x14ac:dyDescent="0.3">
      <c r="F19728" s="1"/>
    </row>
    <row r="19729" spans="6:12" x14ac:dyDescent="0.3">
      <c r="F19729" s="1"/>
      <c r="L19729" s="1"/>
    </row>
    <row r="19730" spans="6:12" x14ac:dyDescent="0.3">
      <c r="F19730" s="1"/>
    </row>
    <row r="19731" spans="6:12" x14ac:dyDescent="0.3">
      <c r="F19731" s="1"/>
    </row>
    <row r="19732" spans="6:12" x14ac:dyDescent="0.3">
      <c r="F19732" s="1"/>
    </row>
    <row r="19733" spans="6:12" x14ac:dyDescent="0.3">
      <c r="F19733" s="1"/>
    </row>
    <row r="19734" spans="6:12" x14ac:dyDescent="0.3">
      <c r="F19734" s="1"/>
    </row>
    <row r="19735" spans="6:12" x14ac:dyDescent="0.3">
      <c r="F19735" s="1"/>
    </row>
    <row r="19736" spans="6:12" x14ac:dyDescent="0.3">
      <c r="F19736" s="1"/>
    </row>
    <row r="19738" spans="6:12" x14ac:dyDescent="0.3">
      <c r="F19738" s="1"/>
    </row>
    <row r="19739" spans="6:12" x14ac:dyDescent="0.3">
      <c r="F19739" s="1"/>
    </row>
    <row r="19740" spans="6:12" x14ac:dyDescent="0.3">
      <c r="F19740" s="1"/>
    </row>
    <row r="19741" spans="6:12" x14ac:dyDescent="0.3">
      <c r="F19741" s="1"/>
    </row>
    <row r="19742" spans="6:12" x14ac:dyDescent="0.3">
      <c r="F19742" s="1"/>
    </row>
    <row r="19743" spans="6:12" x14ac:dyDescent="0.3">
      <c r="F19743" s="1"/>
    </row>
    <row r="19744" spans="6:12" x14ac:dyDescent="0.3">
      <c r="F19744" s="1"/>
    </row>
    <row r="19745" spans="6:14" x14ac:dyDescent="0.3">
      <c r="F19745" s="1"/>
    </row>
    <row r="19746" spans="6:14" x14ac:dyDescent="0.3">
      <c r="F19746" s="1"/>
    </row>
    <row r="19747" spans="6:14" x14ac:dyDescent="0.3">
      <c r="F19747" s="1"/>
    </row>
    <row r="19748" spans="6:14" x14ac:dyDescent="0.3">
      <c r="F19748" s="1"/>
    </row>
    <row r="19749" spans="6:14" x14ac:dyDescent="0.3">
      <c r="F19749" s="1"/>
    </row>
    <row r="19750" spans="6:14" x14ac:dyDescent="0.3">
      <c r="F19750" s="1"/>
    </row>
    <row r="19751" spans="6:14" x14ac:dyDescent="0.3">
      <c r="F19751" s="1"/>
    </row>
    <row r="19753" spans="6:14" x14ac:dyDescent="0.3">
      <c r="N19753" s="1"/>
    </row>
    <row r="19754" spans="6:14" x14ac:dyDescent="0.3">
      <c r="F19754" s="1"/>
      <c r="L19754" s="1"/>
      <c r="N19754" s="1"/>
    </row>
    <row r="19755" spans="6:14" x14ac:dyDescent="0.3">
      <c r="F19755" s="1"/>
    </row>
    <row r="19756" spans="6:14" x14ac:dyDescent="0.3">
      <c r="F19756" s="1"/>
    </row>
    <row r="19757" spans="6:14" x14ac:dyDescent="0.3">
      <c r="L19757" s="1"/>
    </row>
    <row r="19759" spans="6:14" x14ac:dyDescent="0.3">
      <c r="F19759" s="1"/>
    </row>
    <row r="19760" spans="6:14" x14ac:dyDescent="0.3">
      <c r="F19760" s="1"/>
    </row>
    <row r="19761" spans="6:6" x14ac:dyDescent="0.3">
      <c r="F19761" s="1"/>
    </row>
    <row r="19763" spans="6:6" x14ac:dyDescent="0.3">
      <c r="F19763" s="1"/>
    </row>
    <row r="19765" spans="6:6" x14ac:dyDescent="0.3">
      <c r="F19765" s="1"/>
    </row>
    <row r="19766" spans="6:6" x14ac:dyDescent="0.3">
      <c r="F19766" s="1"/>
    </row>
    <row r="19767" spans="6:6" x14ac:dyDescent="0.3">
      <c r="F19767" s="1"/>
    </row>
    <row r="19768" spans="6:6" x14ac:dyDescent="0.3">
      <c r="F19768" s="1"/>
    </row>
    <row r="19769" spans="6:6" x14ac:dyDescent="0.3">
      <c r="F19769" s="1"/>
    </row>
    <row r="19770" spans="6:6" x14ac:dyDescent="0.3">
      <c r="F19770" s="1"/>
    </row>
    <row r="19771" spans="6:6" x14ac:dyDescent="0.3">
      <c r="F19771" s="1"/>
    </row>
    <row r="19772" spans="6:6" x14ac:dyDescent="0.3">
      <c r="F19772" s="1"/>
    </row>
    <row r="19773" spans="6:6" x14ac:dyDescent="0.3">
      <c r="F19773" s="1"/>
    </row>
    <row r="19774" spans="6:6" x14ac:dyDescent="0.3">
      <c r="F19774" s="1"/>
    </row>
    <row r="19775" spans="6:6" x14ac:dyDescent="0.3">
      <c r="F19775" s="1"/>
    </row>
    <row r="19776" spans="6:6" x14ac:dyDescent="0.3">
      <c r="F19776" s="1"/>
    </row>
    <row r="19777" spans="6:14" x14ac:dyDescent="0.3">
      <c r="F19777" s="1"/>
    </row>
    <row r="19778" spans="6:14" x14ac:dyDescent="0.3">
      <c r="F19778" s="1"/>
    </row>
    <row r="19779" spans="6:14" x14ac:dyDescent="0.3">
      <c r="F19779" s="1"/>
      <c r="N19779" s="1"/>
    </row>
    <row r="19780" spans="6:14" x14ac:dyDescent="0.3">
      <c r="F19780" s="1"/>
    </row>
    <row r="19781" spans="6:14" x14ac:dyDescent="0.3">
      <c r="F19781" s="1"/>
      <c r="L19781" s="1"/>
      <c r="M19781" s="1"/>
      <c r="N19781" s="1"/>
    </row>
    <row r="19783" spans="6:14" x14ac:dyDescent="0.3">
      <c r="F19783" s="1"/>
      <c r="M19783" s="1"/>
    </row>
    <row r="19784" spans="6:14" x14ac:dyDescent="0.3">
      <c r="F19784" s="1"/>
    </row>
    <row r="19785" spans="6:14" x14ac:dyDescent="0.3">
      <c r="F19785" s="1"/>
    </row>
    <row r="19787" spans="6:14" x14ac:dyDescent="0.3">
      <c r="F19787" s="1"/>
    </row>
    <row r="19788" spans="6:14" x14ac:dyDescent="0.3">
      <c r="F19788" s="1"/>
    </row>
    <row r="19789" spans="6:14" x14ac:dyDescent="0.3">
      <c r="F19789" s="1"/>
    </row>
    <row r="19790" spans="6:14" x14ac:dyDescent="0.3">
      <c r="F19790" s="1"/>
    </row>
    <row r="19792" spans="6:14" x14ac:dyDescent="0.3">
      <c r="F19792" s="1"/>
    </row>
    <row r="19793" spans="6:15" x14ac:dyDescent="0.3">
      <c r="F19793" s="1"/>
    </row>
    <row r="19795" spans="6:15" x14ac:dyDescent="0.3">
      <c r="F19795" s="1"/>
    </row>
    <row r="19796" spans="6:15" x14ac:dyDescent="0.3">
      <c r="F19796" s="1"/>
    </row>
    <row r="19797" spans="6:15" x14ac:dyDescent="0.3">
      <c r="F19797" s="1"/>
    </row>
    <row r="19798" spans="6:15" x14ac:dyDescent="0.3">
      <c r="F19798" s="1"/>
    </row>
    <row r="19799" spans="6:15" x14ac:dyDescent="0.3">
      <c r="F19799" s="1"/>
    </row>
    <row r="19801" spans="6:15" x14ac:dyDescent="0.3">
      <c r="F19801" s="1"/>
      <c r="L19801" s="1"/>
    </row>
    <row r="19802" spans="6:15" x14ac:dyDescent="0.3">
      <c r="F19802" s="1"/>
    </row>
    <row r="19803" spans="6:15" x14ac:dyDescent="0.3">
      <c r="F19803" s="1"/>
    </row>
    <row r="19804" spans="6:15" x14ac:dyDescent="0.3">
      <c r="F19804" s="1"/>
      <c r="O19804" s="1"/>
    </row>
    <row r="19805" spans="6:15" x14ac:dyDescent="0.3">
      <c r="F19805" s="1"/>
    </row>
    <row r="19806" spans="6:15" x14ac:dyDescent="0.3">
      <c r="N19806" s="1"/>
    </row>
    <row r="19807" spans="6:15" x14ac:dyDescent="0.3">
      <c r="F19807" s="1"/>
    </row>
    <row r="19808" spans="6:15" x14ac:dyDescent="0.3">
      <c r="F19808" s="1"/>
    </row>
    <row r="19809" spans="6:13" x14ac:dyDescent="0.3">
      <c r="F19809" s="1"/>
    </row>
    <row r="19810" spans="6:13" x14ac:dyDescent="0.3">
      <c r="F19810" s="1"/>
    </row>
    <row r="19811" spans="6:13" x14ac:dyDescent="0.3">
      <c r="F19811" s="1"/>
    </row>
    <row r="19812" spans="6:13" x14ac:dyDescent="0.3">
      <c r="F19812" s="1"/>
    </row>
    <row r="19813" spans="6:13" x14ac:dyDescent="0.3">
      <c r="F19813" s="1"/>
    </row>
    <row r="19814" spans="6:13" x14ac:dyDescent="0.3">
      <c r="F19814" s="1"/>
    </row>
    <row r="19815" spans="6:13" x14ac:dyDescent="0.3">
      <c r="F19815" s="1"/>
    </row>
    <row r="19816" spans="6:13" x14ac:dyDescent="0.3">
      <c r="F19816" s="1"/>
    </row>
    <row r="19817" spans="6:13" x14ac:dyDescent="0.3">
      <c r="F19817" s="1"/>
    </row>
    <row r="19818" spans="6:13" x14ac:dyDescent="0.3">
      <c r="F19818" s="1"/>
      <c r="M19818" s="1"/>
    </row>
    <row r="19819" spans="6:13" x14ac:dyDescent="0.3">
      <c r="F19819" s="1"/>
    </row>
    <row r="19820" spans="6:13" x14ac:dyDescent="0.3">
      <c r="F19820" s="1"/>
    </row>
    <row r="19822" spans="6:13" x14ac:dyDescent="0.3">
      <c r="F19822" s="1"/>
    </row>
    <row r="19823" spans="6:13" x14ac:dyDescent="0.3">
      <c r="F19823" s="1"/>
    </row>
    <row r="19824" spans="6:13" x14ac:dyDescent="0.3">
      <c r="L19824" s="1"/>
      <c r="M19824" s="1"/>
    </row>
    <row r="19825" spans="6:15" x14ac:dyDescent="0.3">
      <c r="F19825" s="1"/>
    </row>
    <row r="19826" spans="6:15" x14ac:dyDescent="0.3">
      <c r="F19826" s="1"/>
    </row>
    <row r="19827" spans="6:15" x14ac:dyDescent="0.3">
      <c r="F19827" s="1"/>
    </row>
    <row r="19828" spans="6:15" x14ac:dyDescent="0.3">
      <c r="L19828" s="1"/>
      <c r="N19828" s="1"/>
    </row>
    <row r="19829" spans="6:15" x14ac:dyDescent="0.3">
      <c r="F19829" s="1"/>
      <c r="L19829" s="1"/>
      <c r="O19829" s="1"/>
    </row>
    <row r="19830" spans="6:15" x14ac:dyDescent="0.3">
      <c r="F19830" s="1"/>
    </row>
    <row r="19831" spans="6:15" x14ac:dyDescent="0.3">
      <c r="F19831" s="1"/>
    </row>
    <row r="19832" spans="6:15" x14ac:dyDescent="0.3">
      <c r="F19832" s="1"/>
    </row>
    <row r="19833" spans="6:15" x14ac:dyDescent="0.3">
      <c r="F19833" s="1"/>
    </row>
    <row r="19834" spans="6:15" x14ac:dyDescent="0.3">
      <c r="F19834" s="1"/>
    </row>
    <row r="19835" spans="6:15" x14ac:dyDescent="0.3">
      <c r="F19835" s="1"/>
    </row>
    <row r="19838" spans="6:15" x14ac:dyDescent="0.3">
      <c r="F19838" s="1"/>
    </row>
    <row r="19839" spans="6:15" x14ac:dyDescent="0.3">
      <c r="F19839" s="1"/>
    </row>
    <row r="19840" spans="6:15" x14ac:dyDescent="0.3">
      <c r="F19840" s="1"/>
    </row>
    <row r="19841" spans="6:6" x14ac:dyDescent="0.3">
      <c r="F19841" s="1"/>
    </row>
    <row r="19842" spans="6:6" x14ac:dyDescent="0.3">
      <c r="F19842" s="1"/>
    </row>
    <row r="19843" spans="6:6" x14ac:dyDescent="0.3">
      <c r="F19843" s="1"/>
    </row>
    <row r="19844" spans="6:6" x14ac:dyDescent="0.3">
      <c r="F19844" s="1"/>
    </row>
    <row r="19845" spans="6:6" x14ac:dyDescent="0.3">
      <c r="F19845" s="1"/>
    </row>
    <row r="19847" spans="6:6" x14ac:dyDescent="0.3">
      <c r="F19847" s="1"/>
    </row>
    <row r="19849" spans="6:6" x14ac:dyDescent="0.3">
      <c r="F19849" s="1"/>
    </row>
    <row r="19850" spans="6:6" x14ac:dyDescent="0.3">
      <c r="F19850" s="1"/>
    </row>
    <row r="19851" spans="6:6" x14ac:dyDescent="0.3">
      <c r="F19851" s="1"/>
    </row>
    <row r="19852" spans="6:6" x14ac:dyDescent="0.3">
      <c r="F19852" s="1"/>
    </row>
    <row r="19853" spans="6:6" x14ac:dyDescent="0.3">
      <c r="F19853" s="1"/>
    </row>
    <row r="19854" spans="6:6" x14ac:dyDescent="0.3">
      <c r="F19854" s="1"/>
    </row>
    <row r="19855" spans="6:6" x14ac:dyDescent="0.3">
      <c r="F19855" s="1"/>
    </row>
    <row r="19857" spans="6:14" x14ac:dyDescent="0.3">
      <c r="F19857" s="1"/>
    </row>
    <row r="19858" spans="6:14" x14ac:dyDescent="0.3">
      <c r="F19858" s="1"/>
    </row>
    <row r="19861" spans="6:14" x14ac:dyDescent="0.3">
      <c r="F19861" s="1"/>
    </row>
    <row r="19862" spans="6:14" x14ac:dyDescent="0.3">
      <c r="F19862" s="1"/>
    </row>
    <row r="19863" spans="6:14" x14ac:dyDescent="0.3">
      <c r="F19863" s="1"/>
    </row>
    <row r="19864" spans="6:14" x14ac:dyDescent="0.3">
      <c r="F19864" s="1"/>
    </row>
    <row r="19865" spans="6:14" x14ac:dyDescent="0.3">
      <c r="F19865" s="1"/>
    </row>
    <row r="19866" spans="6:14" x14ac:dyDescent="0.3">
      <c r="F19866" s="1"/>
    </row>
    <row r="19867" spans="6:14" x14ac:dyDescent="0.3">
      <c r="F19867" s="1"/>
    </row>
    <row r="19869" spans="6:14" x14ac:dyDescent="0.3">
      <c r="F19869" s="1"/>
    </row>
    <row r="19870" spans="6:14" x14ac:dyDescent="0.3">
      <c r="F19870" s="1"/>
    </row>
    <row r="19871" spans="6:14" x14ac:dyDescent="0.3">
      <c r="L19871" s="1"/>
      <c r="N19871" s="1"/>
    </row>
    <row r="19872" spans="6:14" x14ac:dyDescent="0.3">
      <c r="F19872" s="1"/>
    </row>
    <row r="19873" spans="6:14" x14ac:dyDescent="0.3">
      <c r="F19873" s="1"/>
    </row>
    <row r="19874" spans="6:14" x14ac:dyDescent="0.3">
      <c r="F19874" s="1"/>
    </row>
    <row r="19875" spans="6:14" x14ac:dyDescent="0.3">
      <c r="F19875" s="1"/>
    </row>
    <row r="19876" spans="6:14" x14ac:dyDescent="0.3">
      <c r="F19876" s="1"/>
    </row>
    <row r="19877" spans="6:14" x14ac:dyDescent="0.3">
      <c r="F19877" s="1"/>
      <c r="L19877" s="1"/>
      <c r="N19877" s="1"/>
    </row>
    <row r="19878" spans="6:14" x14ac:dyDescent="0.3">
      <c r="F19878" s="1"/>
    </row>
    <row r="19879" spans="6:14" x14ac:dyDescent="0.3">
      <c r="F19879" s="1"/>
    </row>
    <row r="19881" spans="6:14" x14ac:dyDescent="0.3">
      <c r="F19881" s="1"/>
    </row>
    <row r="19882" spans="6:14" x14ac:dyDescent="0.3">
      <c r="F19882" s="1"/>
    </row>
    <row r="19885" spans="6:14" x14ac:dyDescent="0.3">
      <c r="F19885" s="1"/>
    </row>
    <row r="19886" spans="6:14" x14ac:dyDescent="0.3">
      <c r="F19886" s="1"/>
    </row>
    <row r="19887" spans="6:14" x14ac:dyDescent="0.3">
      <c r="F19887" s="1"/>
    </row>
    <row r="19888" spans="6:14" x14ac:dyDescent="0.3">
      <c r="F19888" s="1"/>
    </row>
    <row r="19889" spans="6:12" x14ac:dyDescent="0.3">
      <c r="F19889" s="1"/>
    </row>
    <row r="19890" spans="6:12" x14ac:dyDescent="0.3">
      <c r="F19890" s="1"/>
    </row>
    <row r="19892" spans="6:12" x14ac:dyDescent="0.3">
      <c r="F19892" s="1"/>
    </row>
    <row r="19893" spans="6:12" x14ac:dyDescent="0.3">
      <c r="F19893" s="1"/>
    </row>
    <row r="19894" spans="6:12" x14ac:dyDescent="0.3">
      <c r="F19894" s="1"/>
    </row>
    <row r="19895" spans="6:12" x14ac:dyDescent="0.3">
      <c r="F19895" s="1"/>
    </row>
    <row r="19896" spans="6:12" x14ac:dyDescent="0.3">
      <c r="F19896" s="1"/>
    </row>
    <row r="19897" spans="6:12" x14ac:dyDescent="0.3">
      <c r="F19897" s="1"/>
    </row>
    <row r="19898" spans="6:12" x14ac:dyDescent="0.3">
      <c r="F19898" s="1"/>
    </row>
    <row r="19902" spans="6:12" x14ac:dyDescent="0.3">
      <c r="F19902" s="1"/>
    </row>
    <row r="19903" spans="6:12" x14ac:dyDescent="0.3">
      <c r="F19903" s="1"/>
    </row>
    <row r="19904" spans="6:12" x14ac:dyDescent="0.3">
      <c r="L19904" s="1"/>
    </row>
    <row r="19905" spans="6:15" x14ac:dyDescent="0.3">
      <c r="F19905" s="1"/>
    </row>
    <row r="19906" spans="6:15" x14ac:dyDescent="0.3">
      <c r="F19906" s="1"/>
    </row>
    <row r="19907" spans="6:15" x14ac:dyDescent="0.3">
      <c r="F19907" s="1"/>
    </row>
    <row r="19908" spans="6:15" x14ac:dyDescent="0.3">
      <c r="F19908" s="1"/>
    </row>
    <row r="19909" spans="6:15" x14ac:dyDescent="0.3">
      <c r="F19909" s="1"/>
    </row>
    <row r="19910" spans="6:15" x14ac:dyDescent="0.3">
      <c r="F19910" s="1"/>
    </row>
    <row r="19911" spans="6:15" x14ac:dyDescent="0.3">
      <c r="F19911" s="1"/>
    </row>
    <row r="19912" spans="6:15" x14ac:dyDescent="0.3">
      <c r="F19912" s="1"/>
    </row>
    <row r="19913" spans="6:15" x14ac:dyDescent="0.3">
      <c r="F19913" s="1"/>
    </row>
    <row r="19914" spans="6:15" x14ac:dyDescent="0.3">
      <c r="F19914" s="1"/>
    </row>
    <row r="19915" spans="6:15" x14ac:dyDescent="0.3">
      <c r="F19915" s="1"/>
    </row>
    <row r="19916" spans="6:15" x14ac:dyDescent="0.3">
      <c r="F19916" s="1"/>
      <c r="O19916" s="1"/>
    </row>
    <row r="19917" spans="6:15" x14ac:dyDescent="0.3">
      <c r="F19917" s="1"/>
    </row>
    <row r="19918" spans="6:15" x14ac:dyDescent="0.3">
      <c r="L19918" s="1"/>
      <c r="M19918" s="1"/>
      <c r="O19918" s="1"/>
    </row>
    <row r="19919" spans="6:15" x14ac:dyDescent="0.3">
      <c r="F19919" s="1"/>
    </row>
    <row r="19920" spans="6:15" x14ac:dyDescent="0.3">
      <c r="F19920" s="1"/>
    </row>
    <row r="19921" spans="6:15" x14ac:dyDescent="0.3">
      <c r="F19921" s="1"/>
    </row>
    <row r="19922" spans="6:15" x14ac:dyDescent="0.3">
      <c r="F19922" s="1"/>
    </row>
    <row r="19923" spans="6:15" x14ac:dyDescent="0.3">
      <c r="F19923" s="1"/>
      <c r="M19923" s="1"/>
    </row>
    <row r="19925" spans="6:15" x14ac:dyDescent="0.3">
      <c r="F19925" s="1"/>
    </row>
    <row r="19926" spans="6:15" x14ac:dyDescent="0.3">
      <c r="F19926" s="1"/>
    </row>
    <row r="19927" spans="6:15" x14ac:dyDescent="0.3">
      <c r="F19927" s="1"/>
    </row>
    <row r="19928" spans="6:15" x14ac:dyDescent="0.3">
      <c r="F19928" s="1"/>
      <c r="L19928" s="1"/>
      <c r="N19928" s="1"/>
      <c r="O19928" s="1"/>
    </row>
    <row r="19929" spans="6:15" x14ac:dyDescent="0.3">
      <c r="F19929" s="1"/>
    </row>
    <row r="19930" spans="6:15" x14ac:dyDescent="0.3">
      <c r="F19930" s="1"/>
    </row>
    <row r="19931" spans="6:15" x14ac:dyDescent="0.3">
      <c r="F19931" s="1"/>
    </row>
    <row r="19932" spans="6:15" x14ac:dyDescent="0.3">
      <c r="F19932" s="1"/>
    </row>
    <row r="19933" spans="6:15" x14ac:dyDescent="0.3">
      <c r="F19933" s="1"/>
    </row>
    <row r="19934" spans="6:15" x14ac:dyDescent="0.3">
      <c r="F19934" s="1"/>
    </row>
    <row r="19935" spans="6:15" x14ac:dyDescent="0.3">
      <c r="F19935" s="1"/>
    </row>
    <row r="19936" spans="6:15" x14ac:dyDescent="0.3">
      <c r="F19936" s="1"/>
    </row>
    <row r="19937" spans="6:15" x14ac:dyDescent="0.3">
      <c r="F19937" s="1"/>
    </row>
    <row r="19938" spans="6:15" x14ac:dyDescent="0.3">
      <c r="F19938" s="1"/>
    </row>
    <row r="19939" spans="6:15" x14ac:dyDescent="0.3">
      <c r="F19939" s="1"/>
    </row>
    <row r="19940" spans="6:15" x14ac:dyDescent="0.3">
      <c r="F19940" s="1"/>
    </row>
    <row r="19941" spans="6:15" x14ac:dyDescent="0.3">
      <c r="F19941" s="1"/>
    </row>
    <row r="19942" spans="6:15" x14ac:dyDescent="0.3">
      <c r="F19942" s="1"/>
    </row>
    <row r="19943" spans="6:15" x14ac:dyDescent="0.3">
      <c r="F19943" s="1"/>
    </row>
    <row r="19944" spans="6:15" x14ac:dyDescent="0.3">
      <c r="F19944" s="1"/>
    </row>
    <row r="19945" spans="6:15" x14ac:dyDescent="0.3">
      <c r="F19945" s="1"/>
    </row>
    <row r="19946" spans="6:15" x14ac:dyDescent="0.3">
      <c r="F19946" s="1"/>
    </row>
    <row r="19947" spans="6:15" x14ac:dyDescent="0.3">
      <c r="F19947" s="1"/>
      <c r="L19947" s="1"/>
      <c r="M19947" s="1"/>
    </row>
    <row r="19948" spans="6:15" x14ac:dyDescent="0.3">
      <c r="F19948" s="1"/>
    </row>
    <row r="19950" spans="6:15" x14ac:dyDescent="0.3">
      <c r="F19950" s="1"/>
      <c r="M19950" s="1"/>
    </row>
    <row r="19951" spans="6:15" x14ac:dyDescent="0.3">
      <c r="F19951" s="1"/>
      <c r="L19951" s="1"/>
      <c r="M19951" s="1"/>
      <c r="N19951" s="1"/>
      <c r="O19951" s="1"/>
    </row>
    <row r="19952" spans="6:15" x14ac:dyDescent="0.3">
      <c r="F19952" s="1"/>
    </row>
    <row r="19953" spans="6:15" x14ac:dyDescent="0.3">
      <c r="F19953" s="1"/>
    </row>
    <row r="19954" spans="6:15" x14ac:dyDescent="0.3">
      <c r="F19954" s="1"/>
    </row>
    <row r="19956" spans="6:15" x14ac:dyDescent="0.3">
      <c r="F19956" s="1"/>
    </row>
    <row r="19958" spans="6:15" x14ac:dyDescent="0.3">
      <c r="F19958" s="1"/>
    </row>
    <row r="19959" spans="6:15" x14ac:dyDescent="0.3">
      <c r="F19959" s="1"/>
    </row>
    <row r="19960" spans="6:15" x14ac:dyDescent="0.3">
      <c r="F19960" s="1"/>
    </row>
    <row r="19961" spans="6:15" x14ac:dyDescent="0.3">
      <c r="F19961" s="1"/>
    </row>
    <row r="19962" spans="6:15" x14ac:dyDescent="0.3">
      <c r="F19962" s="1"/>
      <c r="L19962" s="1"/>
      <c r="M19962" s="1"/>
      <c r="N19962" s="1"/>
      <c r="O19962" s="1"/>
    </row>
    <row r="19963" spans="6:15" x14ac:dyDescent="0.3">
      <c r="F19963" s="1"/>
    </row>
    <row r="19965" spans="6:15" x14ac:dyDescent="0.3">
      <c r="F19965" s="1"/>
    </row>
    <row r="19966" spans="6:15" x14ac:dyDescent="0.3">
      <c r="M19966" s="1"/>
      <c r="O19966" s="1"/>
    </row>
    <row r="19967" spans="6:15" x14ac:dyDescent="0.3">
      <c r="F19967" s="1"/>
      <c r="M19967" s="1"/>
    </row>
    <row r="19968" spans="6:15" x14ac:dyDescent="0.3">
      <c r="F19968" s="1"/>
    </row>
    <row r="19969" spans="6:12" x14ac:dyDescent="0.3">
      <c r="F19969" s="1"/>
    </row>
    <row r="19970" spans="6:12" x14ac:dyDescent="0.3">
      <c r="F19970" s="1"/>
    </row>
    <row r="19971" spans="6:12" x14ac:dyDescent="0.3">
      <c r="F19971" s="1"/>
      <c r="L19971" s="1"/>
    </row>
    <row r="19972" spans="6:12" x14ac:dyDescent="0.3">
      <c r="F19972" s="1"/>
    </row>
    <row r="19973" spans="6:12" x14ac:dyDescent="0.3">
      <c r="F19973" s="1"/>
    </row>
    <row r="19974" spans="6:12" x14ac:dyDescent="0.3">
      <c r="F19974" s="1"/>
    </row>
    <row r="19976" spans="6:12" x14ac:dyDescent="0.3">
      <c r="F19976" s="1"/>
    </row>
    <row r="19977" spans="6:12" x14ac:dyDescent="0.3">
      <c r="F19977" s="1"/>
    </row>
    <row r="19979" spans="6:12" x14ac:dyDescent="0.3">
      <c r="F19979" s="1"/>
    </row>
    <row r="19980" spans="6:12" x14ac:dyDescent="0.3">
      <c r="F19980" s="1"/>
    </row>
    <row r="19981" spans="6:12" x14ac:dyDescent="0.3">
      <c r="F19981" s="1"/>
    </row>
    <row r="19982" spans="6:12" x14ac:dyDescent="0.3">
      <c r="F19982" s="1"/>
    </row>
    <row r="19984" spans="6:12" x14ac:dyDescent="0.3">
      <c r="F19984" s="1"/>
    </row>
    <row r="19985" spans="6:15" x14ac:dyDescent="0.3">
      <c r="F19985" s="1"/>
    </row>
    <row r="19986" spans="6:15" x14ac:dyDescent="0.3">
      <c r="F19986" s="1"/>
      <c r="O19986" s="1"/>
    </row>
    <row r="19987" spans="6:15" x14ac:dyDescent="0.3">
      <c r="F19987" s="1"/>
    </row>
    <row r="19988" spans="6:15" x14ac:dyDescent="0.3">
      <c r="F19988" s="1"/>
    </row>
    <row r="19989" spans="6:15" x14ac:dyDescent="0.3">
      <c r="F19989" s="1"/>
    </row>
    <row r="19990" spans="6:15" x14ac:dyDescent="0.3">
      <c r="F19990" s="1"/>
    </row>
    <row r="19992" spans="6:15" x14ac:dyDescent="0.3">
      <c r="F19992" s="1"/>
    </row>
    <row r="19994" spans="6:15" x14ac:dyDescent="0.3">
      <c r="F19994" s="1"/>
    </row>
    <row r="19995" spans="6:15" x14ac:dyDescent="0.3">
      <c r="F19995" s="1"/>
    </row>
    <row r="19998" spans="6:15" x14ac:dyDescent="0.3">
      <c r="F19998" s="1"/>
    </row>
    <row r="19999" spans="6:15" x14ac:dyDescent="0.3">
      <c r="F19999" s="1"/>
    </row>
    <row r="20000" spans="6:15" x14ac:dyDescent="0.3">
      <c r="F20000" s="1"/>
    </row>
    <row r="20001" spans="6:15" x14ac:dyDescent="0.3">
      <c r="F20001" s="1"/>
    </row>
    <row r="20003" spans="6:15" x14ac:dyDescent="0.3">
      <c r="F20003" s="1"/>
    </row>
    <row r="20004" spans="6:15" x14ac:dyDescent="0.3">
      <c r="F20004" s="1"/>
    </row>
    <row r="20005" spans="6:15" x14ac:dyDescent="0.3">
      <c r="N20005" s="1"/>
    </row>
    <row r="20007" spans="6:15" x14ac:dyDescent="0.3">
      <c r="F20007" s="1"/>
    </row>
    <row r="20008" spans="6:15" x14ac:dyDescent="0.3">
      <c r="F20008" s="1"/>
      <c r="N20008" s="1"/>
      <c r="O20008" s="1"/>
    </row>
    <row r="20009" spans="6:15" x14ac:dyDescent="0.3">
      <c r="F20009" s="1"/>
    </row>
    <row r="20010" spans="6:15" x14ac:dyDescent="0.3">
      <c r="F20010" s="1"/>
    </row>
    <row r="20011" spans="6:15" x14ac:dyDescent="0.3">
      <c r="F20011" s="1"/>
    </row>
    <row r="20012" spans="6:15" x14ac:dyDescent="0.3">
      <c r="F20012" s="1"/>
    </row>
    <row r="20013" spans="6:15" x14ac:dyDescent="0.3">
      <c r="F20013" s="1"/>
    </row>
    <row r="20014" spans="6:15" x14ac:dyDescent="0.3">
      <c r="F20014" s="1"/>
    </row>
    <row r="20015" spans="6:15" x14ac:dyDescent="0.3">
      <c r="F20015" s="1"/>
    </row>
    <row r="20017" spans="6:6" x14ac:dyDescent="0.3">
      <c r="F20017" s="1"/>
    </row>
    <row r="20018" spans="6:6" x14ac:dyDescent="0.3">
      <c r="F20018" s="1"/>
    </row>
    <row r="20019" spans="6:6" x14ac:dyDescent="0.3">
      <c r="F20019" s="1"/>
    </row>
    <row r="20020" spans="6:6" x14ac:dyDescent="0.3">
      <c r="F20020" s="1"/>
    </row>
    <row r="20021" spans="6:6" x14ac:dyDescent="0.3">
      <c r="F20021" s="1"/>
    </row>
    <row r="20022" spans="6:6" x14ac:dyDescent="0.3">
      <c r="F20022" s="1"/>
    </row>
    <row r="20023" spans="6:6" x14ac:dyDescent="0.3">
      <c r="F20023" s="1"/>
    </row>
    <row r="20024" spans="6:6" x14ac:dyDescent="0.3">
      <c r="F20024" s="1"/>
    </row>
    <row r="20025" spans="6:6" x14ac:dyDescent="0.3">
      <c r="F20025" s="1"/>
    </row>
    <row r="20026" spans="6:6" x14ac:dyDescent="0.3">
      <c r="F20026" s="1"/>
    </row>
    <row r="20027" spans="6:6" x14ac:dyDescent="0.3">
      <c r="F20027" s="1"/>
    </row>
    <row r="20029" spans="6:6" x14ac:dyDescent="0.3">
      <c r="F20029" s="1"/>
    </row>
    <row r="20030" spans="6:6" x14ac:dyDescent="0.3">
      <c r="F20030" s="1"/>
    </row>
    <row r="20031" spans="6:6" x14ac:dyDescent="0.3">
      <c r="F20031" s="1"/>
    </row>
    <row r="20032" spans="6:6" x14ac:dyDescent="0.3">
      <c r="F20032" s="1"/>
    </row>
    <row r="20033" spans="6:14" x14ac:dyDescent="0.3">
      <c r="F20033" s="1"/>
    </row>
    <row r="20034" spans="6:14" x14ac:dyDescent="0.3">
      <c r="F20034" s="1"/>
    </row>
    <row r="20035" spans="6:14" x14ac:dyDescent="0.3">
      <c r="F20035" s="1"/>
    </row>
    <row r="20036" spans="6:14" x14ac:dyDescent="0.3">
      <c r="F20036" s="1"/>
      <c r="N20036" s="1"/>
    </row>
    <row r="20037" spans="6:14" x14ac:dyDescent="0.3">
      <c r="F20037" s="1"/>
    </row>
    <row r="20038" spans="6:14" x14ac:dyDescent="0.3">
      <c r="F20038" s="1"/>
    </row>
    <row r="20039" spans="6:14" x14ac:dyDescent="0.3">
      <c r="F20039" s="1"/>
    </row>
    <row r="20040" spans="6:14" x14ac:dyDescent="0.3">
      <c r="F20040" s="1"/>
    </row>
    <row r="20042" spans="6:14" x14ac:dyDescent="0.3">
      <c r="F20042" s="1"/>
    </row>
    <row r="20044" spans="6:14" x14ac:dyDescent="0.3">
      <c r="F20044" s="1"/>
    </row>
    <row r="20045" spans="6:14" x14ac:dyDescent="0.3">
      <c r="F20045" s="1"/>
    </row>
    <row r="20047" spans="6:14" x14ac:dyDescent="0.3">
      <c r="F20047" s="1"/>
    </row>
    <row r="20048" spans="6:14" x14ac:dyDescent="0.3">
      <c r="F20048" s="1"/>
      <c r="L20048" s="1"/>
    </row>
    <row r="20049" spans="6:15" x14ac:dyDescent="0.3">
      <c r="F20049" s="1"/>
    </row>
    <row r="20050" spans="6:15" x14ac:dyDescent="0.3">
      <c r="F20050" s="1"/>
    </row>
    <row r="20051" spans="6:15" x14ac:dyDescent="0.3">
      <c r="F20051" s="1"/>
    </row>
    <row r="20052" spans="6:15" x14ac:dyDescent="0.3">
      <c r="F20052" s="1"/>
    </row>
    <row r="20053" spans="6:15" x14ac:dyDescent="0.3">
      <c r="F20053" s="1"/>
    </row>
    <row r="20054" spans="6:15" x14ac:dyDescent="0.3">
      <c r="F20054" s="1"/>
    </row>
    <row r="20055" spans="6:15" x14ac:dyDescent="0.3">
      <c r="F20055" s="1"/>
    </row>
    <row r="20056" spans="6:15" x14ac:dyDescent="0.3">
      <c r="F20056" s="1"/>
    </row>
    <row r="20057" spans="6:15" x14ac:dyDescent="0.3">
      <c r="F20057" s="1"/>
    </row>
    <row r="20059" spans="6:15" x14ac:dyDescent="0.3">
      <c r="F20059" s="1"/>
    </row>
    <row r="20060" spans="6:15" x14ac:dyDescent="0.3">
      <c r="F20060" s="1"/>
    </row>
    <row r="20061" spans="6:15" x14ac:dyDescent="0.3">
      <c r="F20061" s="1"/>
    </row>
    <row r="20062" spans="6:15" x14ac:dyDescent="0.3">
      <c r="L20062" s="1"/>
      <c r="N20062" s="1"/>
      <c r="O20062" s="1"/>
    </row>
    <row r="20063" spans="6:15" x14ac:dyDescent="0.3">
      <c r="F20063" s="1"/>
    </row>
    <row r="20064" spans="6:15" x14ac:dyDescent="0.3">
      <c r="F20064" s="1"/>
    </row>
    <row r="20066" spans="6:13" x14ac:dyDescent="0.3">
      <c r="F20066" s="1"/>
    </row>
    <row r="20067" spans="6:13" x14ac:dyDescent="0.3">
      <c r="F20067" s="1"/>
    </row>
    <row r="20068" spans="6:13" x14ac:dyDescent="0.3">
      <c r="F20068" s="1"/>
    </row>
    <row r="20070" spans="6:13" x14ac:dyDescent="0.3">
      <c r="F20070" s="1"/>
    </row>
    <row r="20071" spans="6:13" x14ac:dyDescent="0.3">
      <c r="F20071" s="1"/>
    </row>
    <row r="20072" spans="6:13" x14ac:dyDescent="0.3">
      <c r="F20072" s="1"/>
    </row>
    <row r="20073" spans="6:13" x14ac:dyDescent="0.3">
      <c r="F20073" s="1"/>
    </row>
    <row r="20074" spans="6:13" x14ac:dyDescent="0.3">
      <c r="F20074" s="1"/>
    </row>
    <row r="20075" spans="6:13" x14ac:dyDescent="0.3">
      <c r="F20075" s="1"/>
    </row>
    <row r="20076" spans="6:13" x14ac:dyDescent="0.3">
      <c r="F20076" s="1"/>
      <c r="M20076" s="1"/>
    </row>
    <row r="20078" spans="6:13" x14ac:dyDescent="0.3">
      <c r="F20078" s="1"/>
    </row>
    <row r="20079" spans="6:13" x14ac:dyDescent="0.3">
      <c r="F20079" s="1"/>
    </row>
    <row r="20080" spans="6:13" x14ac:dyDescent="0.3">
      <c r="F20080" s="1"/>
    </row>
    <row r="20082" spans="6:6" x14ac:dyDescent="0.3">
      <c r="F20082" s="1"/>
    </row>
    <row r="20085" spans="6:6" x14ac:dyDescent="0.3">
      <c r="F20085" s="1"/>
    </row>
    <row r="20086" spans="6:6" x14ac:dyDescent="0.3">
      <c r="F20086" s="1"/>
    </row>
    <row r="20087" spans="6:6" x14ac:dyDescent="0.3">
      <c r="F20087" s="1"/>
    </row>
    <row r="20089" spans="6:6" x14ac:dyDescent="0.3">
      <c r="F20089" s="1"/>
    </row>
    <row r="20090" spans="6:6" x14ac:dyDescent="0.3">
      <c r="F20090" s="1"/>
    </row>
    <row r="20091" spans="6:6" x14ac:dyDescent="0.3">
      <c r="F20091" s="1"/>
    </row>
    <row r="20092" spans="6:6" x14ac:dyDescent="0.3">
      <c r="F20092" s="1"/>
    </row>
    <row r="20093" spans="6:6" x14ac:dyDescent="0.3">
      <c r="F20093" s="1"/>
    </row>
    <row r="20094" spans="6:6" x14ac:dyDescent="0.3">
      <c r="F20094" s="1"/>
    </row>
    <row r="20095" spans="6:6" x14ac:dyDescent="0.3">
      <c r="F20095" s="1"/>
    </row>
    <row r="20096" spans="6:6" x14ac:dyDescent="0.3">
      <c r="F20096" s="1"/>
    </row>
    <row r="20097" spans="6:15" x14ac:dyDescent="0.3">
      <c r="L20097" s="1"/>
      <c r="O20097" s="1"/>
    </row>
    <row r="20098" spans="6:15" x14ac:dyDescent="0.3">
      <c r="N20098" s="1"/>
    </row>
    <row r="20099" spans="6:15" x14ac:dyDescent="0.3">
      <c r="F20099" s="1"/>
    </row>
    <row r="20101" spans="6:15" x14ac:dyDescent="0.3">
      <c r="F20101" s="1"/>
    </row>
    <row r="20102" spans="6:15" x14ac:dyDescent="0.3">
      <c r="F20102" s="1"/>
    </row>
    <row r="20103" spans="6:15" x14ac:dyDescent="0.3">
      <c r="F20103" s="1"/>
    </row>
    <row r="20104" spans="6:15" x14ac:dyDescent="0.3">
      <c r="F20104" s="1"/>
    </row>
    <row r="20105" spans="6:15" x14ac:dyDescent="0.3">
      <c r="F20105" s="1"/>
    </row>
    <row r="20106" spans="6:15" x14ac:dyDescent="0.3">
      <c r="F20106" s="1"/>
    </row>
    <row r="20107" spans="6:15" x14ac:dyDescent="0.3">
      <c r="F20107" s="1"/>
    </row>
    <row r="20108" spans="6:15" x14ac:dyDescent="0.3">
      <c r="F20108" s="1"/>
    </row>
    <row r="20109" spans="6:15" x14ac:dyDescent="0.3">
      <c r="F20109" s="1"/>
    </row>
    <row r="20110" spans="6:15" x14ac:dyDescent="0.3">
      <c r="F20110" s="1"/>
    </row>
    <row r="20111" spans="6:15" x14ac:dyDescent="0.3">
      <c r="F20111" s="1"/>
    </row>
    <row r="20112" spans="6:15" x14ac:dyDescent="0.3">
      <c r="F20112" s="1"/>
    </row>
    <row r="20113" spans="6:14" x14ac:dyDescent="0.3">
      <c r="F20113" s="1"/>
    </row>
    <row r="20114" spans="6:14" x14ac:dyDescent="0.3">
      <c r="F20114" s="1"/>
    </row>
    <row r="20115" spans="6:14" x14ac:dyDescent="0.3">
      <c r="F20115" s="1"/>
    </row>
    <row r="20116" spans="6:14" x14ac:dyDescent="0.3">
      <c r="F20116" s="1"/>
    </row>
    <row r="20117" spans="6:14" x14ac:dyDescent="0.3">
      <c r="F20117" s="1"/>
    </row>
    <row r="20118" spans="6:14" x14ac:dyDescent="0.3">
      <c r="F20118" s="1"/>
    </row>
    <row r="20119" spans="6:14" x14ac:dyDescent="0.3">
      <c r="M20119" s="1"/>
      <c r="N20119" s="1"/>
    </row>
    <row r="20121" spans="6:14" x14ac:dyDescent="0.3">
      <c r="F20121" s="1"/>
    </row>
    <row r="20122" spans="6:14" x14ac:dyDescent="0.3">
      <c r="F20122" s="1"/>
    </row>
    <row r="20123" spans="6:14" x14ac:dyDescent="0.3">
      <c r="F20123" s="1"/>
      <c r="N20123" s="1"/>
    </row>
    <row r="20124" spans="6:14" x14ac:dyDescent="0.3">
      <c r="F20124" s="1"/>
    </row>
    <row r="20125" spans="6:14" x14ac:dyDescent="0.3">
      <c r="F20125" s="1"/>
    </row>
    <row r="20126" spans="6:14" x14ac:dyDescent="0.3">
      <c r="F20126" s="1"/>
    </row>
    <row r="20127" spans="6:14" x14ac:dyDescent="0.3">
      <c r="F20127" s="1"/>
    </row>
    <row r="20128" spans="6:14" x14ac:dyDescent="0.3">
      <c r="F20128" s="1"/>
    </row>
    <row r="20129" spans="6:6" x14ac:dyDescent="0.3">
      <c r="F20129" s="1"/>
    </row>
    <row r="20130" spans="6:6" x14ac:dyDescent="0.3">
      <c r="F20130" s="1"/>
    </row>
    <row r="20131" spans="6:6" x14ac:dyDescent="0.3">
      <c r="F20131" s="1"/>
    </row>
    <row r="20132" spans="6:6" x14ac:dyDescent="0.3">
      <c r="F20132" s="1"/>
    </row>
    <row r="20133" spans="6:6" x14ac:dyDescent="0.3">
      <c r="F20133" s="1"/>
    </row>
    <row r="20134" spans="6:6" x14ac:dyDescent="0.3">
      <c r="F20134" s="1"/>
    </row>
    <row r="20136" spans="6:6" x14ac:dyDescent="0.3">
      <c r="F20136" s="1"/>
    </row>
    <row r="20137" spans="6:6" x14ac:dyDescent="0.3">
      <c r="F20137" s="1"/>
    </row>
    <row r="20138" spans="6:6" x14ac:dyDescent="0.3">
      <c r="F20138" s="1"/>
    </row>
    <row r="20139" spans="6:6" x14ac:dyDescent="0.3">
      <c r="F20139" s="1"/>
    </row>
    <row r="20140" spans="6:6" x14ac:dyDescent="0.3">
      <c r="F20140" s="1"/>
    </row>
    <row r="20141" spans="6:6" x14ac:dyDescent="0.3">
      <c r="F20141" s="1"/>
    </row>
    <row r="20143" spans="6:6" x14ac:dyDescent="0.3">
      <c r="F20143" s="1"/>
    </row>
    <row r="20144" spans="6:6" x14ac:dyDescent="0.3">
      <c r="F20144" s="1"/>
    </row>
    <row r="20145" spans="6:14" x14ac:dyDescent="0.3">
      <c r="F20145" s="1"/>
      <c r="N20145" s="1"/>
    </row>
    <row r="20146" spans="6:14" x14ac:dyDescent="0.3">
      <c r="F20146" s="1"/>
      <c r="M20146" s="1"/>
      <c r="N20146" s="1"/>
    </row>
    <row r="20147" spans="6:14" x14ac:dyDescent="0.3">
      <c r="F20147" s="1"/>
    </row>
    <row r="20148" spans="6:14" x14ac:dyDescent="0.3">
      <c r="F20148" s="1"/>
    </row>
    <row r="20149" spans="6:14" x14ac:dyDescent="0.3">
      <c r="F20149" s="1"/>
    </row>
    <row r="20150" spans="6:14" x14ac:dyDescent="0.3">
      <c r="F20150" s="1"/>
    </row>
    <row r="20151" spans="6:14" x14ac:dyDescent="0.3">
      <c r="F20151" s="1"/>
    </row>
    <row r="20152" spans="6:14" x14ac:dyDescent="0.3">
      <c r="F20152" s="1"/>
    </row>
    <row r="20153" spans="6:14" x14ac:dyDescent="0.3">
      <c r="F20153" s="1"/>
    </row>
    <row r="20156" spans="6:14" x14ac:dyDescent="0.3">
      <c r="F20156" s="1"/>
    </row>
    <row r="20157" spans="6:14" x14ac:dyDescent="0.3">
      <c r="F20157" s="1"/>
    </row>
    <row r="20158" spans="6:14" x14ac:dyDescent="0.3">
      <c r="F20158" s="1"/>
    </row>
    <row r="20159" spans="6:14" x14ac:dyDescent="0.3">
      <c r="F20159" s="1"/>
    </row>
    <row r="20160" spans="6:14" x14ac:dyDescent="0.3">
      <c r="F20160" s="1"/>
    </row>
    <row r="20161" spans="6:14" x14ac:dyDescent="0.3">
      <c r="F20161" s="1"/>
    </row>
    <row r="20162" spans="6:14" x14ac:dyDescent="0.3">
      <c r="F20162" s="1"/>
    </row>
    <row r="20164" spans="6:14" x14ac:dyDescent="0.3">
      <c r="F20164" s="1"/>
    </row>
    <row r="20165" spans="6:14" x14ac:dyDescent="0.3">
      <c r="F20165" s="1"/>
    </row>
    <row r="20166" spans="6:14" x14ac:dyDescent="0.3">
      <c r="F20166" s="1"/>
    </row>
    <row r="20167" spans="6:14" x14ac:dyDescent="0.3">
      <c r="M20167" s="1"/>
    </row>
    <row r="20168" spans="6:14" x14ac:dyDescent="0.3">
      <c r="F20168" s="1"/>
    </row>
    <row r="20169" spans="6:14" x14ac:dyDescent="0.3">
      <c r="F20169" s="1"/>
      <c r="L20169" s="1"/>
      <c r="N20169" s="1"/>
    </row>
    <row r="20170" spans="6:14" x14ac:dyDescent="0.3">
      <c r="F20170" s="1"/>
    </row>
    <row r="20171" spans="6:14" x14ac:dyDescent="0.3">
      <c r="F20171" s="1"/>
    </row>
    <row r="20172" spans="6:14" x14ac:dyDescent="0.3">
      <c r="F20172" s="1"/>
    </row>
    <row r="20173" spans="6:14" x14ac:dyDescent="0.3">
      <c r="F20173" s="1"/>
    </row>
    <row r="20174" spans="6:14" x14ac:dyDescent="0.3">
      <c r="F20174" s="1"/>
    </row>
    <row r="20175" spans="6:14" x14ac:dyDescent="0.3">
      <c r="F20175" s="1"/>
    </row>
    <row r="20176" spans="6:14" x14ac:dyDescent="0.3">
      <c r="F20176" s="1"/>
    </row>
    <row r="20177" spans="6:15" x14ac:dyDescent="0.3">
      <c r="F20177" s="1"/>
    </row>
    <row r="20178" spans="6:15" x14ac:dyDescent="0.3">
      <c r="O20178" s="1"/>
    </row>
    <row r="20179" spans="6:15" x14ac:dyDescent="0.3">
      <c r="M20179" s="1"/>
    </row>
    <row r="20181" spans="6:15" x14ac:dyDescent="0.3">
      <c r="F20181" s="1"/>
      <c r="M20181" s="1"/>
      <c r="O20181" s="1"/>
    </row>
    <row r="20182" spans="6:15" x14ac:dyDescent="0.3">
      <c r="F20182" s="1"/>
    </row>
    <row r="20183" spans="6:15" x14ac:dyDescent="0.3">
      <c r="F20183" s="1"/>
      <c r="N20183" s="1"/>
    </row>
    <row r="20184" spans="6:15" x14ac:dyDescent="0.3">
      <c r="F20184" s="1"/>
      <c r="M20184" s="1"/>
    </row>
    <row r="20185" spans="6:15" x14ac:dyDescent="0.3">
      <c r="F20185" s="1"/>
    </row>
    <row r="20186" spans="6:15" x14ac:dyDescent="0.3">
      <c r="F20186" s="1"/>
    </row>
    <row r="20187" spans="6:15" x14ac:dyDescent="0.3">
      <c r="F20187" s="1"/>
    </row>
    <row r="20188" spans="6:15" x14ac:dyDescent="0.3">
      <c r="F20188" s="1"/>
    </row>
    <row r="20189" spans="6:15" x14ac:dyDescent="0.3">
      <c r="F20189" s="1"/>
    </row>
    <row r="20190" spans="6:15" x14ac:dyDescent="0.3">
      <c r="F20190" s="1"/>
    </row>
    <row r="20191" spans="6:15" x14ac:dyDescent="0.3">
      <c r="F20191" s="1"/>
    </row>
    <row r="20192" spans="6:15" x14ac:dyDescent="0.3">
      <c r="F20192" s="1"/>
    </row>
    <row r="20194" spans="6:13" x14ac:dyDescent="0.3">
      <c r="F20194" s="1"/>
    </row>
    <row r="20196" spans="6:13" x14ac:dyDescent="0.3">
      <c r="F20196" s="1"/>
      <c r="M20196" s="1"/>
    </row>
    <row r="20197" spans="6:13" x14ac:dyDescent="0.3">
      <c r="F20197" s="1"/>
    </row>
    <row r="20198" spans="6:13" x14ac:dyDescent="0.3">
      <c r="F20198" s="1"/>
    </row>
    <row r="20199" spans="6:13" x14ac:dyDescent="0.3">
      <c r="F20199" s="1"/>
    </row>
    <row r="20200" spans="6:13" x14ac:dyDescent="0.3">
      <c r="F20200" s="1"/>
    </row>
    <row r="20201" spans="6:13" x14ac:dyDescent="0.3">
      <c r="F20201" s="1"/>
    </row>
    <row r="20202" spans="6:13" x14ac:dyDescent="0.3">
      <c r="F20202" s="1"/>
    </row>
    <row r="20203" spans="6:13" x14ac:dyDescent="0.3">
      <c r="F20203" s="1"/>
    </row>
    <row r="20204" spans="6:13" x14ac:dyDescent="0.3">
      <c r="F20204" s="1"/>
    </row>
    <row r="20205" spans="6:13" x14ac:dyDescent="0.3">
      <c r="F20205" s="1"/>
    </row>
    <row r="20207" spans="6:13" x14ac:dyDescent="0.3">
      <c r="F20207" s="1"/>
    </row>
    <row r="20208" spans="6:13" x14ac:dyDescent="0.3">
      <c r="F20208" s="1"/>
    </row>
    <row r="20209" spans="6:14" x14ac:dyDescent="0.3">
      <c r="F20209" s="1"/>
    </row>
    <row r="20210" spans="6:14" x14ac:dyDescent="0.3">
      <c r="F20210" s="1"/>
      <c r="L20210" s="1"/>
      <c r="M20210" s="1"/>
      <c r="N20210" s="1"/>
    </row>
    <row r="20211" spans="6:14" x14ac:dyDescent="0.3">
      <c r="F20211" s="1"/>
    </row>
    <row r="20212" spans="6:14" x14ac:dyDescent="0.3">
      <c r="F20212" s="1"/>
    </row>
    <row r="20213" spans="6:14" x14ac:dyDescent="0.3">
      <c r="F20213" s="1"/>
    </row>
    <row r="20214" spans="6:14" x14ac:dyDescent="0.3">
      <c r="F20214" s="1"/>
    </row>
    <row r="20215" spans="6:14" x14ac:dyDescent="0.3">
      <c r="F20215" s="1"/>
    </row>
    <row r="20216" spans="6:14" x14ac:dyDescent="0.3">
      <c r="F20216" s="1"/>
    </row>
    <row r="20217" spans="6:14" x14ac:dyDescent="0.3">
      <c r="F20217" s="1"/>
    </row>
    <row r="20218" spans="6:14" x14ac:dyDescent="0.3">
      <c r="F20218" s="1"/>
    </row>
    <row r="20219" spans="6:14" x14ac:dyDescent="0.3">
      <c r="F20219" s="1"/>
    </row>
    <row r="20220" spans="6:14" x14ac:dyDescent="0.3">
      <c r="F20220" s="1"/>
    </row>
    <row r="20221" spans="6:14" x14ac:dyDescent="0.3">
      <c r="F20221" s="1"/>
    </row>
    <row r="20222" spans="6:14" x14ac:dyDescent="0.3">
      <c r="F20222" s="1"/>
    </row>
    <row r="20223" spans="6:14" x14ac:dyDescent="0.3">
      <c r="F20223" s="1"/>
    </row>
    <row r="20224" spans="6:14" x14ac:dyDescent="0.3">
      <c r="F20224" s="1"/>
    </row>
    <row r="20225" spans="6:15" x14ac:dyDescent="0.3">
      <c r="F20225" s="1"/>
    </row>
    <row r="20226" spans="6:15" x14ac:dyDescent="0.3">
      <c r="F20226" s="1"/>
      <c r="N20226" s="1"/>
    </row>
    <row r="20228" spans="6:15" x14ac:dyDescent="0.3">
      <c r="F20228" s="1"/>
    </row>
    <row r="20229" spans="6:15" x14ac:dyDescent="0.3">
      <c r="F20229" s="1"/>
    </row>
    <row r="20230" spans="6:15" x14ac:dyDescent="0.3">
      <c r="F20230" s="1"/>
    </row>
    <row r="20231" spans="6:15" x14ac:dyDescent="0.3">
      <c r="L20231" s="1"/>
      <c r="M20231" s="1"/>
      <c r="O20231" s="1"/>
    </row>
    <row r="20232" spans="6:15" x14ac:dyDescent="0.3">
      <c r="F20232" s="1"/>
    </row>
    <row r="20233" spans="6:15" x14ac:dyDescent="0.3">
      <c r="F20233" s="1"/>
    </row>
    <row r="20234" spans="6:15" x14ac:dyDescent="0.3">
      <c r="F20234" s="1"/>
    </row>
    <row r="20235" spans="6:15" x14ac:dyDescent="0.3">
      <c r="F20235" s="1"/>
    </row>
    <row r="20236" spans="6:15" x14ac:dyDescent="0.3">
      <c r="F20236" s="1"/>
    </row>
    <row r="20237" spans="6:15" x14ac:dyDescent="0.3">
      <c r="F20237" s="1"/>
    </row>
    <row r="20238" spans="6:15" x14ac:dyDescent="0.3">
      <c r="F20238" s="1"/>
    </row>
    <row r="20239" spans="6:15" x14ac:dyDescent="0.3">
      <c r="F20239" s="1"/>
    </row>
    <row r="20240" spans="6:15" x14ac:dyDescent="0.3">
      <c r="F20240" s="1"/>
    </row>
    <row r="20241" spans="6:12" x14ac:dyDescent="0.3">
      <c r="F20241" s="1"/>
    </row>
    <row r="20242" spans="6:12" x14ac:dyDescent="0.3">
      <c r="F20242" s="1"/>
    </row>
    <row r="20244" spans="6:12" x14ac:dyDescent="0.3">
      <c r="F20244" s="1"/>
    </row>
    <row r="20245" spans="6:12" x14ac:dyDescent="0.3">
      <c r="F20245" s="1"/>
    </row>
    <row r="20247" spans="6:12" x14ac:dyDescent="0.3">
      <c r="F20247" s="1"/>
    </row>
    <row r="20248" spans="6:12" x14ac:dyDescent="0.3">
      <c r="F20248" s="1"/>
    </row>
    <row r="20249" spans="6:12" x14ac:dyDescent="0.3">
      <c r="F20249" s="1"/>
    </row>
    <row r="20250" spans="6:12" x14ac:dyDescent="0.3">
      <c r="F20250" s="1"/>
    </row>
    <row r="20251" spans="6:12" x14ac:dyDescent="0.3">
      <c r="F20251" s="1"/>
    </row>
    <row r="20252" spans="6:12" x14ac:dyDescent="0.3">
      <c r="F20252" s="1"/>
      <c r="L20252" s="1"/>
    </row>
    <row r="20253" spans="6:12" x14ac:dyDescent="0.3">
      <c r="F20253" s="1"/>
    </row>
    <row r="20254" spans="6:12" x14ac:dyDescent="0.3">
      <c r="F20254" s="1"/>
    </row>
    <row r="20255" spans="6:12" x14ac:dyDescent="0.3">
      <c r="F20255" s="1"/>
    </row>
    <row r="20256" spans="6:12" x14ac:dyDescent="0.3">
      <c r="F20256" s="1"/>
    </row>
    <row r="20257" spans="6:14" x14ac:dyDescent="0.3">
      <c r="F20257" s="1"/>
      <c r="N20257" s="1"/>
    </row>
    <row r="20258" spans="6:14" x14ac:dyDescent="0.3">
      <c r="F20258" s="1"/>
    </row>
    <row r="20259" spans="6:14" x14ac:dyDescent="0.3">
      <c r="F20259" s="1"/>
    </row>
    <row r="20260" spans="6:14" x14ac:dyDescent="0.3">
      <c r="F20260" s="1"/>
    </row>
    <row r="20261" spans="6:14" x14ac:dyDescent="0.3">
      <c r="F20261" s="1"/>
      <c r="L20261" s="1"/>
    </row>
    <row r="20262" spans="6:14" x14ac:dyDescent="0.3">
      <c r="F20262" s="1"/>
    </row>
    <row r="20263" spans="6:14" x14ac:dyDescent="0.3">
      <c r="F20263" s="1"/>
    </row>
    <row r="20264" spans="6:14" x14ac:dyDescent="0.3">
      <c r="F20264" s="1"/>
    </row>
    <row r="20265" spans="6:14" x14ac:dyDescent="0.3">
      <c r="F20265" s="1"/>
    </row>
    <row r="20266" spans="6:14" x14ac:dyDescent="0.3">
      <c r="F20266" s="1"/>
    </row>
    <row r="20267" spans="6:14" x14ac:dyDescent="0.3">
      <c r="F20267" s="1"/>
    </row>
    <row r="20268" spans="6:14" x14ac:dyDescent="0.3">
      <c r="F20268" s="1"/>
    </row>
    <row r="20269" spans="6:14" x14ac:dyDescent="0.3">
      <c r="F20269" s="1"/>
    </row>
    <row r="20270" spans="6:14" x14ac:dyDescent="0.3">
      <c r="F20270" s="1"/>
    </row>
    <row r="20271" spans="6:14" x14ac:dyDescent="0.3">
      <c r="F20271" s="1"/>
    </row>
    <row r="20272" spans="6:14" x14ac:dyDescent="0.3">
      <c r="F20272" s="1"/>
    </row>
    <row r="20273" spans="6:15" x14ac:dyDescent="0.3">
      <c r="F20273" s="1"/>
    </row>
    <row r="20274" spans="6:15" x14ac:dyDescent="0.3">
      <c r="F20274" s="1"/>
    </row>
    <row r="20275" spans="6:15" x14ac:dyDescent="0.3">
      <c r="F20275" s="1"/>
    </row>
    <row r="20276" spans="6:15" x14ac:dyDescent="0.3">
      <c r="F20276" s="1"/>
    </row>
    <row r="20277" spans="6:15" x14ac:dyDescent="0.3">
      <c r="F20277" s="1"/>
    </row>
    <row r="20278" spans="6:15" x14ac:dyDescent="0.3">
      <c r="F20278" s="1"/>
    </row>
    <row r="20280" spans="6:15" x14ac:dyDescent="0.3">
      <c r="F20280" s="1"/>
    </row>
    <row r="20281" spans="6:15" x14ac:dyDescent="0.3">
      <c r="F20281" s="1"/>
    </row>
    <row r="20282" spans="6:15" x14ac:dyDescent="0.3">
      <c r="F20282" s="1"/>
    </row>
    <row r="20283" spans="6:15" x14ac:dyDescent="0.3">
      <c r="F20283" s="1"/>
    </row>
    <row r="20284" spans="6:15" x14ac:dyDescent="0.3">
      <c r="F20284" s="1"/>
    </row>
    <row r="20285" spans="6:15" x14ac:dyDescent="0.3">
      <c r="L20285" s="1"/>
      <c r="M20285" s="1"/>
      <c r="N20285" s="1"/>
      <c r="O20285" s="1"/>
    </row>
    <row r="20286" spans="6:15" x14ac:dyDescent="0.3">
      <c r="F20286" s="1"/>
    </row>
    <row r="20288" spans="6:15" x14ac:dyDescent="0.3">
      <c r="F20288" s="1"/>
      <c r="L20288" s="1"/>
      <c r="N20288" s="1"/>
    </row>
    <row r="20289" spans="6:12" x14ac:dyDescent="0.3">
      <c r="F20289" s="1"/>
    </row>
    <row r="20290" spans="6:12" x14ac:dyDescent="0.3">
      <c r="F20290" s="1"/>
    </row>
    <row r="20291" spans="6:12" x14ac:dyDescent="0.3">
      <c r="F20291" s="1"/>
    </row>
    <row r="20292" spans="6:12" x14ac:dyDescent="0.3">
      <c r="F20292" s="1"/>
    </row>
    <row r="20293" spans="6:12" x14ac:dyDescent="0.3">
      <c r="F20293" s="1"/>
    </row>
    <row r="20294" spans="6:12" x14ac:dyDescent="0.3">
      <c r="F20294" s="1"/>
      <c r="L20294" s="1"/>
    </row>
    <row r="20295" spans="6:12" x14ac:dyDescent="0.3">
      <c r="F20295" s="1"/>
    </row>
    <row r="20296" spans="6:12" x14ac:dyDescent="0.3">
      <c r="F20296" s="1"/>
    </row>
    <row r="20297" spans="6:12" x14ac:dyDescent="0.3">
      <c r="F20297" s="1"/>
    </row>
    <row r="20298" spans="6:12" x14ac:dyDescent="0.3">
      <c r="F20298" s="1"/>
    </row>
    <row r="20299" spans="6:12" x14ac:dyDescent="0.3">
      <c r="F20299" s="1"/>
    </row>
    <row r="20300" spans="6:12" x14ac:dyDescent="0.3">
      <c r="F20300" s="1"/>
    </row>
    <row r="20301" spans="6:12" x14ac:dyDescent="0.3">
      <c r="F20301" s="1"/>
    </row>
    <row r="20302" spans="6:12" x14ac:dyDescent="0.3">
      <c r="F20302" s="1"/>
    </row>
    <row r="20303" spans="6:12" x14ac:dyDescent="0.3">
      <c r="F20303" s="1"/>
    </row>
    <row r="20304" spans="6:12" x14ac:dyDescent="0.3">
      <c r="F20304" s="1"/>
    </row>
    <row r="20305" spans="6:15" x14ac:dyDescent="0.3">
      <c r="F20305" s="1"/>
    </row>
    <row r="20306" spans="6:15" x14ac:dyDescent="0.3">
      <c r="F20306" s="1"/>
      <c r="L20306" s="1"/>
      <c r="N20306" s="1"/>
    </row>
    <row r="20307" spans="6:15" x14ac:dyDescent="0.3">
      <c r="F20307" s="1"/>
      <c r="M20307" s="1"/>
    </row>
    <row r="20308" spans="6:15" x14ac:dyDescent="0.3">
      <c r="F20308" s="1"/>
      <c r="M20308" s="1"/>
      <c r="O20308" s="1"/>
    </row>
    <row r="20310" spans="6:15" x14ac:dyDescent="0.3">
      <c r="N20310" s="1"/>
    </row>
    <row r="20311" spans="6:15" x14ac:dyDescent="0.3">
      <c r="F20311" s="1"/>
    </row>
    <row r="20312" spans="6:15" x14ac:dyDescent="0.3">
      <c r="F20312" s="1"/>
    </row>
    <row r="20313" spans="6:15" x14ac:dyDescent="0.3">
      <c r="F20313" s="1"/>
    </row>
    <row r="20314" spans="6:15" x14ac:dyDescent="0.3">
      <c r="F20314" s="1"/>
    </row>
    <row r="20315" spans="6:15" x14ac:dyDescent="0.3">
      <c r="F20315" s="1"/>
    </row>
    <row r="20316" spans="6:15" x14ac:dyDescent="0.3">
      <c r="F20316" s="1"/>
      <c r="N20316" s="1"/>
    </row>
    <row r="20317" spans="6:15" x14ac:dyDescent="0.3">
      <c r="F20317" s="1"/>
    </row>
    <row r="20320" spans="6:15" x14ac:dyDescent="0.3">
      <c r="F20320" s="1"/>
    </row>
    <row r="20321" spans="6:14" x14ac:dyDescent="0.3">
      <c r="F20321" s="1"/>
    </row>
    <row r="20322" spans="6:14" x14ac:dyDescent="0.3">
      <c r="L20322" s="1"/>
      <c r="N20322" s="1"/>
    </row>
    <row r="20323" spans="6:14" x14ac:dyDescent="0.3">
      <c r="F20323" s="1"/>
    </row>
    <row r="20324" spans="6:14" x14ac:dyDescent="0.3">
      <c r="F20324" s="1"/>
    </row>
    <row r="20325" spans="6:14" x14ac:dyDescent="0.3">
      <c r="F20325" s="1"/>
    </row>
    <row r="20326" spans="6:14" x14ac:dyDescent="0.3">
      <c r="F20326" s="1"/>
      <c r="L20326" s="1"/>
      <c r="N20326" s="1"/>
    </row>
    <row r="20327" spans="6:14" x14ac:dyDescent="0.3">
      <c r="F20327" s="1"/>
    </row>
    <row r="20329" spans="6:14" x14ac:dyDescent="0.3">
      <c r="F20329" s="1"/>
    </row>
    <row r="20330" spans="6:14" x14ac:dyDescent="0.3">
      <c r="F20330" s="1"/>
    </row>
    <row r="20331" spans="6:14" x14ac:dyDescent="0.3">
      <c r="F20331" s="1"/>
    </row>
    <row r="20332" spans="6:14" x14ac:dyDescent="0.3">
      <c r="F20332" s="1"/>
    </row>
    <row r="20333" spans="6:14" x14ac:dyDescent="0.3">
      <c r="F20333" s="1"/>
    </row>
    <row r="20334" spans="6:14" x14ac:dyDescent="0.3">
      <c r="F20334" s="1"/>
    </row>
    <row r="20335" spans="6:14" x14ac:dyDescent="0.3">
      <c r="F20335" s="1"/>
    </row>
    <row r="20337" spans="6:15" x14ac:dyDescent="0.3">
      <c r="F20337" s="1"/>
    </row>
    <row r="20338" spans="6:15" x14ac:dyDescent="0.3">
      <c r="F20338" s="1"/>
    </row>
    <row r="20339" spans="6:15" x14ac:dyDescent="0.3">
      <c r="F20339" s="1"/>
    </row>
    <row r="20340" spans="6:15" x14ac:dyDescent="0.3">
      <c r="F20340" s="1"/>
    </row>
    <row r="20341" spans="6:15" x14ac:dyDescent="0.3">
      <c r="L20341" s="1"/>
    </row>
    <row r="20342" spans="6:15" x14ac:dyDescent="0.3">
      <c r="F20342" s="1"/>
      <c r="L20342" s="1"/>
    </row>
    <row r="20344" spans="6:15" x14ac:dyDescent="0.3">
      <c r="F20344" s="1"/>
    </row>
    <row r="20345" spans="6:15" x14ac:dyDescent="0.3">
      <c r="F20345" s="1"/>
    </row>
    <row r="20346" spans="6:15" x14ac:dyDescent="0.3">
      <c r="F20346" s="1"/>
    </row>
    <row r="20347" spans="6:15" x14ac:dyDescent="0.3">
      <c r="F20347" s="1"/>
      <c r="L20347" s="1"/>
      <c r="O20347" s="1"/>
    </row>
    <row r="20348" spans="6:15" x14ac:dyDescent="0.3">
      <c r="L20348" s="1"/>
    </row>
    <row r="20349" spans="6:15" x14ac:dyDescent="0.3">
      <c r="F20349" s="1"/>
    </row>
    <row r="20350" spans="6:15" x14ac:dyDescent="0.3">
      <c r="F20350" s="1"/>
    </row>
    <row r="20351" spans="6:15" x14ac:dyDescent="0.3">
      <c r="F20351" s="1"/>
    </row>
    <row r="20352" spans="6:15" x14ac:dyDescent="0.3">
      <c r="F20352" s="1"/>
    </row>
    <row r="20353" spans="6:15" x14ac:dyDescent="0.3">
      <c r="F20353" s="1"/>
    </row>
    <row r="20354" spans="6:15" x14ac:dyDescent="0.3">
      <c r="F20354" s="1"/>
    </row>
    <row r="20355" spans="6:15" x14ac:dyDescent="0.3">
      <c r="F20355" s="1"/>
      <c r="L20355" s="1"/>
      <c r="M20355" s="1"/>
      <c r="O20355" s="1"/>
    </row>
    <row r="20356" spans="6:15" x14ac:dyDescent="0.3">
      <c r="F20356" s="1"/>
    </row>
    <row r="20357" spans="6:15" x14ac:dyDescent="0.3">
      <c r="F20357" s="1"/>
    </row>
    <row r="20358" spans="6:15" x14ac:dyDescent="0.3">
      <c r="F20358" s="1"/>
    </row>
    <row r="20359" spans="6:15" x14ac:dyDescent="0.3">
      <c r="F20359" s="1"/>
      <c r="N20359" s="1"/>
    </row>
    <row r="20361" spans="6:15" x14ac:dyDescent="0.3">
      <c r="F20361" s="1"/>
    </row>
    <row r="20362" spans="6:15" x14ac:dyDescent="0.3">
      <c r="F20362" s="1"/>
    </row>
    <row r="20363" spans="6:15" x14ac:dyDescent="0.3">
      <c r="F20363" s="1"/>
    </row>
    <row r="20364" spans="6:15" x14ac:dyDescent="0.3">
      <c r="F20364" s="1"/>
    </row>
    <row r="20365" spans="6:15" x14ac:dyDescent="0.3">
      <c r="F20365" s="1"/>
    </row>
    <row r="20366" spans="6:15" x14ac:dyDescent="0.3">
      <c r="F20366" s="1"/>
    </row>
    <row r="20367" spans="6:15" x14ac:dyDescent="0.3">
      <c r="F20367" s="1"/>
    </row>
    <row r="20369" spans="6:6" x14ac:dyDescent="0.3">
      <c r="F20369" s="1"/>
    </row>
    <row r="20370" spans="6:6" x14ac:dyDescent="0.3">
      <c r="F20370" s="1"/>
    </row>
    <row r="20371" spans="6:6" x14ac:dyDescent="0.3">
      <c r="F20371" s="1"/>
    </row>
    <row r="20372" spans="6:6" x14ac:dyDescent="0.3">
      <c r="F20372" s="1"/>
    </row>
    <row r="20373" spans="6:6" x14ac:dyDescent="0.3">
      <c r="F20373" s="1"/>
    </row>
    <row r="20374" spans="6:6" x14ac:dyDescent="0.3">
      <c r="F20374" s="1"/>
    </row>
    <row r="20375" spans="6:6" x14ac:dyDescent="0.3">
      <c r="F20375" s="1"/>
    </row>
    <row r="20376" spans="6:6" x14ac:dyDescent="0.3">
      <c r="F20376" s="1"/>
    </row>
    <row r="20378" spans="6:6" x14ac:dyDescent="0.3">
      <c r="F20378" s="1"/>
    </row>
    <row r="20379" spans="6:6" x14ac:dyDescent="0.3">
      <c r="F20379" s="1"/>
    </row>
    <row r="20380" spans="6:6" x14ac:dyDescent="0.3">
      <c r="F20380" s="1"/>
    </row>
    <row r="20381" spans="6:6" x14ac:dyDescent="0.3">
      <c r="F20381" s="1"/>
    </row>
    <row r="20382" spans="6:6" x14ac:dyDescent="0.3">
      <c r="F20382" s="1"/>
    </row>
    <row r="20383" spans="6:6" x14ac:dyDescent="0.3">
      <c r="F20383" s="1"/>
    </row>
    <row r="20384" spans="6:6" x14ac:dyDescent="0.3">
      <c r="F20384" s="1"/>
    </row>
    <row r="20385" spans="6:15" x14ac:dyDescent="0.3">
      <c r="F20385" s="1"/>
    </row>
    <row r="20386" spans="6:15" x14ac:dyDescent="0.3">
      <c r="F20386" s="1"/>
    </row>
    <row r="20387" spans="6:15" x14ac:dyDescent="0.3">
      <c r="F20387" s="1"/>
    </row>
    <row r="20388" spans="6:15" x14ac:dyDescent="0.3">
      <c r="F20388" s="1"/>
    </row>
    <row r="20390" spans="6:15" x14ac:dyDescent="0.3">
      <c r="F20390" s="1"/>
    </row>
    <row r="20391" spans="6:15" x14ac:dyDescent="0.3">
      <c r="F20391" s="1"/>
    </row>
    <row r="20392" spans="6:15" x14ac:dyDescent="0.3">
      <c r="F20392" s="1"/>
    </row>
    <row r="20393" spans="6:15" x14ac:dyDescent="0.3">
      <c r="M20393" s="1"/>
      <c r="N20393" s="1"/>
    </row>
    <row r="20394" spans="6:15" x14ac:dyDescent="0.3">
      <c r="F20394" s="1"/>
    </row>
    <row r="20395" spans="6:15" x14ac:dyDescent="0.3">
      <c r="F20395" s="1"/>
    </row>
    <row r="20396" spans="6:15" x14ac:dyDescent="0.3">
      <c r="L20396" s="1"/>
      <c r="O20396" s="1"/>
    </row>
    <row r="20397" spans="6:15" x14ac:dyDescent="0.3">
      <c r="F20397" s="1"/>
    </row>
    <row r="20398" spans="6:15" x14ac:dyDescent="0.3">
      <c r="F20398" s="1"/>
    </row>
    <row r="20400" spans="6:15" x14ac:dyDescent="0.3">
      <c r="F20400" s="1"/>
    </row>
    <row r="20401" spans="6:15" x14ac:dyDescent="0.3">
      <c r="F20401" s="1"/>
    </row>
    <row r="20402" spans="6:15" x14ac:dyDescent="0.3">
      <c r="M20402" s="1"/>
    </row>
    <row r="20403" spans="6:15" x14ac:dyDescent="0.3">
      <c r="F20403" s="1"/>
    </row>
    <row r="20405" spans="6:15" x14ac:dyDescent="0.3">
      <c r="F20405" s="1"/>
    </row>
    <row r="20406" spans="6:15" x14ac:dyDescent="0.3">
      <c r="F20406" s="1"/>
    </row>
    <row r="20407" spans="6:15" x14ac:dyDescent="0.3">
      <c r="F20407" s="1"/>
      <c r="N20407" s="1"/>
    </row>
    <row r="20408" spans="6:15" x14ac:dyDescent="0.3">
      <c r="F20408" s="1"/>
    </row>
    <row r="20409" spans="6:15" x14ac:dyDescent="0.3">
      <c r="F20409" s="1"/>
      <c r="M20409" s="1"/>
    </row>
    <row r="20410" spans="6:15" x14ac:dyDescent="0.3">
      <c r="F20410" s="1"/>
    </row>
    <row r="20411" spans="6:15" x14ac:dyDescent="0.3">
      <c r="F20411" s="1"/>
    </row>
    <row r="20412" spans="6:15" x14ac:dyDescent="0.3">
      <c r="F20412" s="1"/>
      <c r="N20412" s="1"/>
    </row>
    <row r="20413" spans="6:15" x14ac:dyDescent="0.3">
      <c r="L20413" s="1"/>
      <c r="M20413" s="1"/>
      <c r="N20413" s="1"/>
      <c r="O20413" s="1"/>
    </row>
    <row r="20414" spans="6:15" x14ac:dyDescent="0.3">
      <c r="F20414" s="1"/>
    </row>
    <row r="20415" spans="6:15" x14ac:dyDescent="0.3">
      <c r="F20415" s="1"/>
    </row>
    <row r="20417" spans="6:15" x14ac:dyDescent="0.3">
      <c r="F20417" s="1"/>
    </row>
    <row r="20418" spans="6:15" x14ac:dyDescent="0.3">
      <c r="F20418" s="1"/>
    </row>
    <row r="20419" spans="6:15" x14ac:dyDescent="0.3">
      <c r="F20419" s="1"/>
    </row>
    <row r="20420" spans="6:15" x14ac:dyDescent="0.3">
      <c r="F20420" s="1"/>
    </row>
    <row r="20422" spans="6:15" x14ac:dyDescent="0.3">
      <c r="F20422" s="1"/>
    </row>
    <row r="20423" spans="6:15" x14ac:dyDescent="0.3">
      <c r="F20423" s="1"/>
    </row>
    <row r="20424" spans="6:15" x14ac:dyDescent="0.3">
      <c r="F20424" s="1"/>
    </row>
    <row r="20426" spans="6:15" x14ac:dyDescent="0.3">
      <c r="F20426" s="1"/>
    </row>
    <row r="20427" spans="6:15" x14ac:dyDescent="0.3">
      <c r="F20427" s="1"/>
    </row>
    <row r="20428" spans="6:15" x14ac:dyDescent="0.3">
      <c r="F20428" s="1"/>
      <c r="L20428" s="1"/>
      <c r="M20428" s="1"/>
      <c r="N20428" s="1"/>
      <c r="O20428" s="1"/>
    </row>
    <row r="20429" spans="6:15" x14ac:dyDescent="0.3">
      <c r="F20429" s="1"/>
    </row>
    <row r="20431" spans="6:15" x14ac:dyDescent="0.3">
      <c r="F20431" s="1"/>
    </row>
    <row r="20432" spans="6:15" x14ac:dyDescent="0.3">
      <c r="F20432" s="1"/>
    </row>
    <row r="20433" spans="6:15" x14ac:dyDescent="0.3">
      <c r="F20433" s="1"/>
    </row>
    <row r="20434" spans="6:15" x14ac:dyDescent="0.3">
      <c r="F20434" s="1"/>
    </row>
    <row r="20435" spans="6:15" x14ac:dyDescent="0.3">
      <c r="F20435" s="1"/>
    </row>
    <row r="20436" spans="6:15" x14ac:dyDescent="0.3">
      <c r="M20436" s="1"/>
    </row>
    <row r="20437" spans="6:15" x14ac:dyDescent="0.3">
      <c r="F20437" s="1"/>
    </row>
    <row r="20440" spans="6:15" x14ac:dyDescent="0.3">
      <c r="F20440" s="1"/>
    </row>
    <row r="20441" spans="6:15" x14ac:dyDescent="0.3">
      <c r="F20441" s="1"/>
    </row>
    <row r="20442" spans="6:15" x14ac:dyDescent="0.3">
      <c r="M20442" s="1"/>
      <c r="N20442" s="1"/>
      <c r="O20442" s="1"/>
    </row>
    <row r="20443" spans="6:15" x14ac:dyDescent="0.3">
      <c r="F20443" s="1"/>
    </row>
    <row r="20444" spans="6:15" x14ac:dyDescent="0.3">
      <c r="F20444" s="1"/>
    </row>
    <row r="20445" spans="6:15" x14ac:dyDescent="0.3">
      <c r="M20445" s="1"/>
    </row>
    <row r="20446" spans="6:15" x14ac:dyDescent="0.3">
      <c r="M20446" s="1"/>
      <c r="O20446" s="1"/>
    </row>
    <row r="20447" spans="6:15" x14ac:dyDescent="0.3">
      <c r="F20447" s="1"/>
    </row>
    <row r="20448" spans="6:15" x14ac:dyDescent="0.3">
      <c r="F20448" s="1"/>
    </row>
    <row r="20449" spans="6:14" x14ac:dyDescent="0.3">
      <c r="F20449" s="1"/>
    </row>
    <row r="20450" spans="6:14" x14ac:dyDescent="0.3">
      <c r="F20450" s="1"/>
    </row>
    <row r="20451" spans="6:14" x14ac:dyDescent="0.3">
      <c r="F20451" s="1"/>
    </row>
    <row r="20452" spans="6:14" x14ac:dyDescent="0.3">
      <c r="F20452" s="1"/>
    </row>
    <row r="20453" spans="6:14" x14ac:dyDescent="0.3">
      <c r="F20453" s="1"/>
    </row>
    <row r="20454" spans="6:14" x14ac:dyDescent="0.3">
      <c r="F20454" s="1"/>
      <c r="N20454" s="1"/>
    </row>
    <row r="20456" spans="6:14" x14ac:dyDescent="0.3">
      <c r="F20456" s="1"/>
    </row>
    <row r="20457" spans="6:14" x14ac:dyDescent="0.3">
      <c r="F20457" s="1"/>
    </row>
    <row r="20458" spans="6:14" x14ac:dyDescent="0.3">
      <c r="F20458" s="1"/>
    </row>
    <row r="20459" spans="6:14" x14ac:dyDescent="0.3">
      <c r="F20459" s="1"/>
    </row>
    <row r="20460" spans="6:14" x14ac:dyDescent="0.3">
      <c r="F20460" s="1"/>
    </row>
    <row r="20461" spans="6:14" x14ac:dyDescent="0.3">
      <c r="F20461" s="1"/>
    </row>
    <row r="20462" spans="6:14" x14ac:dyDescent="0.3">
      <c r="F20462" s="1"/>
    </row>
    <row r="20463" spans="6:14" x14ac:dyDescent="0.3">
      <c r="F20463" s="1"/>
    </row>
    <row r="20464" spans="6:14" x14ac:dyDescent="0.3">
      <c r="F20464" s="1"/>
    </row>
    <row r="20465" spans="6:14" x14ac:dyDescent="0.3">
      <c r="F20465" s="1"/>
    </row>
    <row r="20466" spans="6:14" x14ac:dyDescent="0.3">
      <c r="F20466" s="1"/>
      <c r="L20466" s="1"/>
    </row>
    <row r="20467" spans="6:14" x14ac:dyDescent="0.3">
      <c r="F20467" s="1"/>
    </row>
    <row r="20468" spans="6:14" x14ac:dyDescent="0.3">
      <c r="F20468" s="1"/>
    </row>
    <row r="20469" spans="6:14" x14ac:dyDescent="0.3">
      <c r="M20469" s="1"/>
      <c r="N20469" s="1"/>
    </row>
    <row r="20471" spans="6:14" x14ac:dyDescent="0.3">
      <c r="F20471" s="1"/>
    </row>
    <row r="20472" spans="6:14" x14ac:dyDescent="0.3">
      <c r="F20472" s="1"/>
    </row>
    <row r="20474" spans="6:14" x14ac:dyDescent="0.3">
      <c r="F20474" s="1"/>
    </row>
    <row r="20476" spans="6:14" x14ac:dyDescent="0.3">
      <c r="F20476" s="1"/>
      <c r="M20476" s="1"/>
    </row>
    <row r="20477" spans="6:14" x14ac:dyDescent="0.3">
      <c r="F20477" s="1"/>
    </row>
    <row r="20479" spans="6:14" x14ac:dyDescent="0.3">
      <c r="F20479" s="1"/>
    </row>
    <row r="20480" spans="6:14" x14ac:dyDescent="0.3">
      <c r="N20480" s="1"/>
    </row>
    <row r="20481" spans="6:13" x14ac:dyDescent="0.3">
      <c r="F20481" s="1"/>
    </row>
    <row r="20482" spans="6:13" x14ac:dyDescent="0.3">
      <c r="F20482" s="1"/>
    </row>
    <row r="20483" spans="6:13" x14ac:dyDescent="0.3">
      <c r="F20483" s="1"/>
    </row>
    <row r="20484" spans="6:13" x14ac:dyDescent="0.3">
      <c r="F20484" s="1"/>
    </row>
    <row r="20485" spans="6:13" x14ac:dyDescent="0.3">
      <c r="F20485" s="1"/>
    </row>
    <row r="20486" spans="6:13" x14ac:dyDescent="0.3">
      <c r="F20486" s="1"/>
    </row>
    <row r="20487" spans="6:13" x14ac:dyDescent="0.3">
      <c r="F20487" s="1"/>
    </row>
    <row r="20488" spans="6:13" x14ac:dyDescent="0.3">
      <c r="F20488" s="1"/>
    </row>
    <row r="20489" spans="6:13" x14ac:dyDescent="0.3">
      <c r="F20489" s="1"/>
    </row>
    <row r="20490" spans="6:13" x14ac:dyDescent="0.3">
      <c r="L20490" s="1"/>
      <c r="M20490" s="1"/>
    </row>
    <row r="20492" spans="6:13" x14ac:dyDescent="0.3">
      <c r="F20492" s="1"/>
    </row>
    <row r="20493" spans="6:13" x14ac:dyDescent="0.3">
      <c r="F20493" s="1"/>
    </row>
    <row r="20494" spans="6:13" x14ac:dyDescent="0.3">
      <c r="F20494" s="1"/>
    </row>
    <row r="20495" spans="6:13" x14ac:dyDescent="0.3">
      <c r="F20495" s="1"/>
    </row>
    <row r="20496" spans="6:13" x14ac:dyDescent="0.3">
      <c r="F20496" s="1"/>
    </row>
    <row r="20497" spans="6:15" x14ac:dyDescent="0.3">
      <c r="F20497" s="1"/>
    </row>
    <row r="20498" spans="6:15" x14ac:dyDescent="0.3">
      <c r="F20498" s="1"/>
    </row>
    <row r="20499" spans="6:15" x14ac:dyDescent="0.3">
      <c r="F20499" s="1"/>
    </row>
    <row r="20500" spans="6:15" x14ac:dyDescent="0.3">
      <c r="F20500" s="1"/>
    </row>
    <row r="20502" spans="6:15" x14ac:dyDescent="0.3">
      <c r="F20502" s="1"/>
    </row>
    <row r="20503" spans="6:15" x14ac:dyDescent="0.3">
      <c r="F20503" s="1"/>
    </row>
    <row r="20504" spans="6:15" x14ac:dyDescent="0.3">
      <c r="F20504" s="1"/>
    </row>
    <row r="20505" spans="6:15" x14ac:dyDescent="0.3">
      <c r="F20505" s="1"/>
      <c r="L20505" s="1"/>
      <c r="M20505" s="1"/>
      <c r="N20505" s="1"/>
      <c r="O20505" s="1"/>
    </row>
    <row r="20506" spans="6:15" x14ac:dyDescent="0.3">
      <c r="F20506" s="1"/>
    </row>
    <row r="20508" spans="6:15" x14ac:dyDescent="0.3">
      <c r="F20508" s="1"/>
    </row>
    <row r="20509" spans="6:15" x14ac:dyDescent="0.3">
      <c r="F20509" s="1"/>
    </row>
    <row r="20510" spans="6:15" x14ac:dyDescent="0.3">
      <c r="F20510" s="1"/>
    </row>
    <row r="20511" spans="6:15" x14ac:dyDescent="0.3">
      <c r="F20511" s="1"/>
    </row>
    <row r="20512" spans="6:15" x14ac:dyDescent="0.3">
      <c r="F20512" s="1"/>
    </row>
    <row r="20513" spans="6:14" x14ac:dyDescent="0.3">
      <c r="F20513" s="1"/>
    </row>
    <row r="20514" spans="6:14" x14ac:dyDescent="0.3">
      <c r="F20514" s="1"/>
    </row>
    <row r="20515" spans="6:14" x14ac:dyDescent="0.3">
      <c r="F20515" s="1"/>
    </row>
    <row r="20516" spans="6:14" x14ac:dyDescent="0.3">
      <c r="F20516" s="1"/>
    </row>
    <row r="20517" spans="6:14" x14ac:dyDescent="0.3">
      <c r="F20517" s="1"/>
    </row>
    <row r="20518" spans="6:14" x14ac:dyDescent="0.3">
      <c r="F20518" s="1"/>
    </row>
    <row r="20519" spans="6:14" x14ac:dyDescent="0.3">
      <c r="F20519" s="1"/>
    </row>
    <row r="20520" spans="6:14" x14ac:dyDescent="0.3">
      <c r="F20520" s="1"/>
    </row>
    <row r="20521" spans="6:14" x14ac:dyDescent="0.3">
      <c r="F20521" s="1"/>
      <c r="M20521" s="1"/>
      <c r="N20521" s="1"/>
    </row>
    <row r="20522" spans="6:14" x14ac:dyDescent="0.3">
      <c r="F20522" s="1"/>
    </row>
    <row r="20523" spans="6:14" x14ac:dyDescent="0.3">
      <c r="F20523" s="1"/>
    </row>
    <row r="20524" spans="6:14" x14ac:dyDescent="0.3">
      <c r="F20524" s="1"/>
    </row>
    <row r="20525" spans="6:14" x14ac:dyDescent="0.3">
      <c r="F20525" s="1"/>
    </row>
    <row r="20526" spans="6:14" x14ac:dyDescent="0.3">
      <c r="F20526" s="1"/>
    </row>
    <row r="20527" spans="6:14" x14ac:dyDescent="0.3">
      <c r="F20527" s="1"/>
    </row>
    <row r="20528" spans="6:14" x14ac:dyDescent="0.3">
      <c r="F20528" s="1"/>
    </row>
    <row r="20529" spans="6:12" x14ac:dyDescent="0.3">
      <c r="F20529" s="1"/>
    </row>
    <row r="20530" spans="6:12" x14ac:dyDescent="0.3">
      <c r="F20530" s="1"/>
    </row>
    <row r="20531" spans="6:12" x14ac:dyDescent="0.3">
      <c r="F20531" s="1"/>
    </row>
    <row r="20532" spans="6:12" x14ac:dyDescent="0.3">
      <c r="F20532" s="1"/>
    </row>
    <row r="20533" spans="6:12" x14ac:dyDescent="0.3">
      <c r="F20533" s="1"/>
    </row>
    <row r="20534" spans="6:12" x14ac:dyDescent="0.3">
      <c r="F20534" s="1"/>
    </row>
    <row r="20537" spans="6:12" x14ac:dyDescent="0.3">
      <c r="F20537" s="1"/>
    </row>
    <row r="20538" spans="6:12" x14ac:dyDescent="0.3">
      <c r="F20538" s="1"/>
    </row>
    <row r="20539" spans="6:12" x14ac:dyDescent="0.3">
      <c r="F20539" s="1"/>
      <c r="L20539" s="1"/>
    </row>
    <row r="20540" spans="6:12" x14ac:dyDescent="0.3">
      <c r="F20540" s="1"/>
    </row>
    <row r="20541" spans="6:12" x14ac:dyDescent="0.3">
      <c r="F20541" s="1"/>
    </row>
    <row r="20542" spans="6:12" x14ac:dyDescent="0.3">
      <c r="F20542" s="1"/>
    </row>
    <row r="20543" spans="6:12" x14ac:dyDescent="0.3">
      <c r="F20543" s="1"/>
    </row>
    <row r="20544" spans="6:12" x14ac:dyDescent="0.3">
      <c r="F20544" s="1"/>
    </row>
    <row r="20545" spans="6:13" x14ac:dyDescent="0.3">
      <c r="F20545" s="1"/>
    </row>
    <row r="20546" spans="6:13" x14ac:dyDescent="0.3">
      <c r="F20546" s="1"/>
    </row>
    <row r="20547" spans="6:13" x14ac:dyDescent="0.3">
      <c r="F20547" s="1"/>
    </row>
    <row r="20548" spans="6:13" x14ac:dyDescent="0.3">
      <c r="F20548" s="1"/>
    </row>
    <row r="20549" spans="6:13" x14ac:dyDescent="0.3">
      <c r="F20549" s="1"/>
    </row>
    <row r="20550" spans="6:13" x14ac:dyDescent="0.3">
      <c r="F20550" s="1"/>
      <c r="M20550" s="1"/>
    </row>
    <row r="20551" spans="6:13" x14ac:dyDescent="0.3">
      <c r="F20551" s="1"/>
    </row>
    <row r="20553" spans="6:13" x14ac:dyDescent="0.3">
      <c r="F20553" s="1"/>
    </row>
    <row r="20555" spans="6:13" x14ac:dyDescent="0.3">
      <c r="F20555" s="1"/>
      <c r="M20555" s="1"/>
    </row>
    <row r="20556" spans="6:13" x14ac:dyDescent="0.3">
      <c r="F20556" s="1"/>
    </row>
    <row r="20558" spans="6:13" x14ac:dyDescent="0.3">
      <c r="F20558" s="1"/>
    </row>
    <row r="20559" spans="6:13" x14ac:dyDescent="0.3">
      <c r="F20559" s="1"/>
    </row>
    <row r="20560" spans="6:13" x14ac:dyDescent="0.3">
      <c r="F20560" s="1"/>
    </row>
    <row r="20561" spans="6:15" x14ac:dyDescent="0.3">
      <c r="F20561" s="1"/>
    </row>
    <row r="20562" spans="6:15" x14ac:dyDescent="0.3">
      <c r="F20562" s="1"/>
      <c r="L20562" s="1"/>
      <c r="M20562" s="1"/>
      <c r="N20562" s="1"/>
    </row>
    <row r="20563" spans="6:15" x14ac:dyDescent="0.3">
      <c r="F20563" s="1"/>
    </row>
    <row r="20564" spans="6:15" x14ac:dyDescent="0.3">
      <c r="F20564" s="1"/>
      <c r="L20564" s="1"/>
    </row>
    <row r="20565" spans="6:15" x14ac:dyDescent="0.3">
      <c r="F20565" s="1"/>
    </row>
    <row r="20567" spans="6:15" x14ac:dyDescent="0.3">
      <c r="F20567" s="1"/>
    </row>
    <row r="20568" spans="6:15" x14ac:dyDescent="0.3">
      <c r="F20568" s="1"/>
    </row>
    <row r="20569" spans="6:15" x14ac:dyDescent="0.3">
      <c r="F20569" s="1"/>
    </row>
    <row r="20570" spans="6:15" x14ac:dyDescent="0.3">
      <c r="F20570" s="1"/>
    </row>
    <row r="20571" spans="6:15" x14ac:dyDescent="0.3">
      <c r="F20571" s="1"/>
    </row>
    <row r="20572" spans="6:15" x14ac:dyDescent="0.3">
      <c r="F20572" s="1"/>
    </row>
    <row r="20573" spans="6:15" x14ac:dyDescent="0.3">
      <c r="L20573" s="1"/>
      <c r="M20573" s="1"/>
      <c r="O20573" s="1"/>
    </row>
    <row r="20574" spans="6:15" x14ac:dyDescent="0.3">
      <c r="F20574" s="1"/>
    </row>
    <row r="20575" spans="6:15" x14ac:dyDescent="0.3">
      <c r="M20575" s="1"/>
    </row>
    <row r="20576" spans="6:15" x14ac:dyDescent="0.3">
      <c r="F20576" s="1"/>
    </row>
    <row r="20577" spans="6:13" x14ac:dyDescent="0.3">
      <c r="F20577" s="1"/>
    </row>
    <row r="20578" spans="6:13" x14ac:dyDescent="0.3">
      <c r="F20578" s="1"/>
    </row>
    <row r="20579" spans="6:13" x14ac:dyDescent="0.3">
      <c r="F20579" s="1"/>
    </row>
    <row r="20581" spans="6:13" x14ac:dyDescent="0.3">
      <c r="F20581" s="1"/>
    </row>
    <row r="20582" spans="6:13" x14ac:dyDescent="0.3">
      <c r="F20582" s="1"/>
    </row>
    <row r="20585" spans="6:13" x14ac:dyDescent="0.3">
      <c r="F20585" s="1"/>
    </row>
    <row r="20586" spans="6:13" x14ac:dyDescent="0.3">
      <c r="F20586" s="1"/>
    </row>
    <row r="20587" spans="6:13" x14ac:dyDescent="0.3">
      <c r="F20587" s="1"/>
    </row>
    <row r="20588" spans="6:13" x14ac:dyDescent="0.3">
      <c r="F20588" s="1"/>
      <c r="M20588" s="1"/>
    </row>
    <row r="20589" spans="6:13" x14ac:dyDescent="0.3">
      <c r="F20589" s="1"/>
    </row>
    <row r="20590" spans="6:13" x14ac:dyDescent="0.3">
      <c r="F20590" s="1"/>
    </row>
    <row r="20591" spans="6:13" x14ac:dyDescent="0.3">
      <c r="F20591" s="1"/>
    </row>
    <row r="20592" spans="6:13" x14ac:dyDescent="0.3">
      <c r="F20592" s="1"/>
    </row>
    <row r="20593" spans="6:15" x14ac:dyDescent="0.3">
      <c r="F20593" s="1"/>
    </row>
    <row r="20594" spans="6:15" x14ac:dyDescent="0.3">
      <c r="F20594" s="1"/>
    </row>
    <row r="20595" spans="6:15" x14ac:dyDescent="0.3">
      <c r="F20595" s="1"/>
    </row>
    <row r="20596" spans="6:15" x14ac:dyDescent="0.3">
      <c r="F20596" s="1"/>
    </row>
    <row r="20597" spans="6:15" x14ac:dyDescent="0.3">
      <c r="F20597" s="1"/>
    </row>
    <row r="20598" spans="6:15" x14ac:dyDescent="0.3">
      <c r="F20598" s="1"/>
    </row>
    <row r="20599" spans="6:15" x14ac:dyDescent="0.3">
      <c r="N20599" s="1"/>
      <c r="O20599" s="1"/>
    </row>
    <row r="20600" spans="6:15" x14ac:dyDescent="0.3">
      <c r="F20600" s="1"/>
    </row>
    <row r="20602" spans="6:15" x14ac:dyDescent="0.3">
      <c r="F20602" s="1"/>
    </row>
    <row r="20603" spans="6:15" x14ac:dyDescent="0.3">
      <c r="F20603" s="1"/>
    </row>
    <row r="20604" spans="6:15" x14ac:dyDescent="0.3">
      <c r="F20604" s="1"/>
      <c r="N20604" s="1"/>
    </row>
    <row r="20605" spans="6:15" x14ac:dyDescent="0.3">
      <c r="F20605" s="1"/>
    </row>
    <row r="20606" spans="6:15" x14ac:dyDescent="0.3">
      <c r="F20606" s="1"/>
    </row>
    <row r="20607" spans="6:15" x14ac:dyDescent="0.3">
      <c r="F20607" s="1"/>
    </row>
    <row r="20608" spans="6:15" x14ac:dyDescent="0.3">
      <c r="F20608" s="1"/>
    </row>
    <row r="20609" spans="6:14" x14ac:dyDescent="0.3">
      <c r="F20609" s="1"/>
    </row>
    <row r="20610" spans="6:14" x14ac:dyDescent="0.3">
      <c r="F20610" s="1"/>
    </row>
    <row r="20611" spans="6:14" x14ac:dyDescent="0.3">
      <c r="F20611" s="1"/>
    </row>
    <row r="20612" spans="6:14" x14ac:dyDescent="0.3">
      <c r="F20612" s="1"/>
    </row>
    <row r="20615" spans="6:14" x14ac:dyDescent="0.3">
      <c r="F20615" s="1"/>
    </row>
    <row r="20616" spans="6:14" x14ac:dyDescent="0.3">
      <c r="F20616" s="1"/>
    </row>
    <row r="20617" spans="6:14" x14ac:dyDescent="0.3">
      <c r="F20617" s="1"/>
    </row>
    <row r="20619" spans="6:14" x14ac:dyDescent="0.3">
      <c r="F20619" s="1"/>
    </row>
    <row r="20620" spans="6:14" x14ac:dyDescent="0.3">
      <c r="F20620" s="1"/>
      <c r="L20620" s="1"/>
      <c r="M20620" s="1"/>
      <c r="N20620" s="1"/>
    </row>
    <row r="20623" spans="6:14" x14ac:dyDescent="0.3">
      <c r="F20623" s="1"/>
    </row>
    <row r="20624" spans="6:14" x14ac:dyDescent="0.3">
      <c r="F20624" s="1"/>
    </row>
    <row r="20625" spans="6:13" x14ac:dyDescent="0.3">
      <c r="F20625" s="1"/>
    </row>
    <row r="20626" spans="6:13" x14ac:dyDescent="0.3">
      <c r="F20626" s="1"/>
      <c r="M20626" s="1"/>
    </row>
    <row r="20627" spans="6:13" x14ac:dyDescent="0.3">
      <c r="F20627" s="1"/>
    </row>
    <row r="20629" spans="6:13" x14ac:dyDescent="0.3">
      <c r="F20629" s="1"/>
    </row>
    <row r="20630" spans="6:13" x14ac:dyDescent="0.3">
      <c r="F20630" s="1"/>
    </row>
    <row r="20631" spans="6:13" x14ac:dyDescent="0.3">
      <c r="F20631" s="1"/>
    </row>
    <row r="20632" spans="6:13" x14ac:dyDescent="0.3">
      <c r="L20632" s="1"/>
    </row>
    <row r="20633" spans="6:13" x14ac:dyDescent="0.3">
      <c r="F20633" s="1"/>
    </row>
    <row r="20634" spans="6:13" x14ac:dyDescent="0.3">
      <c r="F20634" s="1"/>
    </row>
    <row r="20636" spans="6:13" x14ac:dyDescent="0.3">
      <c r="F20636" s="1"/>
    </row>
    <row r="20637" spans="6:13" x14ac:dyDescent="0.3">
      <c r="F20637" s="1"/>
    </row>
    <row r="20638" spans="6:13" x14ac:dyDescent="0.3">
      <c r="F20638" s="1"/>
    </row>
    <row r="20639" spans="6:13" x14ac:dyDescent="0.3">
      <c r="F20639" s="1"/>
    </row>
    <row r="20640" spans="6:13" x14ac:dyDescent="0.3">
      <c r="F20640" s="1"/>
    </row>
    <row r="20641" spans="6:13" x14ac:dyDescent="0.3">
      <c r="F20641" s="1"/>
    </row>
    <row r="20642" spans="6:13" x14ac:dyDescent="0.3">
      <c r="F20642" s="1"/>
    </row>
    <row r="20643" spans="6:13" x14ac:dyDescent="0.3">
      <c r="F20643" s="1"/>
    </row>
    <row r="20644" spans="6:13" x14ac:dyDescent="0.3">
      <c r="F20644" s="1"/>
    </row>
    <row r="20645" spans="6:13" x14ac:dyDescent="0.3">
      <c r="M20645" s="1"/>
    </row>
    <row r="20646" spans="6:13" x14ac:dyDescent="0.3">
      <c r="F20646" s="1"/>
    </row>
    <row r="20647" spans="6:13" x14ac:dyDescent="0.3">
      <c r="F20647" s="1"/>
    </row>
    <row r="20648" spans="6:13" x14ac:dyDescent="0.3">
      <c r="F20648" s="1"/>
    </row>
    <row r="20649" spans="6:13" x14ac:dyDescent="0.3">
      <c r="F20649" s="1"/>
    </row>
    <row r="20650" spans="6:13" x14ac:dyDescent="0.3">
      <c r="F20650" s="1"/>
    </row>
    <row r="20651" spans="6:13" x14ac:dyDescent="0.3">
      <c r="F20651" s="1"/>
    </row>
    <row r="20652" spans="6:13" x14ac:dyDescent="0.3">
      <c r="F20652" s="1"/>
    </row>
    <row r="20653" spans="6:13" x14ac:dyDescent="0.3">
      <c r="F20653" s="1"/>
    </row>
    <row r="20654" spans="6:13" x14ac:dyDescent="0.3">
      <c r="F20654" s="1"/>
    </row>
    <row r="20655" spans="6:13" x14ac:dyDescent="0.3">
      <c r="F20655" s="1"/>
    </row>
    <row r="20656" spans="6:13" x14ac:dyDescent="0.3">
      <c r="F20656" s="1"/>
    </row>
    <row r="20657" spans="6:15" x14ac:dyDescent="0.3">
      <c r="F20657" s="1"/>
    </row>
    <row r="20658" spans="6:15" x14ac:dyDescent="0.3">
      <c r="L20658" s="1"/>
      <c r="M20658" s="1"/>
      <c r="N20658" s="1"/>
      <c r="O20658" s="1"/>
    </row>
    <row r="20659" spans="6:15" x14ac:dyDescent="0.3">
      <c r="F20659" s="1"/>
    </row>
    <row r="20660" spans="6:15" x14ac:dyDescent="0.3">
      <c r="F20660" s="1"/>
    </row>
    <row r="20661" spans="6:15" x14ac:dyDescent="0.3">
      <c r="F20661" s="1"/>
    </row>
    <row r="20663" spans="6:15" x14ac:dyDescent="0.3">
      <c r="F20663" s="1"/>
    </row>
    <row r="20664" spans="6:15" x14ac:dyDescent="0.3">
      <c r="F20664" s="1"/>
    </row>
    <row r="20665" spans="6:15" x14ac:dyDescent="0.3">
      <c r="F20665" s="1"/>
    </row>
    <row r="20666" spans="6:15" x14ac:dyDescent="0.3">
      <c r="F20666" s="1"/>
    </row>
    <row r="20667" spans="6:15" x14ac:dyDescent="0.3">
      <c r="F20667" s="1"/>
      <c r="N20667" s="1"/>
    </row>
    <row r="20668" spans="6:15" x14ac:dyDescent="0.3">
      <c r="F20668" s="1"/>
    </row>
    <row r="20669" spans="6:15" x14ac:dyDescent="0.3">
      <c r="F20669" s="1"/>
    </row>
    <row r="20670" spans="6:15" x14ac:dyDescent="0.3">
      <c r="F20670" s="1"/>
    </row>
    <row r="20671" spans="6:15" x14ac:dyDescent="0.3">
      <c r="F20671" s="1"/>
    </row>
    <row r="20672" spans="6:15" x14ac:dyDescent="0.3">
      <c r="F20672" s="1"/>
    </row>
    <row r="20673" spans="6:15" x14ac:dyDescent="0.3">
      <c r="F20673" s="1"/>
    </row>
    <row r="20674" spans="6:15" x14ac:dyDescent="0.3">
      <c r="F20674" s="1"/>
    </row>
    <row r="20676" spans="6:15" x14ac:dyDescent="0.3">
      <c r="F20676" s="1"/>
    </row>
    <row r="20677" spans="6:15" x14ac:dyDescent="0.3">
      <c r="F20677" s="1"/>
      <c r="L20677" s="1"/>
      <c r="O20677" s="1"/>
    </row>
    <row r="20678" spans="6:15" x14ac:dyDescent="0.3">
      <c r="F20678" s="1"/>
    </row>
    <row r="20679" spans="6:15" x14ac:dyDescent="0.3">
      <c r="F20679" s="1"/>
    </row>
    <row r="20680" spans="6:15" x14ac:dyDescent="0.3">
      <c r="F20680" s="1"/>
    </row>
    <row r="20681" spans="6:15" x14ac:dyDescent="0.3">
      <c r="F20681" s="1"/>
    </row>
    <row r="20682" spans="6:15" x14ac:dyDescent="0.3">
      <c r="F20682" s="1"/>
    </row>
    <row r="20683" spans="6:15" x14ac:dyDescent="0.3">
      <c r="F20683" s="1"/>
    </row>
    <row r="20684" spans="6:15" x14ac:dyDescent="0.3">
      <c r="F20684" s="1"/>
      <c r="L20684" s="1"/>
      <c r="M20684" s="1"/>
    </row>
    <row r="20685" spans="6:15" x14ac:dyDescent="0.3">
      <c r="F20685" s="1"/>
    </row>
    <row r="20686" spans="6:15" x14ac:dyDescent="0.3">
      <c r="F20686" s="1"/>
    </row>
    <row r="20687" spans="6:15" x14ac:dyDescent="0.3">
      <c r="F20687" s="1"/>
    </row>
    <row r="20688" spans="6:15" x14ac:dyDescent="0.3">
      <c r="F20688" s="1"/>
    </row>
    <row r="20689" spans="6:15" x14ac:dyDescent="0.3">
      <c r="M20689" s="1"/>
      <c r="O20689" s="1"/>
    </row>
    <row r="20690" spans="6:15" x14ac:dyDescent="0.3">
      <c r="F20690" s="1"/>
      <c r="L20690" s="1"/>
    </row>
    <row r="20691" spans="6:15" x14ac:dyDescent="0.3">
      <c r="F20691" s="1"/>
    </row>
    <row r="20693" spans="6:15" x14ac:dyDescent="0.3">
      <c r="F20693" s="1"/>
    </row>
    <row r="20694" spans="6:15" x14ac:dyDescent="0.3">
      <c r="F20694" s="1"/>
      <c r="N20694" s="1"/>
    </row>
    <row r="20695" spans="6:15" x14ac:dyDescent="0.3">
      <c r="F20695" s="1"/>
    </row>
    <row r="20696" spans="6:15" x14ac:dyDescent="0.3">
      <c r="F20696" s="1"/>
    </row>
    <row r="20697" spans="6:15" x14ac:dyDescent="0.3">
      <c r="F20697" s="1"/>
    </row>
    <row r="20700" spans="6:15" x14ac:dyDescent="0.3">
      <c r="F20700" s="1"/>
    </row>
    <row r="20701" spans="6:15" x14ac:dyDescent="0.3">
      <c r="F20701" s="1"/>
    </row>
    <row r="20703" spans="6:15" x14ac:dyDescent="0.3">
      <c r="F20703" s="1"/>
    </row>
    <row r="20704" spans="6:15" x14ac:dyDescent="0.3">
      <c r="F20704" s="1"/>
    </row>
    <row r="20705" spans="6:15" x14ac:dyDescent="0.3">
      <c r="F20705" s="1"/>
    </row>
    <row r="20706" spans="6:15" x14ac:dyDescent="0.3">
      <c r="F20706" s="1"/>
    </row>
    <row r="20707" spans="6:15" x14ac:dyDescent="0.3">
      <c r="F20707" s="1"/>
      <c r="M20707" s="1"/>
    </row>
    <row r="20708" spans="6:15" x14ac:dyDescent="0.3">
      <c r="F20708" s="1"/>
    </row>
    <row r="20709" spans="6:15" x14ac:dyDescent="0.3">
      <c r="F20709" s="1"/>
    </row>
    <row r="20710" spans="6:15" x14ac:dyDescent="0.3">
      <c r="F20710" s="1"/>
    </row>
    <row r="20712" spans="6:15" x14ac:dyDescent="0.3">
      <c r="F20712" s="1"/>
    </row>
    <row r="20713" spans="6:15" x14ac:dyDescent="0.3">
      <c r="F20713" s="1"/>
    </row>
    <row r="20714" spans="6:15" x14ac:dyDescent="0.3">
      <c r="F20714" s="1"/>
    </row>
    <row r="20715" spans="6:15" x14ac:dyDescent="0.3">
      <c r="F20715" s="1"/>
    </row>
    <row r="20716" spans="6:15" x14ac:dyDescent="0.3">
      <c r="F20716" s="1"/>
    </row>
    <row r="20717" spans="6:15" x14ac:dyDescent="0.3">
      <c r="O20717" s="1"/>
    </row>
    <row r="20718" spans="6:15" x14ac:dyDescent="0.3">
      <c r="F20718" s="1"/>
    </row>
    <row r="20719" spans="6:15" x14ac:dyDescent="0.3">
      <c r="F20719" s="1"/>
    </row>
    <row r="20720" spans="6:15" x14ac:dyDescent="0.3">
      <c r="F20720" s="1"/>
      <c r="L20720" s="1"/>
      <c r="N20720" s="1"/>
    </row>
    <row r="20721" spans="6:13" x14ac:dyDescent="0.3">
      <c r="F20721" s="1"/>
    </row>
    <row r="20722" spans="6:13" x14ac:dyDescent="0.3">
      <c r="F20722" s="1"/>
    </row>
    <row r="20723" spans="6:13" x14ac:dyDescent="0.3">
      <c r="F20723" s="1"/>
    </row>
    <row r="20724" spans="6:13" x14ac:dyDescent="0.3">
      <c r="F20724" s="1"/>
    </row>
    <row r="20725" spans="6:13" x14ac:dyDescent="0.3">
      <c r="F20725" s="1"/>
    </row>
    <row r="20727" spans="6:13" x14ac:dyDescent="0.3">
      <c r="F20727" s="1"/>
    </row>
    <row r="20728" spans="6:13" x14ac:dyDescent="0.3">
      <c r="F20728" s="1"/>
    </row>
    <row r="20729" spans="6:13" x14ac:dyDescent="0.3">
      <c r="F20729" s="1"/>
    </row>
    <row r="20730" spans="6:13" x14ac:dyDescent="0.3">
      <c r="F20730" s="1"/>
    </row>
    <row r="20731" spans="6:13" x14ac:dyDescent="0.3">
      <c r="F20731" s="1"/>
    </row>
    <row r="20732" spans="6:13" x14ac:dyDescent="0.3">
      <c r="F20732" s="1"/>
      <c r="M20732" s="1"/>
    </row>
    <row r="20733" spans="6:13" x14ac:dyDescent="0.3">
      <c r="F20733" s="1"/>
    </row>
    <row r="20734" spans="6:13" x14ac:dyDescent="0.3">
      <c r="M20734" s="1"/>
    </row>
    <row r="20735" spans="6:13" x14ac:dyDescent="0.3">
      <c r="F20735" s="1"/>
    </row>
    <row r="20736" spans="6:13" x14ac:dyDescent="0.3">
      <c r="F20736" s="1"/>
    </row>
    <row r="20738" spans="6:12" x14ac:dyDescent="0.3">
      <c r="F20738" s="1"/>
    </row>
    <row r="20739" spans="6:12" x14ac:dyDescent="0.3">
      <c r="F20739" s="1"/>
    </row>
    <row r="20740" spans="6:12" x14ac:dyDescent="0.3">
      <c r="F20740" s="1"/>
    </row>
    <row r="20741" spans="6:12" x14ac:dyDescent="0.3">
      <c r="F20741" s="1"/>
    </row>
    <row r="20742" spans="6:12" x14ac:dyDescent="0.3">
      <c r="F20742" s="1"/>
    </row>
    <row r="20743" spans="6:12" x14ac:dyDescent="0.3">
      <c r="F20743" s="1"/>
    </row>
    <row r="20745" spans="6:12" x14ac:dyDescent="0.3">
      <c r="F20745" s="1"/>
    </row>
    <row r="20747" spans="6:12" x14ac:dyDescent="0.3">
      <c r="L20747" s="1"/>
    </row>
    <row r="20749" spans="6:12" x14ac:dyDescent="0.3">
      <c r="F20749" s="1"/>
    </row>
    <row r="20750" spans="6:12" x14ac:dyDescent="0.3">
      <c r="F20750" s="1"/>
    </row>
    <row r="20751" spans="6:12" x14ac:dyDescent="0.3">
      <c r="F20751" s="1"/>
    </row>
    <row r="20753" spans="6:14" x14ac:dyDescent="0.3">
      <c r="F20753" s="1"/>
    </row>
    <row r="20754" spans="6:14" x14ac:dyDescent="0.3">
      <c r="F20754" s="1"/>
    </row>
    <row r="20755" spans="6:14" x14ac:dyDescent="0.3">
      <c r="F20755" s="1"/>
    </row>
    <row r="20756" spans="6:14" x14ac:dyDescent="0.3">
      <c r="F20756" s="1"/>
    </row>
    <row r="20757" spans="6:14" x14ac:dyDescent="0.3">
      <c r="F20757" s="1"/>
    </row>
    <row r="20758" spans="6:14" x14ac:dyDescent="0.3">
      <c r="F20758" s="1"/>
    </row>
    <row r="20759" spans="6:14" x14ac:dyDescent="0.3">
      <c r="F20759" s="1"/>
    </row>
    <row r="20762" spans="6:14" x14ac:dyDescent="0.3">
      <c r="F20762" s="1"/>
    </row>
    <row r="20763" spans="6:14" x14ac:dyDescent="0.3">
      <c r="F20763" s="1"/>
    </row>
    <row r="20764" spans="6:14" x14ac:dyDescent="0.3">
      <c r="F20764" s="1"/>
      <c r="M20764" s="1"/>
    </row>
    <row r="20765" spans="6:14" x14ac:dyDescent="0.3">
      <c r="L20765" s="1"/>
      <c r="N20765" s="1"/>
    </row>
    <row r="20766" spans="6:14" x14ac:dyDescent="0.3">
      <c r="F20766" s="1"/>
    </row>
    <row r="20767" spans="6:14" x14ac:dyDescent="0.3">
      <c r="F20767" s="1"/>
    </row>
    <row r="20768" spans="6:14" x14ac:dyDescent="0.3">
      <c r="F20768" s="1"/>
    </row>
    <row r="20769" spans="6:6" x14ac:dyDescent="0.3">
      <c r="F20769" s="1"/>
    </row>
    <row r="20770" spans="6:6" x14ac:dyDescent="0.3">
      <c r="F20770" s="1"/>
    </row>
    <row r="20771" spans="6:6" x14ac:dyDescent="0.3">
      <c r="F20771" s="1"/>
    </row>
    <row r="20772" spans="6:6" x14ac:dyDescent="0.3">
      <c r="F20772" s="1"/>
    </row>
    <row r="20773" spans="6:6" x14ac:dyDescent="0.3">
      <c r="F20773" s="1"/>
    </row>
    <row r="20774" spans="6:6" x14ac:dyDescent="0.3">
      <c r="F20774" s="1"/>
    </row>
    <row r="20775" spans="6:6" x14ac:dyDescent="0.3">
      <c r="F20775" s="1"/>
    </row>
    <row r="20776" spans="6:6" x14ac:dyDescent="0.3">
      <c r="F20776" s="1"/>
    </row>
    <row r="20777" spans="6:6" x14ac:dyDescent="0.3">
      <c r="F20777" s="1"/>
    </row>
    <row r="20778" spans="6:6" x14ac:dyDescent="0.3">
      <c r="F20778" s="1"/>
    </row>
    <row r="20779" spans="6:6" x14ac:dyDescent="0.3">
      <c r="F20779" s="1"/>
    </row>
    <row r="20781" spans="6:6" x14ac:dyDescent="0.3">
      <c r="F20781" s="1"/>
    </row>
    <row r="20782" spans="6:6" x14ac:dyDescent="0.3">
      <c r="F20782" s="1"/>
    </row>
    <row r="20783" spans="6:6" x14ac:dyDescent="0.3">
      <c r="F20783" s="1"/>
    </row>
    <row r="20784" spans="6:6" x14ac:dyDescent="0.3">
      <c r="F20784" s="1"/>
    </row>
    <row r="20785" spans="6:15" x14ac:dyDescent="0.3">
      <c r="F20785" s="1"/>
    </row>
    <row r="20786" spans="6:15" x14ac:dyDescent="0.3">
      <c r="F20786" s="1"/>
    </row>
    <row r="20787" spans="6:15" x14ac:dyDescent="0.3">
      <c r="F20787" s="1"/>
    </row>
    <row r="20788" spans="6:15" x14ac:dyDescent="0.3">
      <c r="F20788" s="1"/>
    </row>
    <row r="20789" spans="6:15" x14ac:dyDescent="0.3">
      <c r="F20789" s="1"/>
    </row>
    <row r="20790" spans="6:15" x14ac:dyDescent="0.3">
      <c r="F20790" s="1"/>
    </row>
    <row r="20791" spans="6:15" x14ac:dyDescent="0.3">
      <c r="M20791" s="1"/>
      <c r="N20791" s="1"/>
      <c r="O20791" s="1"/>
    </row>
    <row r="20794" spans="6:15" x14ac:dyDescent="0.3">
      <c r="F20794" s="1"/>
      <c r="L20794" s="1"/>
      <c r="M20794" s="1"/>
      <c r="N20794" s="1"/>
      <c r="O20794" s="1"/>
    </row>
    <row r="20795" spans="6:15" x14ac:dyDescent="0.3">
      <c r="F20795" s="1"/>
    </row>
    <row r="20796" spans="6:15" x14ac:dyDescent="0.3">
      <c r="F20796" s="1"/>
    </row>
    <row r="20797" spans="6:15" x14ac:dyDescent="0.3">
      <c r="F20797" s="1"/>
      <c r="M20797" s="1"/>
      <c r="N20797" s="1"/>
    </row>
    <row r="20798" spans="6:15" x14ac:dyDescent="0.3">
      <c r="F20798" s="1"/>
    </row>
    <row r="20799" spans="6:15" x14ac:dyDescent="0.3">
      <c r="F20799" s="1"/>
    </row>
    <row r="20800" spans="6:15" x14ac:dyDescent="0.3">
      <c r="F20800" s="1"/>
    </row>
    <row r="20801" spans="6:14" x14ac:dyDescent="0.3">
      <c r="F20801" s="1"/>
    </row>
    <row r="20804" spans="6:14" x14ac:dyDescent="0.3">
      <c r="F20804" s="1"/>
    </row>
    <row r="20805" spans="6:14" x14ac:dyDescent="0.3">
      <c r="F20805" s="1"/>
    </row>
    <row r="20806" spans="6:14" x14ac:dyDescent="0.3">
      <c r="F20806" s="1"/>
    </row>
    <row r="20807" spans="6:14" x14ac:dyDescent="0.3">
      <c r="F20807" s="1"/>
    </row>
    <row r="20808" spans="6:14" x14ac:dyDescent="0.3">
      <c r="L20808" s="1"/>
      <c r="N20808" s="1"/>
    </row>
    <row r="20809" spans="6:14" x14ac:dyDescent="0.3">
      <c r="F20809" s="1"/>
    </row>
    <row r="20810" spans="6:14" x14ac:dyDescent="0.3">
      <c r="F20810" s="1"/>
    </row>
    <row r="20811" spans="6:14" x14ac:dyDescent="0.3">
      <c r="F20811" s="1"/>
    </row>
    <row r="20812" spans="6:14" x14ac:dyDescent="0.3">
      <c r="F20812" s="1"/>
      <c r="M20812" s="1"/>
      <c r="N20812" s="1"/>
    </row>
    <row r="20814" spans="6:14" x14ac:dyDescent="0.3">
      <c r="F20814" s="1"/>
    </row>
    <row r="20815" spans="6:14" x14ac:dyDescent="0.3">
      <c r="F20815" s="1"/>
    </row>
    <row r="20816" spans="6:14" x14ac:dyDescent="0.3">
      <c r="F20816" s="1"/>
    </row>
    <row r="20817" spans="6:6" x14ac:dyDescent="0.3">
      <c r="F20817" s="1"/>
    </row>
    <row r="20818" spans="6:6" x14ac:dyDescent="0.3">
      <c r="F20818" s="1"/>
    </row>
    <row r="20819" spans="6:6" x14ac:dyDescent="0.3">
      <c r="F20819" s="1"/>
    </row>
    <row r="20820" spans="6:6" x14ac:dyDescent="0.3">
      <c r="F20820" s="1"/>
    </row>
    <row r="20821" spans="6:6" x14ac:dyDescent="0.3">
      <c r="F20821" s="1"/>
    </row>
    <row r="20822" spans="6:6" x14ac:dyDescent="0.3">
      <c r="F20822" s="1"/>
    </row>
    <row r="20823" spans="6:6" x14ac:dyDescent="0.3">
      <c r="F20823" s="1"/>
    </row>
    <row r="20824" spans="6:6" x14ac:dyDescent="0.3">
      <c r="F20824" s="1"/>
    </row>
    <row r="20825" spans="6:6" x14ac:dyDescent="0.3">
      <c r="F20825" s="1"/>
    </row>
    <row r="20826" spans="6:6" x14ac:dyDescent="0.3">
      <c r="F20826" s="1"/>
    </row>
    <row r="20827" spans="6:6" x14ac:dyDescent="0.3">
      <c r="F20827" s="1"/>
    </row>
    <row r="20828" spans="6:6" x14ac:dyDescent="0.3">
      <c r="F20828" s="1"/>
    </row>
    <row r="20829" spans="6:6" x14ac:dyDescent="0.3">
      <c r="F20829" s="1"/>
    </row>
    <row r="20830" spans="6:6" x14ac:dyDescent="0.3">
      <c r="F20830" s="1"/>
    </row>
    <row r="20831" spans="6:6" x14ac:dyDescent="0.3">
      <c r="F20831" s="1"/>
    </row>
    <row r="20832" spans="6:6" x14ac:dyDescent="0.3">
      <c r="F20832" s="1"/>
    </row>
    <row r="20833" spans="6:15" x14ac:dyDescent="0.3">
      <c r="F20833" s="1"/>
    </row>
    <row r="20834" spans="6:15" x14ac:dyDescent="0.3">
      <c r="F20834" s="1"/>
    </row>
    <row r="20835" spans="6:15" x14ac:dyDescent="0.3">
      <c r="F20835" s="1"/>
    </row>
    <row r="20837" spans="6:15" x14ac:dyDescent="0.3">
      <c r="F20837" s="1"/>
    </row>
    <row r="20839" spans="6:15" x14ac:dyDescent="0.3">
      <c r="L20839" s="1"/>
      <c r="N20839" s="1"/>
      <c r="O20839" s="1"/>
    </row>
    <row r="20840" spans="6:15" x14ac:dyDescent="0.3">
      <c r="F20840" s="1"/>
      <c r="L20840" s="1"/>
      <c r="M20840" s="1"/>
    </row>
    <row r="20841" spans="6:15" x14ac:dyDescent="0.3">
      <c r="F20841" s="1"/>
    </row>
    <row r="20842" spans="6:15" x14ac:dyDescent="0.3">
      <c r="F20842" s="1"/>
    </row>
    <row r="20843" spans="6:15" x14ac:dyDescent="0.3">
      <c r="L20843" s="1"/>
      <c r="N20843" s="1"/>
      <c r="O20843" s="1"/>
    </row>
    <row r="20844" spans="6:15" x14ac:dyDescent="0.3">
      <c r="F20844" s="1"/>
    </row>
    <row r="20845" spans="6:15" x14ac:dyDescent="0.3">
      <c r="N20845" s="1"/>
      <c r="O20845" s="1"/>
    </row>
    <row r="20846" spans="6:15" x14ac:dyDescent="0.3">
      <c r="F20846" s="1"/>
    </row>
    <row r="20847" spans="6:15" x14ac:dyDescent="0.3">
      <c r="F20847" s="1"/>
    </row>
    <row r="20848" spans="6:15" x14ac:dyDescent="0.3">
      <c r="F20848" s="1"/>
    </row>
    <row r="20849" spans="6:15" x14ac:dyDescent="0.3">
      <c r="F20849" s="1"/>
      <c r="N20849" s="1"/>
    </row>
    <row r="20850" spans="6:15" x14ac:dyDescent="0.3">
      <c r="F20850" s="1"/>
    </row>
    <row r="20851" spans="6:15" x14ac:dyDescent="0.3">
      <c r="L20851" s="1"/>
      <c r="M20851" s="1"/>
      <c r="N20851" s="1"/>
      <c r="O20851" s="1"/>
    </row>
    <row r="20852" spans="6:15" x14ac:dyDescent="0.3">
      <c r="F20852" s="1"/>
    </row>
    <row r="20853" spans="6:15" x14ac:dyDescent="0.3">
      <c r="F20853" s="1"/>
    </row>
    <row r="20854" spans="6:15" x14ac:dyDescent="0.3">
      <c r="F20854" s="1"/>
    </row>
    <row r="20855" spans="6:15" x14ac:dyDescent="0.3">
      <c r="F20855" s="1"/>
    </row>
    <row r="20857" spans="6:15" x14ac:dyDescent="0.3">
      <c r="F20857" s="1"/>
    </row>
    <row r="20858" spans="6:15" x14ac:dyDescent="0.3">
      <c r="F20858" s="1"/>
    </row>
    <row r="20859" spans="6:15" x14ac:dyDescent="0.3">
      <c r="F20859" s="1"/>
    </row>
    <row r="20860" spans="6:15" x14ac:dyDescent="0.3">
      <c r="F20860" s="1"/>
    </row>
    <row r="20861" spans="6:15" x14ac:dyDescent="0.3">
      <c r="F20861" s="1"/>
    </row>
    <row r="20862" spans="6:15" x14ac:dyDescent="0.3">
      <c r="F20862" s="1"/>
      <c r="L20862" s="1"/>
      <c r="M20862" s="1"/>
    </row>
    <row r="20863" spans="6:15" x14ac:dyDescent="0.3">
      <c r="F20863" s="1"/>
      <c r="N20863" s="1"/>
    </row>
    <row r="20864" spans="6:15" x14ac:dyDescent="0.3">
      <c r="F20864" s="1"/>
    </row>
    <row r="20865" spans="6:14" x14ac:dyDescent="0.3">
      <c r="F20865" s="1"/>
    </row>
    <row r="20866" spans="6:14" x14ac:dyDescent="0.3">
      <c r="F20866" s="1"/>
    </row>
    <row r="20867" spans="6:14" x14ac:dyDescent="0.3">
      <c r="F20867" s="1"/>
    </row>
    <row r="20868" spans="6:14" x14ac:dyDescent="0.3">
      <c r="F20868" s="1"/>
    </row>
    <row r="20869" spans="6:14" x14ac:dyDescent="0.3">
      <c r="F20869" s="1"/>
    </row>
    <row r="20870" spans="6:14" x14ac:dyDescent="0.3">
      <c r="F20870" s="1"/>
    </row>
    <row r="20871" spans="6:14" x14ac:dyDescent="0.3">
      <c r="F20871" s="1"/>
    </row>
    <row r="20872" spans="6:14" x14ac:dyDescent="0.3">
      <c r="F20872" s="1"/>
    </row>
    <row r="20873" spans="6:14" x14ac:dyDescent="0.3">
      <c r="F20873" s="1"/>
    </row>
    <row r="20874" spans="6:14" x14ac:dyDescent="0.3">
      <c r="F20874" s="1"/>
    </row>
    <row r="20875" spans="6:14" x14ac:dyDescent="0.3">
      <c r="F20875" s="1"/>
    </row>
    <row r="20876" spans="6:14" x14ac:dyDescent="0.3">
      <c r="F20876" s="1"/>
    </row>
    <row r="20877" spans="6:14" x14ac:dyDescent="0.3">
      <c r="F20877" s="1"/>
    </row>
    <row r="20878" spans="6:14" x14ac:dyDescent="0.3">
      <c r="F20878" s="1"/>
      <c r="N20878" s="1"/>
    </row>
    <row r="20879" spans="6:14" x14ac:dyDescent="0.3">
      <c r="F20879" s="1"/>
    </row>
    <row r="20880" spans="6:14" x14ac:dyDescent="0.3">
      <c r="F20880" s="1"/>
    </row>
    <row r="20881" spans="6:6" x14ac:dyDescent="0.3">
      <c r="F20881" s="1"/>
    </row>
    <row r="20882" spans="6:6" x14ac:dyDescent="0.3">
      <c r="F20882" s="1"/>
    </row>
    <row r="20883" spans="6:6" x14ac:dyDescent="0.3">
      <c r="F20883" s="1"/>
    </row>
    <row r="20884" spans="6:6" x14ac:dyDescent="0.3">
      <c r="F20884" s="1"/>
    </row>
    <row r="20885" spans="6:6" x14ac:dyDescent="0.3">
      <c r="F20885" s="1"/>
    </row>
    <row r="20886" spans="6:6" x14ac:dyDescent="0.3">
      <c r="F20886" s="1"/>
    </row>
    <row r="20887" spans="6:6" x14ac:dyDescent="0.3">
      <c r="F20887" s="1"/>
    </row>
    <row r="20889" spans="6:6" x14ac:dyDescent="0.3">
      <c r="F20889" s="1"/>
    </row>
    <row r="20890" spans="6:6" x14ac:dyDescent="0.3">
      <c r="F20890" s="1"/>
    </row>
    <row r="20892" spans="6:6" x14ac:dyDescent="0.3">
      <c r="F20892" s="1"/>
    </row>
    <row r="20893" spans="6:6" x14ac:dyDescent="0.3">
      <c r="F20893" s="1"/>
    </row>
    <row r="20894" spans="6:6" x14ac:dyDescent="0.3">
      <c r="F20894" s="1"/>
    </row>
    <row r="20895" spans="6:6" x14ac:dyDescent="0.3">
      <c r="F20895" s="1"/>
    </row>
    <row r="20897" spans="6:14" x14ac:dyDescent="0.3">
      <c r="F20897" s="1"/>
    </row>
    <row r="20898" spans="6:14" x14ac:dyDescent="0.3">
      <c r="F20898" s="1"/>
    </row>
    <row r="20899" spans="6:14" x14ac:dyDescent="0.3">
      <c r="F20899" s="1"/>
    </row>
    <row r="20900" spans="6:14" x14ac:dyDescent="0.3">
      <c r="F20900" s="1"/>
    </row>
    <row r="20901" spans="6:14" x14ac:dyDescent="0.3">
      <c r="F20901" s="1"/>
    </row>
    <row r="20902" spans="6:14" x14ac:dyDescent="0.3">
      <c r="F20902" s="1"/>
    </row>
    <row r="20903" spans="6:14" x14ac:dyDescent="0.3">
      <c r="F20903" s="1"/>
    </row>
    <row r="20904" spans="6:14" x14ac:dyDescent="0.3">
      <c r="F20904" s="1"/>
    </row>
    <row r="20905" spans="6:14" x14ac:dyDescent="0.3">
      <c r="F20905" s="1"/>
    </row>
    <row r="20906" spans="6:14" x14ac:dyDescent="0.3">
      <c r="F20906" s="1"/>
    </row>
    <row r="20907" spans="6:14" x14ac:dyDescent="0.3">
      <c r="F20907" s="1"/>
    </row>
    <row r="20908" spans="6:14" x14ac:dyDescent="0.3">
      <c r="F20908" s="1"/>
      <c r="M20908" s="1"/>
    </row>
    <row r="20909" spans="6:14" x14ac:dyDescent="0.3">
      <c r="F20909" s="1"/>
      <c r="L20909" s="1"/>
      <c r="N20909" s="1"/>
    </row>
    <row r="20910" spans="6:14" x14ac:dyDescent="0.3">
      <c r="F20910" s="1"/>
    </row>
    <row r="20911" spans="6:14" x14ac:dyDescent="0.3">
      <c r="F20911" s="1"/>
    </row>
    <row r="20912" spans="6:14" x14ac:dyDescent="0.3">
      <c r="F20912" s="1"/>
    </row>
    <row r="20914" spans="6:15" x14ac:dyDescent="0.3">
      <c r="F20914" s="1"/>
    </row>
    <row r="20915" spans="6:15" x14ac:dyDescent="0.3">
      <c r="F20915" s="1"/>
    </row>
    <row r="20917" spans="6:15" x14ac:dyDescent="0.3">
      <c r="F20917" s="1"/>
    </row>
    <row r="20918" spans="6:15" x14ac:dyDescent="0.3">
      <c r="F20918" s="1"/>
    </row>
    <row r="20919" spans="6:15" x14ac:dyDescent="0.3">
      <c r="F20919" s="1"/>
    </row>
    <row r="20920" spans="6:15" x14ac:dyDescent="0.3">
      <c r="F20920" s="1"/>
    </row>
    <row r="20921" spans="6:15" x14ac:dyDescent="0.3">
      <c r="F20921" s="1"/>
      <c r="L20921" s="1"/>
      <c r="M20921" s="1"/>
      <c r="O20921" s="1"/>
    </row>
    <row r="20922" spans="6:15" x14ac:dyDescent="0.3">
      <c r="F20922" s="1"/>
    </row>
    <row r="20923" spans="6:15" x14ac:dyDescent="0.3">
      <c r="M20923" s="1"/>
    </row>
    <row r="20924" spans="6:15" x14ac:dyDescent="0.3">
      <c r="F20924" s="1"/>
    </row>
    <row r="20925" spans="6:15" x14ac:dyDescent="0.3">
      <c r="F20925" s="1"/>
      <c r="L20925" s="1"/>
      <c r="M20925" s="1"/>
      <c r="N20925" s="1"/>
      <c r="O20925" s="1"/>
    </row>
    <row r="20926" spans="6:15" x14ac:dyDescent="0.3">
      <c r="F20926" s="1"/>
    </row>
    <row r="20927" spans="6:15" x14ac:dyDescent="0.3">
      <c r="F20927" s="1"/>
    </row>
    <row r="20929" spans="6:6" x14ac:dyDescent="0.3">
      <c r="F20929" s="1"/>
    </row>
    <row r="20930" spans="6:6" x14ac:dyDescent="0.3">
      <c r="F20930" s="1"/>
    </row>
    <row r="20931" spans="6:6" x14ac:dyDescent="0.3">
      <c r="F20931" s="1"/>
    </row>
    <row r="20932" spans="6:6" x14ac:dyDescent="0.3">
      <c r="F20932" s="1"/>
    </row>
    <row r="20934" spans="6:6" x14ac:dyDescent="0.3">
      <c r="F20934" s="1"/>
    </row>
    <row r="20935" spans="6:6" x14ac:dyDescent="0.3">
      <c r="F20935" s="1"/>
    </row>
    <row r="20936" spans="6:6" x14ac:dyDescent="0.3">
      <c r="F20936" s="1"/>
    </row>
    <row r="20938" spans="6:6" x14ac:dyDescent="0.3">
      <c r="F20938" s="1"/>
    </row>
    <row r="20939" spans="6:6" x14ac:dyDescent="0.3">
      <c r="F20939" s="1"/>
    </row>
    <row r="20940" spans="6:6" x14ac:dyDescent="0.3">
      <c r="F20940" s="1"/>
    </row>
    <row r="20941" spans="6:6" x14ac:dyDescent="0.3">
      <c r="F20941" s="1"/>
    </row>
    <row r="20942" spans="6:6" x14ac:dyDescent="0.3">
      <c r="F20942" s="1"/>
    </row>
    <row r="20943" spans="6:6" x14ac:dyDescent="0.3">
      <c r="F20943" s="1"/>
    </row>
    <row r="20944" spans="6:6" x14ac:dyDescent="0.3">
      <c r="F20944" s="1"/>
    </row>
    <row r="20945" spans="6:14" x14ac:dyDescent="0.3">
      <c r="L20945" s="1"/>
      <c r="M20945" s="1"/>
    </row>
    <row r="20946" spans="6:14" x14ac:dyDescent="0.3">
      <c r="F20946" s="1"/>
      <c r="L20946" s="1"/>
      <c r="M20946" s="1"/>
    </row>
    <row r="20947" spans="6:14" x14ac:dyDescent="0.3">
      <c r="F20947" s="1"/>
    </row>
    <row r="20948" spans="6:14" x14ac:dyDescent="0.3">
      <c r="F20948" s="1"/>
    </row>
    <row r="20949" spans="6:14" x14ac:dyDescent="0.3">
      <c r="F20949" s="1"/>
      <c r="N20949" s="1"/>
    </row>
    <row r="20950" spans="6:14" x14ac:dyDescent="0.3">
      <c r="F20950" s="1"/>
    </row>
    <row r="20951" spans="6:14" x14ac:dyDescent="0.3">
      <c r="F20951" s="1"/>
    </row>
    <row r="20953" spans="6:14" x14ac:dyDescent="0.3">
      <c r="F20953" s="1"/>
    </row>
    <row r="20954" spans="6:14" x14ac:dyDescent="0.3">
      <c r="F20954" s="1"/>
    </row>
    <row r="20955" spans="6:14" x14ac:dyDescent="0.3">
      <c r="F20955" s="1"/>
    </row>
    <row r="20956" spans="6:14" x14ac:dyDescent="0.3">
      <c r="F20956" s="1"/>
    </row>
    <row r="20957" spans="6:14" x14ac:dyDescent="0.3">
      <c r="N20957" s="1"/>
    </row>
    <row r="20958" spans="6:14" x14ac:dyDescent="0.3">
      <c r="F20958" s="1"/>
    </row>
    <row r="20959" spans="6:14" x14ac:dyDescent="0.3">
      <c r="M20959" s="1"/>
      <c r="N20959" s="1"/>
    </row>
    <row r="20960" spans="6:14" x14ac:dyDescent="0.3">
      <c r="F20960" s="1"/>
    </row>
    <row r="20961" spans="6:13" x14ac:dyDescent="0.3">
      <c r="F20961" s="1"/>
    </row>
    <row r="20962" spans="6:13" x14ac:dyDescent="0.3">
      <c r="F20962" s="1"/>
    </row>
    <row r="20963" spans="6:13" x14ac:dyDescent="0.3">
      <c r="F20963" s="1"/>
    </row>
    <row r="20964" spans="6:13" x14ac:dyDescent="0.3">
      <c r="F20964" s="1"/>
      <c r="L20964" s="1"/>
      <c r="M20964" s="1"/>
    </row>
    <row r="20965" spans="6:13" x14ac:dyDescent="0.3">
      <c r="F20965" s="1"/>
    </row>
    <row r="20966" spans="6:13" x14ac:dyDescent="0.3">
      <c r="F20966" s="1"/>
    </row>
    <row r="20967" spans="6:13" x14ac:dyDescent="0.3">
      <c r="F20967" s="1"/>
    </row>
    <row r="20968" spans="6:13" x14ac:dyDescent="0.3">
      <c r="F20968" s="1"/>
    </row>
    <row r="20969" spans="6:13" x14ac:dyDescent="0.3">
      <c r="F20969" s="1"/>
    </row>
    <row r="20970" spans="6:13" x14ac:dyDescent="0.3">
      <c r="F20970" s="1"/>
    </row>
    <row r="20971" spans="6:13" x14ac:dyDescent="0.3">
      <c r="F20971" s="1"/>
    </row>
    <row r="20973" spans="6:13" x14ac:dyDescent="0.3">
      <c r="F20973" s="1"/>
    </row>
    <row r="20974" spans="6:13" x14ac:dyDescent="0.3">
      <c r="F20974" s="1"/>
    </row>
    <row r="20975" spans="6:13" x14ac:dyDescent="0.3">
      <c r="F20975" s="1"/>
      <c r="M20975" s="1"/>
    </row>
    <row r="20976" spans="6:13" x14ac:dyDescent="0.3">
      <c r="F20976" s="1"/>
    </row>
    <row r="20977" spans="6:14" x14ac:dyDescent="0.3">
      <c r="F20977" s="1"/>
    </row>
    <row r="20978" spans="6:14" x14ac:dyDescent="0.3">
      <c r="F20978" s="1"/>
    </row>
    <row r="20979" spans="6:14" x14ac:dyDescent="0.3">
      <c r="F20979" s="1"/>
    </row>
    <row r="20980" spans="6:14" x14ac:dyDescent="0.3">
      <c r="N20980" s="1"/>
    </row>
    <row r="20981" spans="6:14" x14ac:dyDescent="0.3">
      <c r="F20981" s="1"/>
    </row>
    <row r="20982" spans="6:14" x14ac:dyDescent="0.3">
      <c r="F20982" s="1"/>
    </row>
    <row r="20983" spans="6:14" x14ac:dyDescent="0.3">
      <c r="F20983" s="1"/>
    </row>
    <row r="20984" spans="6:14" x14ac:dyDescent="0.3">
      <c r="F20984" s="1"/>
    </row>
    <row r="20985" spans="6:14" x14ac:dyDescent="0.3">
      <c r="F20985" s="1"/>
      <c r="N20985" s="1"/>
    </row>
    <row r="20987" spans="6:14" x14ac:dyDescent="0.3">
      <c r="F20987" s="1"/>
    </row>
    <row r="20988" spans="6:14" x14ac:dyDescent="0.3">
      <c r="F20988" s="1"/>
    </row>
    <row r="20989" spans="6:14" x14ac:dyDescent="0.3">
      <c r="F20989" s="1"/>
    </row>
    <row r="20990" spans="6:14" x14ac:dyDescent="0.3">
      <c r="F20990" s="1"/>
    </row>
    <row r="20991" spans="6:14" x14ac:dyDescent="0.3">
      <c r="F20991" s="1"/>
      <c r="N20991" s="1"/>
    </row>
    <row r="20992" spans="6:14" x14ac:dyDescent="0.3">
      <c r="F20992" s="1"/>
    </row>
    <row r="20993" spans="6:6" x14ac:dyDescent="0.3">
      <c r="F20993" s="1"/>
    </row>
    <row r="20994" spans="6:6" x14ac:dyDescent="0.3">
      <c r="F20994" s="1"/>
    </row>
    <row r="20995" spans="6:6" x14ac:dyDescent="0.3">
      <c r="F20995" s="1"/>
    </row>
    <row r="20996" spans="6:6" x14ac:dyDescent="0.3">
      <c r="F20996" s="1"/>
    </row>
    <row r="20997" spans="6:6" x14ac:dyDescent="0.3">
      <c r="F20997" s="1"/>
    </row>
    <row r="20998" spans="6:6" x14ac:dyDescent="0.3">
      <c r="F20998" s="1"/>
    </row>
    <row r="20999" spans="6:6" x14ac:dyDescent="0.3">
      <c r="F20999" s="1"/>
    </row>
    <row r="21001" spans="6:6" x14ac:dyDescent="0.3">
      <c r="F21001" s="1"/>
    </row>
    <row r="21002" spans="6:6" x14ac:dyDescent="0.3">
      <c r="F21002" s="1"/>
    </row>
    <row r="21003" spans="6:6" x14ac:dyDescent="0.3">
      <c r="F21003" s="1"/>
    </row>
    <row r="21005" spans="6:6" x14ac:dyDescent="0.3">
      <c r="F21005" s="1"/>
    </row>
    <row r="21006" spans="6:6" x14ac:dyDescent="0.3">
      <c r="F21006" s="1"/>
    </row>
    <row r="21007" spans="6:6" x14ac:dyDescent="0.3">
      <c r="F21007" s="1"/>
    </row>
    <row r="21009" spans="6:15" x14ac:dyDescent="0.3">
      <c r="F21009" s="1"/>
    </row>
    <row r="21010" spans="6:15" x14ac:dyDescent="0.3">
      <c r="M21010" s="1"/>
    </row>
    <row r="21011" spans="6:15" x14ac:dyDescent="0.3">
      <c r="M21011" s="1"/>
      <c r="N21011" s="1"/>
      <c r="O21011" s="1"/>
    </row>
    <row r="21013" spans="6:15" x14ac:dyDescent="0.3">
      <c r="F21013" s="1"/>
    </row>
    <row r="21014" spans="6:15" x14ac:dyDescent="0.3">
      <c r="F21014" s="1"/>
    </row>
    <row r="21015" spans="6:15" x14ac:dyDescent="0.3">
      <c r="F21015" s="1"/>
    </row>
    <row r="21016" spans="6:15" x14ac:dyDescent="0.3">
      <c r="F21016" s="1"/>
    </row>
    <row r="21017" spans="6:15" x14ac:dyDescent="0.3">
      <c r="F21017" s="1"/>
    </row>
    <row r="21018" spans="6:15" x14ac:dyDescent="0.3">
      <c r="F21018" s="1"/>
    </row>
    <row r="21020" spans="6:15" x14ac:dyDescent="0.3">
      <c r="F21020" s="1"/>
    </row>
    <row r="21021" spans="6:15" x14ac:dyDescent="0.3">
      <c r="F21021" s="1"/>
    </row>
    <row r="21022" spans="6:15" x14ac:dyDescent="0.3">
      <c r="F21022" s="1"/>
    </row>
    <row r="21024" spans="6:15" x14ac:dyDescent="0.3">
      <c r="F21024" s="1"/>
    </row>
    <row r="21025" spans="6:6" x14ac:dyDescent="0.3">
      <c r="F21025" s="1"/>
    </row>
    <row r="21026" spans="6:6" x14ac:dyDescent="0.3">
      <c r="F21026" s="1"/>
    </row>
    <row r="21028" spans="6:6" x14ac:dyDescent="0.3">
      <c r="F21028" s="1"/>
    </row>
    <row r="21029" spans="6:6" x14ac:dyDescent="0.3">
      <c r="F21029" s="1"/>
    </row>
    <row r="21030" spans="6:6" x14ac:dyDescent="0.3">
      <c r="F21030" s="1"/>
    </row>
    <row r="21032" spans="6:6" x14ac:dyDescent="0.3">
      <c r="F21032" s="1"/>
    </row>
    <row r="21033" spans="6:6" x14ac:dyDescent="0.3">
      <c r="F21033" s="1"/>
    </row>
    <row r="21034" spans="6:6" x14ac:dyDescent="0.3">
      <c r="F21034" s="1"/>
    </row>
    <row r="21035" spans="6:6" x14ac:dyDescent="0.3">
      <c r="F21035" s="1"/>
    </row>
    <row r="21036" spans="6:6" x14ac:dyDescent="0.3">
      <c r="F21036" s="1"/>
    </row>
    <row r="21037" spans="6:6" x14ac:dyDescent="0.3">
      <c r="F21037" s="1"/>
    </row>
    <row r="21038" spans="6:6" x14ac:dyDescent="0.3">
      <c r="F21038" s="1"/>
    </row>
    <row r="21039" spans="6:6" x14ac:dyDescent="0.3">
      <c r="F21039" s="1"/>
    </row>
    <row r="21040" spans="6:6" x14ac:dyDescent="0.3">
      <c r="F21040" s="1"/>
    </row>
    <row r="21042" spans="6:13" x14ac:dyDescent="0.3">
      <c r="L21042" s="1"/>
      <c r="M21042" s="1"/>
    </row>
    <row r="21043" spans="6:13" x14ac:dyDescent="0.3">
      <c r="F21043" s="1"/>
    </row>
    <row r="21044" spans="6:13" x14ac:dyDescent="0.3">
      <c r="F21044" s="1"/>
    </row>
    <row r="21045" spans="6:13" x14ac:dyDescent="0.3">
      <c r="L21045" s="1"/>
    </row>
    <row r="21046" spans="6:13" x14ac:dyDescent="0.3">
      <c r="L21046" s="1"/>
      <c r="M21046" s="1"/>
    </row>
    <row r="21047" spans="6:13" x14ac:dyDescent="0.3">
      <c r="F21047" s="1"/>
    </row>
    <row r="21048" spans="6:13" x14ac:dyDescent="0.3">
      <c r="F21048" s="1"/>
    </row>
    <row r="21049" spans="6:13" x14ac:dyDescent="0.3">
      <c r="F21049" s="1"/>
    </row>
    <row r="21050" spans="6:13" x14ac:dyDescent="0.3">
      <c r="F21050" s="1"/>
      <c r="M21050" s="1"/>
    </row>
    <row r="21051" spans="6:13" x14ac:dyDescent="0.3">
      <c r="F21051" s="1"/>
    </row>
    <row r="21052" spans="6:13" x14ac:dyDescent="0.3">
      <c r="F21052" s="1"/>
    </row>
    <row r="21054" spans="6:13" x14ac:dyDescent="0.3">
      <c r="F21054" s="1"/>
    </row>
    <row r="21055" spans="6:13" x14ac:dyDescent="0.3">
      <c r="F21055" s="1"/>
    </row>
    <row r="21056" spans="6:13" x14ac:dyDescent="0.3">
      <c r="F21056" s="1"/>
    </row>
    <row r="21057" spans="6:15" x14ac:dyDescent="0.3">
      <c r="F21057" s="1"/>
      <c r="N21057" s="1"/>
    </row>
    <row r="21058" spans="6:15" x14ac:dyDescent="0.3">
      <c r="F21058" s="1"/>
    </row>
    <row r="21059" spans="6:15" x14ac:dyDescent="0.3">
      <c r="F21059" s="1"/>
    </row>
    <row r="21060" spans="6:15" x14ac:dyDescent="0.3">
      <c r="F21060" s="1"/>
    </row>
    <row r="21061" spans="6:15" x14ac:dyDescent="0.3">
      <c r="F21061" s="1"/>
    </row>
    <row r="21062" spans="6:15" x14ac:dyDescent="0.3">
      <c r="F21062" s="1"/>
    </row>
    <row r="21064" spans="6:15" x14ac:dyDescent="0.3">
      <c r="F21064" s="1"/>
    </row>
    <row r="21065" spans="6:15" x14ac:dyDescent="0.3">
      <c r="F21065" s="1"/>
    </row>
    <row r="21066" spans="6:15" x14ac:dyDescent="0.3">
      <c r="F21066" s="1"/>
    </row>
    <row r="21068" spans="6:15" x14ac:dyDescent="0.3">
      <c r="F21068" s="1"/>
    </row>
    <row r="21070" spans="6:15" x14ac:dyDescent="0.3">
      <c r="F21070" s="1"/>
    </row>
    <row r="21071" spans="6:15" x14ac:dyDescent="0.3">
      <c r="F21071" s="1"/>
    </row>
    <row r="21072" spans="6:15" x14ac:dyDescent="0.3">
      <c r="M21072" s="1"/>
      <c r="O21072" s="1"/>
    </row>
    <row r="21073" spans="6:15" x14ac:dyDescent="0.3">
      <c r="F21073" s="1"/>
    </row>
    <row r="21074" spans="6:15" x14ac:dyDescent="0.3">
      <c r="F21074" s="1"/>
    </row>
    <row r="21076" spans="6:15" x14ac:dyDescent="0.3">
      <c r="N21076" s="1"/>
      <c r="O21076" s="1"/>
    </row>
    <row r="21077" spans="6:15" x14ac:dyDescent="0.3">
      <c r="F21077" s="1"/>
    </row>
    <row r="21078" spans="6:15" x14ac:dyDescent="0.3">
      <c r="F21078" s="1"/>
    </row>
    <row r="21079" spans="6:15" x14ac:dyDescent="0.3">
      <c r="F21079" s="1"/>
    </row>
    <row r="21080" spans="6:15" x14ac:dyDescent="0.3">
      <c r="F21080" s="1"/>
    </row>
    <row r="21081" spans="6:15" x14ac:dyDescent="0.3">
      <c r="F21081" s="1"/>
    </row>
    <row r="21082" spans="6:15" x14ac:dyDescent="0.3">
      <c r="F21082" s="1"/>
    </row>
    <row r="21083" spans="6:15" x14ac:dyDescent="0.3">
      <c r="F21083" s="1"/>
    </row>
    <row r="21084" spans="6:15" x14ac:dyDescent="0.3">
      <c r="F21084" s="1"/>
    </row>
    <row r="21085" spans="6:15" x14ac:dyDescent="0.3">
      <c r="F21085" s="1"/>
      <c r="M21085" s="1"/>
    </row>
    <row r="21087" spans="6:15" x14ac:dyDescent="0.3">
      <c r="F21087" s="1"/>
    </row>
    <row r="21088" spans="6:15" x14ac:dyDescent="0.3">
      <c r="F21088" s="1"/>
    </row>
    <row r="21089" spans="6:15" x14ac:dyDescent="0.3">
      <c r="L21089" s="1"/>
      <c r="M21089" s="1"/>
      <c r="O21089" s="1"/>
    </row>
    <row r="21090" spans="6:15" x14ac:dyDescent="0.3">
      <c r="F21090" s="1"/>
    </row>
    <row r="21091" spans="6:15" x14ac:dyDescent="0.3">
      <c r="F21091" s="1"/>
    </row>
    <row r="21093" spans="6:15" x14ac:dyDescent="0.3">
      <c r="F21093" s="1"/>
    </row>
    <row r="21094" spans="6:15" x14ac:dyDescent="0.3">
      <c r="F21094" s="1"/>
    </row>
    <row r="21095" spans="6:15" x14ac:dyDescent="0.3">
      <c r="F21095" s="1"/>
    </row>
    <row r="21096" spans="6:15" x14ac:dyDescent="0.3">
      <c r="F21096" s="1"/>
    </row>
    <row r="21098" spans="6:15" x14ac:dyDescent="0.3">
      <c r="F21098" s="1"/>
    </row>
    <row r="21099" spans="6:15" x14ac:dyDescent="0.3">
      <c r="F21099" s="1"/>
    </row>
    <row r="21100" spans="6:15" x14ac:dyDescent="0.3">
      <c r="F21100" s="1"/>
    </row>
    <row r="21101" spans="6:15" x14ac:dyDescent="0.3">
      <c r="F21101" s="1"/>
    </row>
    <row r="21102" spans="6:15" x14ac:dyDescent="0.3">
      <c r="F21102" s="1"/>
    </row>
    <row r="21103" spans="6:15" x14ac:dyDescent="0.3">
      <c r="F21103" s="1"/>
    </row>
    <row r="21105" spans="6:15" x14ac:dyDescent="0.3">
      <c r="L21105" s="1"/>
      <c r="M21105" s="1"/>
      <c r="N21105" s="1"/>
      <c r="O21105" s="1"/>
    </row>
    <row r="21106" spans="6:15" x14ac:dyDescent="0.3">
      <c r="F21106" s="1"/>
    </row>
    <row r="21107" spans="6:15" x14ac:dyDescent="0.3">
      <c r="F21107" s="1"/>
    </row>
    <row r="21109" spans="6:15" x14ac:dyDescent="0.3">
      <c r="F21109" s="1"/>
    </row>
    <row r="21110" spans="6:15" x14ac:dyDescent="0.3">
      <c r="F21110" s="1"/>
    </row>
    <row r="21111" spans="6:15" x14ac:dyDescent="0.3">
      <c r="F21111" s="1"/>
    </row>
    <row r="21112" spans="6:15" x14ac:dyDescent="0.3">
      <c r="F21112" s="1"/>
    </row>
    <row r="21113" spans="6:15" x14ac:dyDescent="0.3">
      <c r="F21113" s="1"/>
      <c r="L21113" s="1"/>
      <c r="N21113" s="1"/>
    </row>
    <row r="21114" spans="6:15" x14ac:dyDescent="0.3">
      <c r="F21114" s="1"/>
      <c r="N21114" s="1"/>
    </row>
    <row r="21116" spans="6:15" x14ac:dyDescent="0.3">
      <c r="F21116" s="1"/>
    </row>
    <row r="21117" spans="6:15" x14ac:dyDescent="0.3">
      <c r="F21117" s="1"/>
    </row>
    <row r="21118" spans="6:15" x14ac:dyDescent="0.3">
      <c r="F21118" s="1"/>
    </row>
    <row r="21119" spans="6:15" x14ac:dyDescent="0.3">
      <c r="F21119" s="1"/>
    </row>
    <row r="21120" spans="6:15" x14ac:dyDescent="0.3">
      <c r="F21120" s="1"/>
    </row>
    <row r="21121" spans="6:15" x14ac:dyDescent="0.3">
      <c r="F21121" s="1"/>
      <c r="M21121" s="1"/>
    </row>
    <row r="21122" spans="6:15" x14ac:dyDescent="0.3">
      <c r="F21122" s="1"/>
    </row>
    <row r="21123" spans="6:15" x14ac:dyDescent="0.3">
      <c r="F21123" s="1"/>
    </row>
    <row r="21124" spans="6:15" x14ac:dyDescent="0.3">
      <c r="F21124" s="1"/>
    </row>
    <row r="21126" spans="6:15" x14ac:dyDescent="0.3">
      <c r="N21126" s="1"/>
      <c r="O21126" s="1"/>
    </row>
    <row r="21127" spans="6:15" x14ac:dyDescent="0.3">
      <c r="F21127" s="1"/>
    </row>
    <row r="21128" spans="6:15" x14ac:dyDescent="0.3">
      <c r="F21128" s="1"/>
    </row>
    <row r="21129" spans="6:15" x14ac:dyDescent="0.3">
      <c r="F21129" s="1"/>
      <c r="N21129" s="1"/>
    </row>
    <row r="21130" spans="6:15" x14ac:dyDescent="0.3">
      <c r="F21130" s="1"/>
    </row>
    <row r="21131" spans="6:15" x14ac:dyDescent="0.3">
      <c r="F21131" s="1"/>
    </row>
    <row r="21132" spans="6:15" x14ac:dyDescent="0.3">
      <c r="L21132" s="1"/>
      <c r="M21132" s="1"/>
    </row>
    <row r="21133" spans="6:15" x14ac:dyDescent="0.3">
      <c r="F21133" s="1"/>
    </row>
    <row r="21134" spans="6:15" x14ac:dyDescent="0.3">
      <c r="F21134" s="1"/>
    </row>
    <row r="21135" spans="6:15" x14ac:dyDescent="0.3">
      <c r="F21135" s="1"/>
    </row>
    <row r="21136" spans="6:15" x14ac:dyDescent="0.3">
      <c r="F21136" s="1"/>
    </row>
    <row r="21137" spans="6:15" x14ac:dyDescent="0.3">
      <c r="F21137" s="1"/>
    </row>
    <row r="21138" spans="6:15" x14ac:dyDescent="0.3">
      <c r="F21138" s="1"/>
    </row>
    <row r="21139" spans="6:15" x14ac:dyDescent="0.3">
      <c r="F21139" s="1"/>
    </row>
    <row r="21140" spans="6:15" x14ac:dyDescent="0.3">
      <c r="F21140" s="1"/>
    </row>
    <row r="21141" spans="6:15" x14ac:dyDescent="0.3">
      <c r="F21141" s="1"/>
    </row>
    <row r="21142" spans="6:15" x14ac:dyDescent="0.3">
      <c r="F21142" s="1"/>
    </row>
    <row r="21143" spans="6:15" x14ac:dyDescent="0.3">
      <c r="F21143" s="1"/>
    </row>
    <row r="21144" spans="6:15" x14ac:dyDescent="0.3">
      <c r="L21144" s="1"/>
      <c r="M21144" s="1"/>
      <c r="N21144" s="1"/>
      <c r="O21144" s="1"/>
    </row>
    <row r="21145" spans="6:15" x14ac:dyDescent="0.3">
      <c r="F21145" s="1"/>
    </row>
    <row r="21146" spans="6:15" x14ac:dyDescent="0.3">
      <c r="F21146" s="1"/>
    </row>
    <row r="21147" spans="6:15" x14ac:dyDescent="0.3">
      <c r="F21147" s="1"/>
    </row>
    <row r="21148" spans="6:15" x14ac:dyDescent="0.3">
      <c r="F21148" s="1"/>
    </row>
    <row r="21150" spans="6:15" x14ac:dyDescent="0.3">
      <c r="F21150" s="1"/>
    </row>
    <row r="21151" spans="6:15" x14ac:dyDescent="0.3">
      <c r="F21151" s="1"/>
    </row>
    <row r="21152" spans="6:15" x14ac:dyDescent="0.3">
      <c r="F21152" s="1"/>
    </row>
    <row r="21153" spans="6:14" x14ac:dyDescent="0.3">
      <c r="F21153" s="1"/>
    </row>
    <row r="21154" spans="6:14" x14ac:dyDescent="0.3">
      <c r="F21154" s="1"/>
    </row>
    <row r="21155" spans="6:14" x14ac:dyDescent="0.3">
      <c r="F21155" s="1"/>
    </row>
    <row r="21156" spans="6:14" x14ac:dyDescent="0.3">
      <c r="F21156" s="1"/>
      <c r="M21156" s="1"/>
    </row>
    <row r="21158" spans="6:14" x14ac:dyDescent="0.3">
      <c r="F21158" s="1"/>
    </row>
    <row r="21159" spans="6:14" x14ac:dyDescent="0.3">
      <c r="F21159" s="1"/>
    </row>
    <row r="21160" spans="6:14" x14ac:dyDescent="0.3">
      <c r="F21160" s="1"/>
    </row>
    <row r="21161" spans="6:14" x14ac:dyDescent="0.3">
      <c r="F21161" s="1"/>
      <c r="N21161" s="1"/>
    </row>
    <row r="21163" spans="6:14" x14ac:dyDescent="0.3">
      <c r="F21163" s="1"/>
    </row>
    <row r="21164" spans="6:14" x14ac:dyDescent="0.3">
      <c r="F21164" s="1"/>
    </row>
    <row r="21165" spans="6:14" x14ac:dyDescent="0.3">
      <c r="F21165" s="1"/>
    </row>
    <row r="21166" spans="6:14" x14ac:dyDescent="0.3">
      <c r="F21166" s="1"/>
    </row>
    <row r="21167" spans="6:14" x14ac:dyDescent="0.3">
      <c r="M21167" s="1"/>
    </row>
    <row r="21168" spans="6:14" x14ac:dyDescent="0.3">
      <c r="F21168" s="1"/>
    </row>
    <row r="21169" spans="6:15" x14ac:dyDescent="0.3">
      <c r="F21169" s="1"/>
    </row>
    <row r="21170" spans="6:15" x14ac:dyDescent="0.3">
      <c r="F21170" s="1"/>
    </row>
    <row r="21171" spans="6:15" x14ac:dyDescent="0.3">
      <c r="F21171" s="1"/>
      <c r="M21171" s="1"/>
      <c r="N21171" s="1"/>
      <c r="O21171" s="1"/>
    </row>
    <row r="21173" spans="6:15" x14ac:dyDescent="0.3">
      <c r="F21173" s="1"/>
    </row>
    <row r="21174" spans="6:15" x14ac:dyDescent="0.3">
      <c r="F21174" s="1"/>
    </row>
    <row r="21175" spans="6:15" x14ac:dyDescent="0.3">
      <c r="F21175" s="1"/>
    </row>
    <row r="21177" spans="6:15" x14ac:dyDescent="0.3">
      <c r="F21177" s="1"/>
      <c r="N21177" s="1"/>
    </row>
    <row r="21179" spans="6:15" x14ac:dyDescent="0.3">
      <c r="F21179" s="1"/>
    </row>
    <row r="21181" spans="6:15" x14ac:dyDescent="0.3">
      <c r="F21181" s="1"/>
    </row>
    <row r="21182" spans="6:15" x14ac:dyDescent="0.3">
      <c r="F21182" s="1"/>
      <c r="L21182" s="1"/>
      <c r="N21182" s="1"/>
      <c r="O21182" s="1"/>
    </row>
    <row r="21184" spans="6:15" x14ac:dyDescent="0.3">
      <c r="F21184" s="1"/>
      <c r="N21184" s="1"/>
    </row>
    <row r="21185" spans="6:15" x14ac:dyDescent="0.3">
      <c r="F21185" s="1"/>
    </row>
    <row r="21186" spans="6:15" x14ac:dyDescent="0.3">
      <c r="F21186" s="1"/>
      <c r="L21186" s="1"/>
    </row>
    <row r="21187" spans="6:15" x14ac:dyDescent="0.3">
      <c r="F21187" s="1"/>
    </row>
    <row r="21188" spans="6:15" x14ac:dyDescent="0.3">
      <c r="F21188" s="1"/>
    </row>
    <row r="21189" spans="6:15" x14ac:dyDescent="0.3">
      <c r="F21189" s="1"/>
    </row>
    <row r="21190" spans="6:15" x14ac:dyDescent="0.3">
      <c r="F21190" s="1"/>
    </row>
    <row r="21191" spans="6:15" x14ac:dyDescent="0.3">
      <c r="L21191" s="1"/>
      <c r="M21191" s="1"/>
      <c r="N21191" s="1"/>
      <c r="O21191" s="1"/>
    </row>
    <row r="21192" spans="6:15" x14ac:dyDescent="0.3">
      <c r="F21192" s="1"/>
    </row>
    <row r="21193" spans="6:15" x14ac:dyDescent="0.3">
      <c r="F21193" s="1"/>
      <c r="L21193" s="1"/>
      <c r="M21193" s="1"/>
      <c r="O21193" s="1"/>
    </row>
    <row r="21195" spans="6:15" x14ac:dyDescent="0.3">
      <c r="F21195" s="1"/>
    </row>
    <row r="21197" spans="6:15" x14ac:dyDescent="0.3">
      <c r="F21197" s="1"/>
    </row>
    <row r="21198" spans="6:15" x14ac:dyDescent="0.3">
      <c r="F21198" s="1"/>
    </row>
    <row r="21199" spans="6:15" x14ac:dyDescent="0.3">
      <c r="F21199" s="1"/>
    </row>
    <row r="21200" spans="6:15" x14ac:dyDescent="0.3">
      <c r="L21200" s="1"/>
      <c r="M21200" s="1"/>
      <c r="O21200" s="1"/>
    </row>
    <row r="21201" spans="6:12" x14ac:dyDescent="0.3">
      <c r="F21201" s="1"/>
    </row>
    <row r="21202" spans="6:12" x14ac:dyDescent="0.3">
      <c r="F21202" s="1"/>
    </row>
    <row r="21203" spans="6:12" x14ac:dyDescent="0.3">
      <c r="F21203" s="1"/>
      <c r="L21203" s="1"/>
    </row>
    <row r="21204" spans="6:12" x14ac:dyDescent="0.3">
      <c r="F21204" s="1"/>
    </row>
    <row r="21205" spans="6:12" x14ac:dyDescent="0.3">
      <c r="F21205" s="1"/>
    </row>
    <row r="21207" spans="6:12" x14ac:dyDescent="0.3">
      <c r="F21207" s="1"/>
    </row>
    <row r="21208" spans="6:12" x14ac:dyDescent="0.3">
      <c r="F21208" s="1"/>
    </row>
    <row r="21209" spans="6:12" x14ac:dyDescent="0.3">
      <c r="F21209" s="1"/>
    </row>
    <row r="21210" spans="6:12" x14ac:dyDescent="0.3">
      <c r="F21210" s="1"/>
    </row>
    <row r="21212" spans="6:12" x14ac:dyDescent="0.3">
      <c r="F21212" s="1"/>
    </row>
    <row r="21213" spans="6:12" x14ac:dyDescent="0.3">
      <c r="F21213" s="1"/>
    </row>
    <row r="21214" spans="6:12" x14ac:dyDescent="0.3">
      <c r="F21214" s="1"/>
    </row>
    <row r="21215" spans="6:12" x14ac:dyDescent="0.3">
      <c r="F21215" s="1"/>
    </row>
    <row r="21216" spans="6:12" x14ac:dyDescent="0.3">
      <c r="F21216" s="1"/>
    </row>
    <row r="21217" spans="6:14" x14ac:dyDescent="0.3">
      <c r="F21217" s="1"/>
    </row>
    <row r="21218" spans="6:14" x14ac:dyDescent="0.3">
      <c r="F21218" s="1"/>
    </row>
    <row r="21219" spans="6:14" x14ac:dyDescent="0.3">
      <c r="F21219" s="1"/>
    </row>
    <row r="21220" spans="6:14" x14ac:dyDescent="0.3">
      <c r="F21220" s="1"/>
    </row>
    <row r="21221" spans="6:14" x14ac:dyDescent="0.3">
      <c r="F21221" s="1"/>
    </row>
    <row r="21223" spans="6:14" x14ac:dyDescent="0.3">
      <c r="F21223" s="1"/>
    </row>
    <row r="21224" spans="6:14" x14ac:dyDescent="0.3">
      <c r="F21224" s="1"/>
      <c r="M21224" s="1"/>
      <c r="N21224" s="1"/>
    </row>
    <row r="21225" spans="6:14" x14ac:dyDescent="0.3">
      <c r="F21225" s="1"/>
    </row>
    <row r="21226" spans="6:14" x14ac:dyDescent="0.3">
      <c r="F21226" s="1"/>
    </row>
    <row r="21227" spans="6:14" x14ac:dyDescent="0.3">
      <c r="F21227" s="1"/>
    </row>
    <row r="21228" spans="6:14" x14ac:dyDescent="0.3">
      <c r="F21228" s="1"/>
    </row>
    <row r="21229" spans="6:14" x14ac:dyDescent="0.3">
      <c r="F21229" s="1"/>
    </row>
    <row r="21230" spans="6:14" x14ac:dyDescent="0.3">
      <c r="F21230" s="1"/>
    </row>
    <row r="21231" spans="6:14" x14ac:dyDescent="0.3">
      <c r="F21231" s="1"/>
    </row>
    <row r="21232" spans="6:14" x14ac:dyDescent="0.3">
      <c r="F21232" s="1"/>
    </row>
    <row r="21233" spans="6:14" x14ac:dyDescent="0.3">
      <c r="F21233" s="1"/>
    </row>
    <row r="21235" spans="6:14" x14ac:dyDescent="0.3">
      <c r="F21235" s="1"/>
    </row>
    <row r="21236" spans="6:14" x14ac:dyDescent="0.3">
      <c r="F21236" s="1"/>
    </row>
    <row r="21237" spans="6:14" x14ac:dyDescent="0.3">
      <c r="F21237" s="1"/>
    </row>
    <row r="21239" spans="6:14" x14ac:dyDescent="0.3">
      <c r="F21239" s="1"/>
    </row>
    <row r="21241" spans="6:14" x14ac:dyDescent="0.3">
      <c r="F21241" s="1"/>
      <c r="M21241" s="1"/>
      <c r="N21241" s="1"/>
    </row>
    <row r="21242" spans="6:14" x14ac:dyDescent="0.3">
      <c r="N21242" s="1"/>
    </row>
    <row r="21243" spans="6:14" x14ac:dyDescent="0.3">
      <c r="F21243" s="1"/>
    </row>
    <row r="21244" spans="6:14" x14ac:dyDescent="0.3">
      <c r="F21244" s="1"/>
    </row>
    <row r="21245" spans="6:14" x14ac:dyDescent="0.3">
      <c r="M21245" s="1"/>
    </row>
    <row r="21246" spans="6:14" x14ac:dyDescent="0.3">
      <c r="F21246" s="1"/>
    </row>
    <row r="21247" spans="6:14" x14ac:dyDescent="0.3">
      <c r="F21247" s="1"/>
      <c r="L21247" s="1"/>
      <c r="N21247" s="1"/>
    </row>
    <row r="21248" spans="6:14" x14ac:dyDescent="0.3">
      <c r="F21248" s="1"/>
    </row>
    <row r="21250" spans="6:15" x14ac:dyDescent="0.3">
      <c r="F21250" s="1"/>
      <c r="N21250" s="1"/>
    </row>
    <row r="21251" spans="6:15" x14ac:dyDescent="0.3">
      <c r="F21251" s="1"/>
    </row>
    <row r="21252" spans="6:15" x14ac:dyDescent="0.3">
      <c r="M21252" s="1"/>
      <c r="O21252" s="1"/>
    </row>
    <row r="21253" spans="6:15" x14ac:dyDescent="0.3">
      <c r="F21253" s="1"/>
    </row>
    <row r="21254" spans="6:15" x14ac:dyDescent="0.3">
      <c r="F21254" s="1"/>
    </row>
    <row r="21255" spans="6:15" x14ac:dyDescent="0.3">
      <c r="F21255" s="1"/>
    </row>
    <row r="21256" spans="6:15" x14ac:dyDescent="0.3">
      <c r="L21256" s="1"/>
      <c r="M21256" s="1"/>
      <c r="N21256" s="1"/>
    </row>
    <row r="21257" spans="6:15" x14ac:dyDescent="0.3">
      <c r="F21257" s="1"/>
    </row>
    <row r="21258" spans="6:15" x14ac:dyDescent="0.3">
      <c r="F21258" s="1"/>
    </row>
    <row r="21259" spans="6:15" x14ac:dyDescent="0.3">
      <c r="F21259" s="1"/>
    </row>
    <row r="21260" spans="6:15" x14ac:dyDescent="0.3">
      <c r="F21260" s="1"/>
    </row>
    <row r="21261" spans="6:15" x14ac:dyDescent="0.3">
      <c r="F21261" s="1"/>
    </row>
    <row r="21262" spans="6:15" x14ac:dyDescent="0.3">
      <c r="F21262" s="1"/>
    </row>
    <row r="21263" spans="6:15" x14ac:dyDescent="0.3">
      <c r="F21263" s="1"/>
      <c r="N21263" s="1"/>
    </row>
    <row r="21264" spans="6:15" x14ac:dyDescent="0.3">
      <c r="F21264" s="1"/>
    </row>
    <row r="21265" spans="6:14" x14ac:dyDescent="0.3">
      <c r="F21265" s="1"/>
      <c r="L21265" s="1"/>
      <c r="N21265" s="1"/>
    </row>
    <row r="21266" spans="6:14" x14ac:dyDescent="0.3">
      <c r="F21266" s="1"/>
    </row>
    <row r="21267" spans="6:14" x14ac:dyDescent="0.3">
      <c r="F21267" s="1"/>
    </row>
    <row r="21268" spans="6:14" x14ac:dyDescent="0.3">
      <c r="F21268" s="1"/>
    </row>
    <row r="21269" spans="6:14" x14ac:dyDescent="0.3">
      <c r="F21269" s="1"/>
    </row>
    <row r="21270" spans="6:14" x14ac:dyDescent="0.3">
      <c r="F21270" s="1"/>
    </row>
    <row r="21271" spans="6:14" x14ac:dyDescent="0.3">
      <c r="F21271" s="1"/>
    </row>
    <row r="21272" spans="6:14" x14ac:dyDescent="0.3">
      <c r="F21272" s="1"/>
    </row>
    <row r="21273" spans="6:14" x14ac:dyDescent="0.3">
      <c r="F21273" s="1"/>
    </row>
    <row r="21274" spans="6:14" x14ac:dyDescent="0.3">
      <c r="L21274" s="1"/>
      <c r="M21274" s="1"/>
      <c r="N21274" s="1"/>
    </row>
    <row r="21275" spans="6:14" x14ac:dyDescent="0.3">
      <c r="F21275" s="1"/>
    </row>
    <row r="21277" spans="6:14" x14ac:dyDescent="0.3">
      <c r="F21277" s="1"/>
    </row>
    <row r="21278" spans="6:14" x14ac:dyDescent="0.3">
      <c r="F21278" s="1"/>
    </row>
    <row r="21279" spans="6:14" x14ac:dyDescent="0.3">
      <c r="F21279" s="1"/>
    </row>
    <row r="21280" spans="6:14" x14ac:dyDescent="0.3">
      <c r="F21280" s="1"/>
    </row>
    <row r="21281" spans="6:15" x14ac:dyDescent="0.3">
      <c r="F21281" s="1"/>
    </row>
    <row r="21283" spans="6:15" x14ac:dyDescent="0.3">
      <c r="F21283" s="1"/>
    </row>
    <row r="21284" spans="6:15" x14ac:dyDescent="0.3">
      <c r="F21284" s="1"/>
    </row>
    <row r="21285" spans="6:15" x14ac:dyDescent="0.3">
      <c r="F21285" s="1"/>
    </row>
    <row r="21286" spans="6:15" x14ac:dyDescent="0.3">
      <c r="F21286" s="1"/>
    </row>
    <row r="21287" spans="6:15" x14ac:dyDescent="0.3">
      <c r="F21287" s="1"/>
    </row>
    <row r="21289" spans="6:15" x14ac:dyDescent="0.3">
      <c r="F21289" s="1"/>
      <c r="N21289" s="1"/>
    </row>
    <row r="21290" spans="6:15" x14ac:dyDescent="0.3">
      <c r="F21290" s="1"/>
    </row>
    <row r="21292" spans="6:15" x14ac:dyDescent="0.3">
      <c r="F21292" s="1"/>
    </row>
    <row r="21293" spans="6:15" x14ac:dyDescent="0.3">
      <c r="F21293" s="1"/>
      <c r="M21293" s="1"/>
    </row>
    <row r="21294" spans="6:15" x14ac:dyDescent="0.3">
      <c r="M21294" s="1"/>
      <c r="N21294" s="1"/>
      <c r="O21294" s="1"/>
    </row>
    <row r="21295" spans="6:15" x14ac:dyDescent="0.3">
      <c r="F21295" s="1"/>
    </row>
    <row r="21296" spans="6:15" x14ac:dyDescent="0.3">
      <c r="F21296" s="1"/>
    </row>
    <row r="21297" spans="6:14" x14ac:dyDescent="0.3">
      <c r="F21297" s="1"/>
    </row>
    <row r="21298" spans="6:14" x14ac:dyDescent="0.3">
      <c r="F21298" s="1"/>
    </row>
    <row r="21299" spans="6:14" x14ac:dyDescent="0.3">
      <c r="M21299" s="1"/>
    </row>
    <row r="21300" spans="6:14" x14ac:dyDescent="0.3">
      <c r="F21300" s="1"/>
    </row>
    <row r="21302" spans="6:14" x14ac:dyDescent="0.3">
      <c r="F21302" s="1"/>
    </row>
    <row r="21304" spans="6:14" x14ac:dyDescent="0.3">
      <c r="N21304" s="1"/>
    </row>
    <row r="21305" spans="6:14" x14ac:dyDescent="0.3">
      <c r="F21305" s="1"/>
    </row>
    <row r="21306" spans="6:14" x14ac:dyDescent="0.3">
      <c r="F21306" s="1"/>
    </row>
    <row r="21307" spans="6:14" x14ac:dyDescent="0.3">
      <c r="F21307" s="1"/>
    </row>
    <row r="21308" spans="6:14" x14ac:dyDescent="0.3">
      <c r="F21308" s="1"/>
    </row>
    <row r="21309" spans="6:14" x14ac:dyDescent="0.3">
      <c r="F21309" s="1"/>
    </row>
    <row r="21310" spans="6:14" x14ac:dyDescent="0.3">
      <c r="F21310" s="1"/>
    </row>
    <row r="21312" spans="6:14" x14ac:dyDescent="0.3">
      <c r="F21312" s="1"/>
    </row>
    <row r="21313" spans="6:14" x14ac:dyDescent="0.3">
      <c r="F21313" s="1"/>
    </row>
    <row r="21314" spans="6:14" x14ac:dyDescent="0.3">
      <c r="F21314" s="1"/>
    </row>
    <row r="21315" spans="6:14" x14ac:dyDescent="0.3">
      <c r="F21315" s="1"/>
    </row>
    <row r="21316" spans="6:14" x14ac:dyDescent="0.3">
      <c r="F21316" s="1"/>
    </row>
    <row r="21317" spans="6:14" x14ac:dyDescent="0.3">
      <c r="F21317" s="1"/>
    </row>
    <row r="21318" spans="6:14" x14ac:dyDescent="0.3">
      <c r="F21318" s="1"/>
    </row>
    <row r="21320" spans="6:14" x14ac:dyDescent="0.3">
      <c r="F21320" s="1"/>
      <c r="L21320" s="1"/>
      <c r="M21320" s="1"/>
      <c r="N21320" s="1"/>
    </row>
    <row r="21321" spans="6:14" x14ac:dyDescent="0.3">
      <c r="F21321" s="1"/>
      <c r="L21321" s="1"/>
    </row>
    <row r="21322" spans="6:14" x14ac:dyDescent="0.3">
      <c r="F21322" s="1"/>
    </row>
    <row r="21323" spans="6:14" x14ac:dyDescent="0.3">
      <c r="F21323" s="1"/>
    </row>
    <row r="21324" spans="6:14" x14ac:dyDescent="0.3">
      <c r="F21324" s="1"/>
    </row>
    <row r="21325" spans="6:14" x14ac:dyDescent="0.3">
      <c r="F21325" s="1"/>
    </row>
    <row r="21326" spans="6:14" x14ac:dyDescent="0.3">
      <c r="F21326" s="1"/>
    </row>
    <row r="21327" spans="6:14" x14ac:dyDescent="0.3">
      <c r="F21327" s="1"/>
    </row>
    <row r="21328" spans="6:14" x14ac:dyDescent="0.3">
      <c r="F21328" s="1"/>
    </row>
    <row r="21329" spans="6:15" x14ac:dyDescent="0.3">
      <c r="F21329" s="1"/>
    </row>
    <row r="21330" spans="6:15" x14ac:dyDescent="0.3">
      <c r="F21330" s="1"/>
    </row>
    <row r="21331" spans="6:15" x14ac:dyDescent="0.3">
      <c r="F21331" s="1"/>
    </row>
    <row r="21332" spans="6:15" x14ac:dyDescent="0.3">
      <c r="L21332" s="1"/>
      <c r="M21332" s="1"/>
      <c r="N21332" s="1"/>
      <c r="O21332" s="1"/>
    </row>
    <row r="21333" spans="6:15" x14ac:dyDescent="0.3">
      <c r="F21333" s="1"/>
    </row>
    <row r="21334" spans="6:15" x14ac:dyDescent="0.3">
      <c r="F21334" s="1"/>
    </row>
    <row r="21335" spans="6:15" x14ac:dyDescent="0.3">
      <c r="F21335" s="1"/>
    </row>
    <row r="21336" spans="6:15" x14ac:dyDescent="0.3">
      <c r="F21336" s="1"/>
      <c r="N21336" s="1"/>
    </row>
    <row r="21337" spans="6:15" x14ac:dyDescent="0.3">
      <c r="F21337" s="1"/>
    </row>
    <row r="21338" spans="6:15" x14ac:dyDescent="0.3">
      <c r="F21338" s="1"/>
    </row>
    <row r="21339" spans="6:15" x14ac:dyDescent="0.3">
      <c r="F21339" s="1"/>
    </row>
    <row r="21340" spans="6:15" x14ac:dyDescent="0.3">
      <c r="F21340" s="1"/>
      <c r="M21340" s="1"/>
    </row>
    <row r="21341" spans="6:15" x14ac:dyDescent="0.3">
      <c r="F21341" s="1"/>
    </row>
    <row r="21342" spans="6:15" x14ac:dyDescent="0.3">
      <c r="F21342" s="1"/>
    </row>
    <row r="21343" spans="6:15" x14ac:dyDescent="0.3">
      <c r="F21343" s="1"/>
    </row>
    <row r="21344" spans="6:15" x14ac:dyDescent="0.3">
      <c r="F21344" s="1"/>
    </row>
    <row r="21345" spans="6:15" x14ac:dyDescent="0.3">
      <c r="F21345" s="1"/>
    </row>
    <row r="21347" spans="6:15" x14ac:dyDescent="0.3">
      <c r="F21347" s="1"/>
    </row>
    <row r="21348" spans="6:15" x14ac:dyDescent="0.3">
      <c r="F21348" s="1"/>
    </row>
    <row r="21349" spans="6:15" x14ac:dyDescent="0.3">
      <c r="L21349" s="1"/>
    </row>
    <row r="21350" spans="6:15" x14ac:dyDescent="0.3">
      <c r="F21350" s="1"/>
    </row>
    <row r="21351" spans="6:15" x14ac:dyDescent="0.3">
      <c r="F21351" s="1"/>
    </row>
    <row r="21352" spans="6:15" x14ac:dyDescent="0.3">
      <c r="F21352" s="1"/>
      <c r="L21352" s="1"/>
    </row>
    <row r="21353" spans="6:15" x14ac:dyDescent="0.3">
      <c r="F21353" s="1"/>
    </row>
    <row r="21355" spans="6:15" x14ac:dyDescent="0.3">
      <c r="F21355" s="1"/>
      <c r="M21355" s="1"/>
      <c r="N21355" s="1"/>
      <c r="O21355" s="1"/>
    </row>
    <row r="21356" spans="6:15" x14ac:dyDescent="0.3">
      <c r="F21356" s="1"/>
    </row>
    <row r="21357" spans="6:15" x14ac:dyDescent="0.3">
      <c r="F21357" s="1"/>
    </row>
    <row r="21358" spans="6:15" x14ac:dyDescent="0.3">
      <c r="F21358" s="1"/>
    </row>
    <row r="21360" spans="6:15" x14ac:dyDescent="0.3">
      <c r="F21360" s="1"/>
    </row>
    <row r="21361" spans="6:14" x14ac:dyDescent="0.3">
      <c r="F21361" s="1"/>
    </row>
    <row r="21362" spans="6:14" x14ac:dyDescent="0.3">
      <c r="F21362" s="1"/>
    </row>
    <row r="21363" spans="6:14" x14ac:dyDescent="0.3">
      <c r="F21363" s="1"/>
      <c r="M21363" s="1"/>
    </row>
    <row r="21364" spans="6:14" x14ac:dyDescent="0.3">
      <c r="F21364" s="1"/>
    </row>
    <row r="21365" spans="6:14" x14ac:dyDescent="0.3">
      <c r="F21365" s="1"/>
      <c r="M21365" s="1"/>
    </row>
    <row r="21366" spans="6:14" x14ac:dyDescent="0.3">
      <c r="F21366" s="1"/>
    </row>
    <row r="21367" spans="6:14" x14ac:dyDescent="0.3">
      <c r="F21367" s="1"/>
    </row>
    <row r="21368" spans="6:14" x14ac:dyDescent="0.3">
      <c r="F21368" s="1"/>
      <c r="N21368" s="1"/>
    </row>
    <row r="21369" spans="6:14" x14ac:dyDescent="0.3">
      <c r="F21369" s="1"/>
    </row>
    <row r="21371" spans="6:14" x14ac:dyDescent="0.3">
      <c r="F21371" s="1"/>
    </row>
    <row r="21372" spans="6:14" x14ac:dyDescent="0.3">
      <c r="N21372" s="1"/>
    </row>
    <row r="21373" spans="6:14" x14ac:dyDescent="0.3">
      <c r="F21373" s="1"/>
    </row>
    <row r="21374" spans="6:14" x14ac:dyDescent="0.3">
      <c r="F21374" s="1"/>
    </row>
    <row r="21375" spans="6:14" x14ac:dyDescent="0.3">
      <c r="F21375" s="1"/>
    </row>
    <row r="21376" spans="6:14" x14ac:dyDescent="0.3">
      <c r="F21376" s="1"/>
    </row>
    <row r="21377" spans="6:15" x14ac:dyDescent="0.3">
      <c r="F21377" s="1"/>
    </row>
    <row r="21378" spans="6:15" x14ac:dyDescent="0.3">
      <c r="F21378" s="1"/>
    </row>
    <row r="21379" spans="6:15" x14ac:dyDescent="0.3">
      <c r="F21379" s="1"/>
    </row>
    <row r="21380" spans="6:15" x14ac:dyDescent="0.3">
      <c r="F21380" s="1"/>
    </row>
    <row r="21381" spans="6:15" x14ac:dyDescent="0.3">
      <c r="F21381" s="1"/>
    </row>
    <row r="21382" spans="6:15" x14ac:dyDescent="0.3">
      <c r="F21382" s="1"/>
    </row>
    <row r="21383" spans="6:15" x14ac:dyDescent="0.3">
      <c r="F21383" s="1"/>
    </row>
    <row r="21384" spans="6:15" x14ac:dyDescent="0.3">
      <c r="F21384" s="1"/>
    </row>
    <row r="21385" spans="6:15" x14ac:dyDescent="0.3">
      <c r="F21385" s="1"/>
    </row>
    <row r="21386" spans="6:15" x14ac:dyDescent="0.3">
      <c r="F21386" s="1"/>
    </row>
    <row r="21389" spans="6:15" x14ac:dyDescent="0.3">
      <c r="F21389" s="1"/>
    </row>
    <row r="21390" spans="6:15" x14ac:dyDescent="0.3">
      <c r="F21390" s="1"/>
    </row>
    <row r="21391" spans="6:15" x14ac:dyDescent="0.3">
      <c r="L21391" s="1"/>
      <c r="M21391" s="1"/>
      <c r="O21391" s="1"/>
    </row>
    <row r="21393" spans="6:15" x14ac:dyDescent="0.3">
      <c r="F21393" s="1"/>
    </row>
    <row r="21394" spans="6:15" x14ac:dyDescent="0.3">
      <c r="F21394" s="1"/>
    </row>
    <row r="21395" spans="6:15" x14ac:dyDescent="0.3">
      <c r="F21395" s="1"/>
    </row>
    <row r="21396" spans="6:15" x14ac:dyDescent="0.3">
      <c r="F21396" s="1"/>
    </row>
    <row r="21397" spans="6:15" x14ac:dyDescent="0.3">
      <c r="F21397" s="1"/>
    </row>
    <row r="21398" spans="6:15" x14ac:dyDescent="0.3">
      <c r="F21398" s="1"/>
    </row>
    <row r="21399" spans="6:15" x14ac:dyDescent="0.3">
      <c r="F21399" s="1"/>
    </row>
    <row r="21400" spans="6:15" x14ac:dyDescent="0.3">
      <c r="F21400" s="1"/>
    </row>
    <row r="21401" spans="6:15" x14ac:dyDescent="0.3">
      <c r="L21401" s="1"/>
      <c r="N21401" s="1"/>
      <c r="O21401" s="1"/>
    </row>
    <row r="21402" spans="6:15" x14ac:dyDescent="0.3">
      <c r="F21402" s="1"/>
    </row>
    <row r="21403" spans="6:15" x14ac:dyDescent="0.3">
      <c r="F21403" s="1"/>
    </row>
    <row r="21404" spans="6:15" x14ac:dyDescent="0.3">
      <c r="F21404" s="1"/>
    </row>
    <row r="21405" spans="6:15" x14ac:dyDescent="0.3">
      <c r="F21405" s="1"/>
    </row>
    <row r="21406" spans="6:15" x14ac:dyDescent="0.3">
      <c r="F21406" s="1"/>
    </row>
    <row r="21407" spans="6:15" x14ac:dyDescent="0.3">
      <c r="F21407" s="1"/>
    </row>
    <row r="21408" spans="6:15" x14ac:dyDescent="0.3">
      <c r="F21408" s="1"/>
      <c r="N21408" s="1"/>
    </row>
    <row r="21409" spans="6:6" x14ac:dyDescent="0.3">
      <c r="F21409" s="1"/>
    </row>
    <row r="21410" spans="6:6" x14ac:dyDescent="0.3">
      <c r="F21410" s="1"/>
    </row>
    <row r="21412" spans="6:6" x14ac:dyDescent="0.3">
      <c r="F21412" s="1"/>
    </row>
    <row r="21413" spans="6:6" x14ac:dyDescent="0.3">
      <c r="F21413" s="1"/>
    </row>
    <row r="21414" spans="6:6" x14ac:dyDescent="0.3">
      <c r="F21414" s="1"/>
    </row>
    <row r="21415" spans="6:6" x14ac:dyDescent="0.3">
      <c r="F21415" s="1"/>
    </row>
    <row r="21416" spans="6:6" x14ac:dyDescent="0.3">
      <c r="F21416" s="1"/>
    </row>
    <row r="21417" spans="6:6" x14ac:dyDescent="0.3">
      <c r="F21417" s="1"/>
    </row>
    <row r="21418" spans="6:6" x14ac:dyDescent="0.3">
      <c r="F21418" s="1"/>
    </row>
    <row r="21419" spans="6:6" x14ac:dyDescent="0.3">
      <c r="F21419" s="1"/>
    </row>
    <row r="21420" spans="6:6" x14ac:dyDescent="0.3">
      <c r="F21420" s="1"/>
    </row>
    <row r="21421" spans="6:6" x14ac:dyDescent="0.3">
      <c r="F21421" s="1"/>
    </row>
    <row r="21422" spans="6:6" x14ac:dyDescent="0.3">
      <c r="F21422" s="1"/>
    </row>
    <row r="21423" spans="6:6" x14ac:dyDescent="0.3">
      <c r="F21423" s="1"/>
    </row>
    <row r="21424" spans="6:6" x14ac:dyDescent="0.3">
      <c r="F21424" s="1"/>
    </row>
    <row r="21425" spans="6:15" x14ac:dyDescent="0.3">
      <c r="L21425" s="1"/>
      <c r="M21425" s="1"/>
      <c r="O21425" s="1"/>
    </row>
    <row r="21426" spans="6:15" x14ac:dyDescent="0.3">
      <c r="F21426" s="1"/>
    </row>
    <row r="21427" spans="6:15" x14ac:dyDescent="0.3">
      <c r="F21427" s="1"/>
    </row>
    <row r="21428" spans="6:15" x14ac:dyDescent="0.3">
      <c r="F21428" s="1"/>
    </row>
    <row r="21429" spans="6:15" x14ac:dyDescent="0.3">
      <c r="F21429" s="1"/>
    </row>
    <row r="21430" spans="6:15" x14ac:dyDescent="0.3">
      <c r="F21430" s="1"/>
    </row>
    <row r="21431" spans="6:15" x14ac:dyDescent="0.3">
      <c r="F21431" s="1"/>
    </row>
    <row r="21432" spans="6:15" x14ac:dyDescent="0.3">
      <c r="F21432" s="1"/>
    </row>
    <row r="21433" spans="6:15" x14ac:dyDescent="0.3">
      <c r="F21433" s="1"/>
    </row>
    <row r="21434" spans="6:15" x14ac:dyDescent="0.3">
      <c r="F21434" s="1"/>
    </row>
    <row r="21435" spans="6:15" x14ac:dyDescent="0.3">
      <c r="F21435" s="1"/>
    </row>
    <row r="21436" spans="6:15" x14ac:dyDescent="0.3">
      <c r="F21436" s="1"/>
    </row>
    <row r="21437" spans="6:15" x14ac:dyDescent="0.3">
      <c r="F21437" s="1"/>
    </row>
    <row r="21438" spans="6:15" x14ac:dyDescent="0.3">
      <c r="F21438" s="1"/>
      <c r="M21438" s="1"/>
      <c r="N21438" s="1"/>
    </row>
    <row r="21439" spans="6:15" x14ac:dyDescent="0.3">
      <c r="F21439" s="1"/>
    </row>
    <row r="21440" spans="6:15" x14ac:dyDescent="0.3">
      <c r="F21440" s="1"/>
    </row>
    <row r="21441" spans="6:12" x14ac:dyDescent="0.3">
      <c r="F21441" s="1"/>
    </row>
    <row r="21442" spans="6:12" x14ac:dyDescent="0.3">
      <c r="F21442" s="1"/>
    </row>
    <row r="21443" spans="6:12" x14ac:dyDescent="0.3">
      <c r="F21443" s="1"/>
    </row>
    <row r="21444" spans="6:12" x14ac:dyDescent="0.3">
      <c r="F21444" s="1"/>
    </row>
    <row r="21445" spans="6:12" x14ac:dyDescent="0.3">
      <c r="F21445" s="1"/>
    </row>
    <row r="21446" spans="6:12" x14ac:dyDescent="0.3">
      <c r="F21446" s="1"/>
    </row>
    <row r="21447" spans="6:12" x14ac:dyDescent="0.3">
      <c r="F21447" s="1"/>
    </row>
    <row r="21448" spans="6:12" x14ac:dyDescent="0.3">
      <c r="F21448" s="1"/>
    </row>
    <row r="21449" spans="6:12" x14ac:dyDescent="0.3">
      <c r="F21449" s="1"/>
      <c r="L21449" s="1"/>
    </row>
    <row r="21450" spans="6:12" x14ac:dyDescent="0.3">
      <c r="F21450" s="1"/>
    </row>
    <row r="21451" spans="6:12" x14ac:dyDescent="0.3">
      <c r="F21451" s="1"/>
    </row>
    <row r="21452" spans="6:12" x14ac:dyDescent="0.3">
      <c r="F21452" s="1"/>
    </row>
    <row r="21453" spans="6:12" x14ac:dyDescent="0.3">
      <c r="F21453" s="1"/>
    </row>
    <row r="21454" spans="6:12" x14ac:dyDescent="0.3">
      <c r="F21454" s="1"/>
    </row>
    <row r="21455" spans="6:12" x14ac:dyDescent="0.3">
      <c r="F21455" s="1"/>
    </row>
    <row r="21456" spans="6:12" x14ac:dyDescent="0.3">
      <c r="F21456" s="1"/>
    </row>
    <row r="21457" spans="6:13" x14ac:dyDescent="0.3">
      <c r="F21457" s="1"/>
    </row>
    <row r="21459" spans="6:13" x14ac:dyDescent="0.3">
      <c r="F21459" s="1"/>
    </row>
    <row r="21460" spans="6:13" x14ac:dyDescent="0.3">
      <c r="F21460" s="1"/>
      <c r="M21460" s="1"/>
    </row>
    <row r="21461" spans="6:13" x14ac:dyDescent="0.3">
      <c r="F21461" s="1"/>
    </row>
    <row r="21462" spans="6:13" x14ac:dyDescent="0.3">
      <c r="F21462" s="1"/>
    </row>
    <row r="21463" spans="6:13" x14ac:dyDescent="0.3">
      <c r="F21463" s="1"/>
    </row>
    <row r="21466" spans="6:13" x14ac:dyDescent="0.3">
      <c r="F21466" s="1"/>
    </row>
    <row r="21467" spans="6:13" x14ac:dyDescent="0.3">
      <c r="F21467" s="1"/>
    </row>
    <row r="21468" spans="6:13" x14ac:dyDescent="0.3">
      <c r="F21468" s="1"/>
    </row>
    <row r="21469" spans="6:13" x14ac:dyDescent="0.3">
      <c r="F21469" s="1"/>
    </row>
    <row r="21470" spans="6:13" x14ac:dyDescent="0.3">
      <c r="F21470" s="1"/>
    </row>
    <row r="21471" spans="6:13" x14ac:dyDescent="0.3">
      <c r="F21471" s="1"/>
    </row>
    <row r="21472" spans="6:13" x14ac:dyDescent="0.3">
      <c r="F21472" s="1"/>
    </row>
    <row r="21473" spans="6:15" x14ac:dyDescent="0.3">
      <c r="F21473" s="1"/>
    </row>
    <row r="21474" spans="6:15" x14ac:dyDescent="0.3">
      <c r="F21474" s="1"/>
    </row>
    <row r="21475" spans="6:15" x14ac:dyDescent="0.3">
      <c r="F21475" s="1"/>
    </row>
    <row r="21476" spans="6:15" x14ac:dyDescent="0.3">
      <c r="F21476" s="1"/>
    </row>
    <row r="21478" spans="6:15" x14ac:dyDescent="0.3">
      <c r="F21478" s="1"/>
    </row>
    <row r="21479" spans="6:15" x14ac:dyDescent="0.3">
      <c r="F21479" s="1"/>
    </row>
    <row r="21480" spans="6:15" x14ac:dyDescent="0.3">
      <c r="F21480" s="1"/>
    </row>
    <row r="21481" spans="6:15" x14ac:dyDescent="0.3">
      <c r="F21481" s="1"/>
    </row>
    <row r="21482" spans="6:15" x14ac:dyDescent="0.3">
      <c r="F21482" s="1"/>
    </row>
    <row r="21483" spans="6:15" x14ac:dyDescent="0.3">
      <c r="F21483" s="1"/>
    </row>
    <row r="21484" spans="6:15" x14ac:dyDescent="0.3">
      <c r="F21484" s="1"/>
    </row>
    <row r="21486" spans="6:15" x14ac:dyDescent="0.3">
      <c r="F21486" s="1"/>
    </row>
    <row r="21487" spans="6:15" x14ac:dyDescent="0.3">
      <c r="F21487" s="1"/>
      <c r="N21487" s="1"/>
    </row>
    <row r="21488" spans="6:15" x14ac:dyDescent="0.3">
      <c r="F21488" s="1"/>
      <c r="L21488" s="1"/>
      <c r="N21488" s="1"/>
      <c r="O21488" s="1"/>
    </row>
    <row r="21489" spans="6:14" x14ac:dyDescent="0.3">
      <c r="F21489" s="1"/>
      <c r="L21489" s="1"/>
      <c r="M21489" s="1"/>
    </row>
    <row r="21490" spans="6:14" x14ac:dyDescent="0.3">
      <c r="F21490" s="1"/>
    </row>
    <row r="21491" spans="6:14" x14ac:dyDescent="0.3">
      <c r="F21491" s="1"/>
    </row>
    <row r="21492" spans="6:14" x14ac:dyDescent="0.3">
      <c r="F21492" s="1"/>
    </row>
    <row r="21493" spans="6:14" x14ac:dyDescent="0.3">
      <c r="F21493" s="1"/>
    </row>
    <row r="21495" spans="6:14" x14ac:dyDescent="0.3">
      <c r="F21495" s="1"/>
    </row>
    <row r="21496" spans="6:14" x14ac:dyDescent="0.3">
      <c r="F21496" s="1"/>
    </row>
    <row r="21497" spans="6:14" x14ac:dyDescent="0.3">
      <c r="F21497" s="1"/>
    </row>
    <row r="21498" spans="6:14" x14ac:dyDescent="0.3">
      <c r="F21498" s="1"/>
    </row>
    <row r="21499" spans="6:14" x14ac:dyDescent="0.3">
      <c r="M21499" s="1"/>
      <c r="N21499" s="1"/>
    </row>
    <row r="21500" spans="6:14" x14ac:dyDescent="0.3">
      <c r="F21500" s="1"/>
    </row>
    <row r="21501" spans="6:14" x14ac:dyDescent="0.3">
      <c r="F21501" s="1"/>
    </row>
    <row r="21502" spans="6:14" x14ac:dyDescent="0.3">
      <c r="F21502" s="1"/>
    </row>
    <row r="21503" spans="6:14" x14ac:dyDescent="0.3">
      <c r="F21503" s="1"/>
    </row>
    <row r="21504" spans="6:14" x14ac:dyDescent="0.3">
      <c r="F21504" s="1"/>
    </row>
    <row r="21505" spans="6:14" x14ac:dyDescent="0.3">
      <c r="N21505" s="1"/>
    </row>
    <row r="21506" spans="6:14" x14ac:dyDescent="0.3">
      <c r="F21506" s="1"/>
    </row>
    <row r="21507" spans="6:14" x14ac:dyDescent="0.3">
      <c r="F21507" s="1"/>
    </row>
    <row r="21509" spans="6:14" x14ac:dyDescent="0.3">
      <c r="F21509" s="1"/>
    </row>
    <row r="21510" spans="6:14" x14ac:dyDescent="0.3">
      <c r="F21510" s="1"/>
    </row>
    <row r="21511" spans="6:14" x14ac:dyDescent="0.3">
      <c r="F21511" s="1"/>
    </row>
    <row r="21512" spans="6:14" x14ac:dyDescent="0.3">
      <c r="F21512" s="1"/>
      <c r="L21512" s="1"/>
    </row>
    <row r="21513" spans="6:14" x14ac:dyDescent="0.3">
      <c r="F21513" s="1"/>
    </row>
    <row r="21514" spans="6:14" x14ac:dyDescent="0.3">
      <c r="F21514" s="1"/>
    </row>
    <row r="21515" spans="6:14" x14ac:dyDescent="0.3">
      <c r="F21515" s="1"/>
    </row>
    <row r="21516" spans="6:14" x14ac:dyDescent="0.3">
      <c r="F21516" s="1"/>
    </row>
    <row r="21517" spans="6:14" x14ac:dyDescent="0.3">
      <c r="F21517" s="1"/>
    </row>
    <row r="21518" spans="6:14" x14ac:dyDescent="0.3">
      <c r="F21518" s="1"/>
    </row>
    <row r="21520" spans="6:14" x14ac:dyDescent="0.3">
      <c r="F21520" s="1"/>
    </row>
    <row r="21521" spans="6:15" x14ac:dyDescent="0.3">
      <c r="F21521" s="1"/>
    </row>
    <row r="21522" spans="6:15" x14ac:dyDescent="0.3">
      <c r="F21522" s="1"/>
    </row>
    <row r="21523" spans="6:15" x14ac:dyDescent="0.3">
      <c r="F21523" s="1"/>
    </row>
    <row r="21525" spans="6:15" x14ac:dyDescent="0.3">
      <c r="F21525" s="1"/>
    </row>
    <row r="21527" spans="6:15" x14ac:dyDescent="0.3">
      <c r="F21527" s="1"/>
    </row>
    <row r="21528" spans="6:15" x14ac:dyDescent="0.3">
      <c r="F21528" s="1"/>
      <c r="L21528" s="1"/>
    </row>
    <row r="21529" spans="6:15" x14ac:dyDescent="0.3">
      <c r="F21529" s="1"/>
      <c r="N21529" s="1"/>
      <c r="O21529" s="1"/>
    </row>
    <row r="21530" spans="6:15" x14ac:dyDescent="0.3">
      <c r="F21530" s="1"/>
    </row>
    <row r="21531" spans="6:15" x14ac:dyDescent="0.3">
      <c r="F21531" s="1"/>
    </row>
    <row r="21532" spans="6:15" x14ac:dyDescent="0.3">
      <c r="F21532" s="1"/>
    </row>
    <row r="21533" spans="6:15" x14ac:dyDescent="0.3">
      <c r="F21533" s="1"/>
    </row>
    <row r="21534" spans="6:15" x14ac:dyDescent="0.3">
      <c r="F21534" s="1"/>
    </row>
    <row r="21535" spans="6:15" x14ac:dyDescent="0.3">
      <c r="F21535" s="1"/>
    </row>
    <row r="21536" spans="6:15" x14ac:dyDescent="0.3">
      <c r="F21536" s="1"/>
    </row>
    <row r="21537" spans="6:15" x14ac:dyDescent="0.3">
      <c r="F21537" s="1"/>
    </row>
    <row r="21538" spans="6:15" x14ac:dyDescent="0.3">
      <c r="F21538" s="1"/>
    </row>
    <row r="21539" spans="6:15" x14ac:dyDescent="0.3">
      <c r="F21539" s="1"/>
    </row>
    <row r="21540" spans="6:15" x14ac:dyDescent="0.3">
      <c r="L21540" s="1"/>
      <c r="M21540" s="1"/>
      <c r="N21540" s="1"/>
    </row>
    <row r="21541" spans="6:15" x14ac:dyDescent="0.3">
      <c r="F21541" s="1"/>
    </row>
    <row r="21542" spans="6:15" x14ac:dyDescent="0.3">
      <c r="F21542" s="1"/>
      <c r="L21542" s="1"/>
      <c r="M21542" s="1"/>
      <c r="N21542" s="1"/>
      <c r="O21542" s="1"/>
    </row>
    <row r="21543" spans="6:15" x14ac:dyDescent="0.3">
      <c r="F21543" s="1"/>
    </row>
    <row r="21545" spans="6:15" x14ac:dyDescent="0.3">
      <c r="F21545" s="1"/>
    </row>
    <row r="21546" spans="6:15" x14ac:dyDescent="0.3">
      <c r="F21546" s="1"/>
      <c r="L21546" s="1"/>
    </row>
    <row r="21547" spans="6:15" x14ac:dyDescent="0.3">
      <c r="F21547" s="1"/>
    </row>
    <row r="21548" spans="6:15" x14ac:dyDescent="0.3">
      <c r="F21548" s="1"/>
    </row>
    <row r="21549" spans="6:15" x14ac:dyDescent="0.3">
      <c r="F21549" s="1"/>
    </row>
    <row r="21551" spans="6:15" x14ac:dyDescent="0.3">
      <c r="F21551" s="1"/>
      <c r="L21551" s="1"/>
      <c r="M21551" s="1"/>
      <c r="O21551" s="1"/>
    </row>
    <row r="21552" spans="6:15" x14ac:dyDescent="0.3">
      <c r="F21552" s="1"/>
    </row>
    <row r="21553" spans="6:14" x14ac:dyDescent="0.3">
      <c r="F21553" s="1"/>
    </row>
    <row r="21554" spans="6:14" x14ac:dyDescent="0.3">
      <c r="F21554" s="1"/>
    </row>
    <row r="21555" spans="6:14" x14ac:dyDescent="0.3">
      <c r="F21555" s="1"/>
    </row>
    <row r="21556" spans="6:14" x14ac:dyDescent="0.3">
      <c r="F21556" s="1"/>
      <c r="N21556" s="1"/>
    </row>
    <row r="21557" spans="6:14" x14ac:dyDescent="0.3">
      <c r="F21557" s="1"/>
      <c r="L21557" s="1"/>
      <c r="N21557" s="1"/>
    </row>
    <row r="21558" spans="6:14" x14ac:dyDescent="0.3">
      <c r="F21558" s="1"/>
    </row>
    <row r="21559" spans="6:14" x14ac:dyDescent="0.3">
      <c r="F21559" s="1"/>
    </row>
    <row r="21560" spans="6:14" x14ac:dyDescent="0.3">
      <c r="F21560" s="1"/>
    </row>
    <row r="21561" spans="6:14" x14ac:dyDescent="0.3">
      <c r="F21561" s="1"/>
    </row>
    <row r="21562" spans="6:14" x14ac:dyDescent="0.3">
      <c r="F21562" s="1"/>
    </row>
    <row r="21563" spans="6:14" x14ac:dyDescent="0.3">
      <c r="F21563" s="1"/>
    </row>
    <row r="21564" spans="6:14" x14ac:dyDescent="0.3">
      <c r="F21564" s="1"/>
    </row>
    <row r="21565" spans="6:14" x14ac:dyDescent="0.3">
      <c r="F21565" s="1"/>
    </row>
    <row r="21566" spans="6:14" x14ac:dyDescent="0.3">
      <c r="F21566" s="1"/>
    </row>
    <row r="21567" spans="6:14" x14ac:dyDescent="0.3">
      <c r="F21567" s="1"/>
      <c r="N21567" s="1"/>
    </row>
    <row r="21568" spans="6:14" x14ac:dyDescent="0.3">
      <c r="F21568" s="1"/>
    </row>
    <row r="21569" spans="6:6" x14ac:dyDescent="0.3">
      <c r="F21569" s="1"/>
    </row>
    <row r="21571" spans="6:6" x14ac:dyDescent="0.3">
      <c r="F21571" s="1"/>
    </row>
    <row r="21573" spans="6:6" x14ac:dyDescent="0.3">
      <c r="F21573" s="1"/>
    </row>
    <row r="21575" spans="6:6" x14ac:dyDescent="0.3">
      <c r="F21575" s="1"/>
    </row>
    <row r="21577" spans="6:6" x14ac:dyDescent="0.3">
      <c r="F21577" s="1"/>
    </row>
    <row r="21578" spans="6:6" x14ac:dyDescent="0.3">
      <c r="F21578" s="1"/>
    </row>
    <row r="21579" spans="6:6" x14ac:dyDescent="0.3">
      <c r="F21579" s="1"/>
    </row>
    <row r="21580" spans="6:6" x14ac:dyDescent="0.3">
      <c r="F21580" s="1"/>
    </row>
    <row r="21582" spans="6:6" x14ac:dyDescent="0.3">
      <c r="F21582" s="1"/>
    </row>
    <row r="21583" spans="6:6" x14ac:dyDescent="0.3">
      <c r="F21583" s="1"/>
    </row>
    <row r="21584" spans="6:6" x14ac:dyDescent="0.3">
      <c r="F21584" s="1"/>
    </row>
    <row r="21586" spans="6:15" x14ac:dyDescent="0.3">
      <c r="F21586" s="1"/>
    </row>
    <row r="21588" spans="6:15" x14ac:dyDescent="0.3">
      <c r="F21588" s="1"/>
    </row>
    <row r="21589" spans="6:15" x14ac:dyDescent="0.3">
      <c r="M21589" s="1"/>
    </row>
    <row r="21590" spans="6:15" x14ac:dyDescent="0.3">
      <c r="F21590" s="1"/>
    </row>
    <row r="21591" spans="6:15" x14ac:dyDescent="0.3">
      <c r="F21591" s="1"/>
    </row>
    <row r="21592" spans="6:15" x14ac:dyDescent="0.3">
      <c r="L21592" s="1"/>
      <c r="O21592" s="1"/>
    </row>
    <row r="21593" spans="6:15" x14ac:dyDescent="0.3">
      <c r="F21593" s="1"/>
    </row>
    <row r="21594" spans="6:15" x14ac:dyDescent="0.3">
      <c r="F21594" s="1"/>
    </row>
    <row r="21595" spans="6:15" x14ac:dyDescent="0.3">
      <c r="F21595" s="1"/>
      <c r="L21595" s="1"/>
      <c r="M21595" s="1"/>
    </row>
    <row r="21596" spans="6:15" x14ac:dyDescent="0.3">
      <c r="F21596" s="1"/>
    </row>
    <row r="21597" spans="6:15" x14ac:dyDescent="0.3">
      <c r="F21597" s="1"/>
    </row>
    <row r="21598" spans="6:15" x14ac:dyDescent="0.3">
      <c r="F21598" s="1"/>
    </row>
    <row r="21599" spans="6:15" x14ac:dyDescent="0.3">
      <c r="F21599" s="1"/>
    </row>
    <row r="21600" spans="6:15" x14ac:dyDescent="0.3">
      <c r="F21600" s="1"/>
    </row>
    <row r="21601" spans="6:14" x14ac:dyDescent="0.3">
      <c r="F21601" s="1"/>
    </row>
    <row r="21603" spans="6:14" x14ac:dyDescent="0.3">
      <c r="F21603" s="1"/>
    </row>
    <row r="21605" spans="6:14" x14ac:dyDescent="0.3">
      <c r="F21605" s="1"/>
    </row>
    <row r="21606" spans="6:14" x14ac:dyDescent="0.3">
      <c r="F21606" s="1"/>
    </row>
    <row r="21607" spans="6:14" x14ac:dyDescent="0.3">
      <c r="F21607" s="1"/>
    </row>
    <row r="21608" spans="6:14" x14ac:dyDescent="0.3">
      <c r="M21608" s="1"/>
    </row>
    <row r="21609" spans="6:14" x14ac:dyDescent="0.3">
      <c r="F21609" s="1"/>
    </row>
    <row r="21610" spans="6:14" x14ac:dyDescent="0.3">
      <c r="F21610" s="1"/>
    </row>
    <row r="21611" spans="6:14" x14ac:dyDescent="0.3">
      <c r="F21611" s="1"/>
    </row>
    <row r="21613" spans="6:14" x14ac:dyDescent="0.3">
      <c r="F21613" s="1"/>
      <c r="L21613" s="1"/>
      <c r="N21613" s="1"/>
    </row>
    <row r="21614" spans="6:14" x14ac:dyDescent="0.3">
      <c r="F21614" s="1"/>
      <c r="L21614" s="1"/>
    </row>
    <row r="21615" spans="6:14" x14ac:dyDescent="0.3">
      <c r="F21615" s="1"/>
    </row>
    <row r="21616" spans="6:14" x14ac:dyDescent="0.3">
      <c r="F21616" s="1"/>
    </row>
    <row r="21617" spans="6:13" x14ac:dyDescent="0.3">
      <c r="F21617" s="1"/>
    </row>
    <row r="21618" spans="6:13" x14ac:dyDescent="0.3">
      <c r="F21618" s="1"/>
    </row>
    <row r="21619" spans="6:13" x14ac:dyDescent="0.3">
      <c r="F21619" s="1"/>
    </row>
    <row r="21620" spans="6:13" x14ac:dyDescent="0.3">
      <c r="F21620" s="1"/>
    </row>
    <row r="21622" spans="6:13" x14ac:dyDescent="0.3">
      <c r="F21622" s="1"/>
    </row>
    <row r="21623" spans="6:13" x14ac:dyDescent="0.3">
      <c r="F21623" s="1"/>
    </row>
    <row r="21624" spans="6:13" x14ac:dyDescent="0.3">
      <c r="F21624" s="1"/>
    </row>
    <row r="21625" spans="6:13" x14ac:dyDescent="0.3">
      <c r="F21625" s="1"/>
    </row>
    <row r="21626" spans="6:13" x14ac:dyDescent="0.3">
      <c r="F21626" s="1"/>
    </row>
    <row r="21627" spans="6:13" x14ac:dyDescent="0.3">
      <c r="F21627" s="1"/>
    </row>
    <row r="21628" spans="6:13" x14ac:dyDescent="0.3">
      <c r="F21628" s="1"/>
    </row>
    <row r="21629" spans="6:13" x14ac:dyDescent="0.3">
      <c r="F21629" s="1"/>
    </row>
    <row r="21630" spans="6:13" x14ac:dyDescent="0.3">
      <c r="F21630" s="1"/>
    </row>
    <row r="21631" spans="6:13" x14ac:dyDescent="0.3">
      <c r="F21631" s="1"/>
      <c r="L21631" s="1"/>
      <c r="M21631" s="1"/>
    </row>
    <row r="21632" spans="6:13" x14ac:dyDescent="0.3">
      <c r="F21632" s="1"/>
    </row>
    <row r="21633" spans="6:14" x14ac:dyDescent="0.3">
      <c r="F21633" s="1"/>
    </row>
    <row r="21634" spans="6:14" x14ac:dyDescent="0.3">
      <c r="F21634" s="1"/>
    </row>
    <row r="21635" spans="6:14" x14ac:dyDescent="0.3">
      <c r="F21635" s="1"/>
    </row>
    <row r="21636" spans="6:14" x14ac:dyDescent="0.3">
      <c r="F21636" s="1"/>
    </row>
    <row r="21637" spans="6:14" x14ac:dyDescent="0.3">
      <c r="F21637" s="1"/>
      <c r="N21637" s="1"/>
    </row>
    <row r="21638" spans="6:14" x14ac:dyDescent="0.3">
      <c r="F21638" s="1"/>
      <c r="L21638" s="1"/>
    </row>
    <row r="21639" spans="6:14" x14ac:dyDescent="0.3">
      <c r="F21639" s="1"/>
    </row>
    <row r="21640" spans="6:14" x14ac:dyDescent="0.3">
      <c r="F21640" s="1"/>
    </row>
    <row r="21641" spans="6:14" x14ac:dyDescent="0.3">
      <c r="F21641" s="1"/>
    </row>
    <row r="21642" spans="6:14" x14ac:dyDescent="0.3">
      <c r="F21642" s="1"/>
    </row>
    <row r="21643" spans="6:14" x14ac:dyDescent="0.3">
      <c r="F21643" s="1"/>
    </row>
    <row r="21644" spans="6:14" x14ac:dyDescent="0.3">
      <c r="F21644" s="1"/>
    </row>
    <row r="21645" spans="6:14" x14ac:dyDescent="0.3">
      <c r="F21645" s="1"/>
    </row>
    <row r="21646" spans="6:14" x14ac:dyDescent="0.3">
      <c r="L21646" s="1"/>
    </row>
    <row r="21647" spans="6:14" x14ac:dyDescent="0.3">
      <c r="F21647" s="1"/>
    </row>
    <row r="21648" spans="6:14" x14ac:dyDescent="0.3">
      <c r="L21648" s="1"/>
    </row>
    <row r="21649" spans="6:15" x14ac:dyDescent="0.3">
      <c r="F21649" s="1"/>
    </row>
    <row r="21650" spans="6:15" x14ac:dyDescent="0.3">
      <c r="F21650" s="1"/>
      <c r="L21650" s="1"/>
      <c r="N21650" s="1"/>
    </row>
    <row r="21651" spans="6:15" x14ac:dyDescent="0.3">
      <c r="F21651" s="1"/>
    </row>
    <row r="21652" spans="6:15" x14ac:dyDescent="0.3">
      <c r="F21652" s="1"/>
    </row>
    <row r="21654" spans="6:15" x14ac:dyDescent="0.3">
      <c r="L21654" s="1"/>
      <c r="M21654" s="1"/>
    </row>
    <row r="21655" spans="6:15" x14ac:dyDescent="0.3">
      <c r="F21655" s="1"/>
    </row>
    <row r="21656" spans="6:15" x14ac:dyDescent="0.3">
      <c r="F21656" s="1"/>
    </row>
    <row r="21657" spans="6:15" x14ac:dyDescent="0.3">
      <c r="F21657" s="1"/>
      <c r="L21657" s="1"/>
      <c r="N21657" s="1"/>
      <c r="O21657" s="1"/>
    </row>
    <row r="21658" spans="6:15" x14ac:dyDescent="0.3">
      <c r="F21658" s="1"/>
    </row>
    <row r="21659" spans="6:15" x14ac:dyDescent="0.3">
      <c r="F21659" s="1"/>
    </row>
    <row r="21660" spans="6:15" x14ac:dyDescent="0.3">
      <c r="F21660" s="1"/>
    </row>
    <row r="21663" spans="6:15" x14ac:dyDescent="0.3">
      <c r="F21663" s="1"/>
    </row>
    <row r="21664" spans="6:15" x14ac:dyDescent="0.3">
      <c r="F21664" s="1"/>
    </row>
    <row r="21665" spans="6:14" x14ac:dyDescent="0.3">
      <c r="F21665" s="1"/>
    </row>
    <row r="21666" spans="6:14" x14ac:dyDescent="0.3">
      <c r="F21666" s="1"/>
      <c r="N21666" s="1"/>
    </row>
    <row r="21667" spans="6:14" x14ac:dyDescent="0.3">
      <c r="F21667" s="1"/>
    </row>
    <row r="21669" spans="6:14" x14ac:dyDescent="0.3">
      <c r="F21669" s="1"/>
    </row>
    <row r="21670" spans="6:14" x14ac:dyDescent="0.3">
      <c r="F21670" s="1"/>
    </row>
    <row r="21671" spans="6:14" x14ac:dyDescent="0.3">
      <c r="F21671" s="1"/>
    </row>
    <row r="21672" spans="6:14" x14ac:dyDescent="0.3">
      <c r="F21672" s="1"/>
    </row>
    <row r="21673" spans="6:14" x14ac:dyDescent="0.3">
      <c r="F21673" s="1"/>
      <c r="L21673" s="1"/>
      <c r="N21673" s="1"/>
    </row>
    <row r="21674" spans="6:14" x14ac:dyDescent="0.3">
      <c r="F21674" s="1"/>
    </row>
    <row r="21676" spans="6:14" x14ac:dyDescent="0.3">
      <c r="F21676" s="1"/>
    </row>
    <row r="21677" spans="6:14" x14ac:dyDescent="0.3">
      <c r="F21677" s="1"/>
    </row>
    <row r="21678" spans="6:14" x14ac:dyDescent="0.3">
      <c r="F21678" s="1"/>
    </row>
    <row r="21679" spans="6:14" x14ac:dyDescent="0.3">
      <c r="F21679" s="1"/>
    </row>
    <row r="21680" spans="6:14" x14ac:dyDescent="0.3">
      <c r="F21680" s="1"/>
    </row>
    <row r="21681" spans="6:14" x14ac:dyDescent="0.3">
      <c r="F21681" s="1"/>
    </row>
    <row r="21682" spans="6:14" x14ac:dyDescent="0.3">
      <c r="F21682" s="1"/>
    </row>
    <row r="21683" spans="6:14" x14ac:dyDescent="0.3">
      <c r="F21683" s="1"/>
    </row>
    <row r="21684" spans="6:14" x14ac:dyDescent="0.3">
      <c r="L21684" s="1"/>
      <c r="N21684" s="1"/>
    </row>
    <row r="21685" spans="6:14" x14ac:dyDescent="0.3">
      <c r="F21685" s="1"/>
    </row>
    <row r="21686" spans="6:14" x14ac:dyDescent="0.3">
      <c r="L21686" s="1"/>
      <c r="N21686" s="1"/>
    </row>
    <row r="21688" spans="6:14" x14ac:dyDescent="0.3">
      <c r="F21688" s="1"/>
    </row>
    <row r="21689" spans="6:14" x14ac:dyDescent="0.3">
      <c r="F21689" s="1"/>
    </row>
    <row r="21690" spans="6:14" x14ac:dyDescent="0.3">
      <c r="F21690" s="1"/>
    </row>
    <row r="21691" spans="6:14" x14ac:dyDescent="0.3">
      <c r="F21691" s="1"/>
    </row>
    <row r="21692" spans="6:14" x14ac:dyDescent="0.3">
      <c r="F21692" s="1"/>
    </row>
    <row r="21693" spans="6:14" x14ac:dyDescent="0.3">
      <c r="F21693" s="1"/>
    </row>
    <row r="21694" spans="6:14" x14ac:dyDescent="0.3">
      <c r="F21694" s="1"/>
    </row>
    <row r="21695" spans="6:14" x14ac:dyDescent="0.3">
      <c r="F21695" s="1"/>
    </row>
    <row r="21696" spans="6:14" x14ac:dyDescent="0.3">
      <c r="F21696" s="1"/>
    </row>
    <row r="21697" spans="6:13" x14ac:dyDescent="0.3">
      <c r="F21697" s="1"/>
    </row>
    <row r="21698" spans="6:13" x14ac:dyDescent="0.3">
      <c r="F21698" s="1"/>
    </row>
    <row r="21699" spans="6:13" x14ac:dyDescent="0.3">
      <c r="F21699" s="1"/>
    </row>
    <row r="21702" spans="6:13" x14ac:dyDescent="0.3">
      <c r="F21702" s="1"/>
    </row>
    <row r="21703" spans="6:13" x14ac:dyDescent="0.3">
      <c r="F21703" s="1"/>
    </row>
    <row r="21704" spans="6:13" x14ac:dyDescent="0.3">
      <c r="F21704" s="1"/>
    </row>
    <row r="21706" spans="6:13" x14ac:dyDescent="0.3">
      <c r="F21706" s="1"/>
    </row>
    <row r="21707" spans="6:13" x14ac:dyDescent="0.3">
      <c r="F21707" s="1"/>
    </row>
    <row r="21708" spans="6:13" x14ac:dyDescent="0.3">
      <c r="F21708" s="1"/>
    </row>
    <row r="21711" spans="6:13" x14ac:dyDescent="0.3">
      <c r="M21711" s="1"/>
    </row>
    <row r="21712" spans="6:13" x14ac:dyDescent="0.3">
      <c r="F21712" s="1"/>
    </row>
    <row r="21713" spans="6:14" x14ac:dyDescent="0.3">
      <c r="F21713" s="1"/>
    </row>
    <row r="21714" spans="6:14" x14ac:dyDescent="0.3">
      <c r="F21714" s="1"/>
    </row>
    <row r="21715" spans="6:14" x14ac:dyDescent="0.3">
      <c r="F21715" s="1"/>
    </row>
    <row r="21717" spans="6:14" x14ac:dyDescent="0.3">
      <c r="F21717" s="1"/>
    </row>
    <row r="21718" spans="6:14" x14ac:dyDescent="0.3">
      <c r="F21718" s="1"/>
    </row>
    <row r="21719" spans="6:14" x14ac:dyDescent="0.3">
      <c r="F21719" s="1"/>
    </row>
    <row r="21720" spans="6:14" x14ac:dyDescent="0.3">
      <c r="F21720" s="1"/>
    </row>
    <row r="21721" spans="6:14" x14ac:dyDescent="0.3">
      <c r="F21721" s="1"/>
      <c r="N21721" s="1"/>
    </row>
    <row r="21724" spans="6:14" x14ac:dyDescent="0.3">
      <c r="F21724" s="1"/>
    </row>
    <row r="21725" spans="6:14" x14ac:dyDescent="0.3">
      <c r="F21725" s="1"/>
      <c r="L21725" s="1"/>
    </row>
    <row r="21726" spans="6:14" x14ac:dyDescent="0.3">
      <c r="F21726" s="1"/>
    </row>
    <row r="21727" spans="6:14" x14ac:dyDescent="0.3">
      <c r="F21727" s="1"/>
    </row>
    <row r="21728" spans="6:14" x14ac:dyDescent="0.3">
      <c r="F21728" s="1"/>
    </row>
    <row r="21729" spans="6:14" x14ac:dyDescent="0.3">
      <c r="M21729" s="1"/>
    </row>
    <row r="21731" spans="6:14" x14ac:dyDescent="0.3">
      <c r="F21731" s="1"/>
    </row>
    <row r="21732" spans="6:14" x14ac:dyDescent="0.3">
      <c r="F21732" s="1"/>
      <c r="N21732" s="1"/>
    </row>
    <row r="21733" spans="6:14" x14ac:dyDescent="0.3">
      <c r="F21733" s="1"/>
    </row>
    <row r="21734" spans="6:14" x14ac:dyDescent="0.3">
      <c r="F21734" s="1"/>
    </row>
    <row r="21735" spans="6:14" x14ac:dyDescent="0.3">
      <c r="F21735" s="1"/>
    </row>
    <row r="21736" spans="6:14" x14ac:dyDescent="0.3">
      <c r="F21736" s="1"/>
    </row>
    <row r="21737" spans="6:14" x14ac:dyDescent="0.3">
      <c r="F21737" s="1"/>
    </row>
    <row r="21738" spans="6:14" x14ac:dyDescent="0.3">
      <c r="F21738" s="1"/>
    </row>
    <row r="21739" spans="6:14" x14ac:dyDescent="0.3">
      <c r="F21739" s="1"/>
    </row>
    <row r="21740" spans="6:14" x14ac:dyDescent="0.3">
      <c r="F21740" s="1"/>
    </row>
    <row r="21741" spans="6:14" x14ac:dyDescent="0.3">
      <c r="F21741" s="1"/>
    </row>
    <row r="21742" spans="6:14" x14ac:dyDescent="0.3">
      <c r="F21742" s="1"/>
    </row>
    <row r="21743" spans="6:14" x14ac:dyDescent="0.3">
      <c r="F21743" s="1"/>
    </row>
    <row r="21744" spans="6:14" x14ac:dyDescent="0.3">
      <c r="F21744" s="1"/>
    </row>
    <row r="21745" spans="6:14" x14ac:dyDescent="0.3">
      <c r="F21745" s="1"/>
    </row>
    <row r="21746" spans="6:14" x14ac:dyDescent="0.3">
      <c r="F21746" s="1"/>
    </row>
    <row r="21747" spans="6:14" x14ac:dyDescent="0.3">
      <c r="F21747" s="1"/>
    </row>
    <row r="21748" spans="6:14" x14ac:dyDescent="0.3">
      <c r="F21748" s="1"/>
    </row>
    <row r="21749" spans="6:14" x14ac:dyDescent="0.3">
      <c r="F21749" s="1"/>
    </row>
    <row r="21750" spans="6:14" x14ac:dyDescent="0.3">
      <c r="F21750" s="1"/>
    </row>
    <row r="21751" spans="6:14" x14ac:dyDescent="0.3">
      <c r="F21751" s="1"/>
    </row>
    <row r="21753" spans="6:14" x14ac:dyDescent="0.3">
      <c r="F21753" s="1"/>
    </row>
    <row r="21754" spans="6:14" x14ac:dyDescent="0.3">
      <c r="F21754" s="1"/>
    </row>
    <row r="21755" spans="6:14" x14ac:dyDescent="0.3">
      <c r="F21755" s="1"/>
    </row>
    <row r="21756" spans="6:14" x14ac:dyDescent="0.3">
      <c r="F21756" s="1"/>
    </row>
    <row r="21757" spans="6:14" x14ac:dyDescent="0.3">
      <c r="F21757" s="1"/>
    </row>
    <row r="21758" spans="6:14" x14ac:dyDescent="0.3">
      <c r="F21758" s="1"/>
      <c r="N21758" s="1"/>
    </row>
    <row r="21759" spans="6:14" x14ac:dyDescent="0.3">
      <c r="F21759" s="1"/>
    </row>
    <row r="21760" spans="6:14" x14ac:dyDescent="0.3">
      <c r="F21760" s="1"/>
    </row>
    <row r="21762" spans="6:14" x14ac:dyDescent="0.3">
      <c r="F21762" s="1"/>
    </row>
    <row r="21763" spans="6:14" x14ac:dyDescent="0.3">
      <c r="F21763" s="1"/>
    </row>
    <row r="21764" spans="6:14" x14ac:dyDescent="0.3">
      <c r="F21764" s="1"/>
    </row>
    <row r="21765" spans="6:14" x14ac:dyDescent="0.3">
      <c r="F21765" s="1"/>
    </row>
    <row r="21766" spans="6:14" x14ac:dyDescent="0.3">
      <c r="F21766" s="1"/>
    </row>
    <row r="21767" spans="6:14" x14ac:dyDescent="0.3">
      <c r="F21767" s="1"/>
    </row>
    <row r="21768" spans="6:14" x14ac:dyDescent="0.3">
      <c r="F21768" s="1"/>
    </row>
    <row r="21769" spans="6:14" x14ac:dyDescent="0.3">
      <c r="M21769" s="1"/>
    </row>
    <row r="21770" spans="6:14" x14ac:dyDescent="0.3">
      <c r="F21770" s="1"/>
    </row>
    <row r="21772" spans="6:14" x14ac:dyDescent="0.3">
      <c r="F21772" s="1"/>
    </row>
    <row r="21773" spans="6:14" x14ac:dyDescent="0.3">
      <c r="F21773" s="1"/>
    </row>
    <row r="21774" spans="6:14" x14ac:dyDescent="0.3">
      <c r="F21774" s="1"/>
    </row>
    <row r="21775" spans="6:14" x14ac:dyDescent="0.3">
      <c r="F21775" s="1"/>
    </row>
    <row r="21776" spans="6:14" x14ac:dyDescent="0.3">
      <c r="F21776" s="1"/>
      <c r="N21776" s="1"/>
    </row>
    <row r="21778" spans="6:15" x14ac:dyDescent="0.3">
      <c r="F21778" s="1"/>
    </row>
    <row r="21779" spans="6:15" x14ac:dyDescent="0.3">
      <c r="F21779" s="1"/>
    </row>
    <row r="21780" spans="6:15" x14ac:dyDescent="0.3">
      <c r="F21780" s="1"/>
    </row>
    <row r="21781" spans="6:15" x14ac:dyDescent="0.3">
      <c r="F21781" s="1"/>
    </row>
    <row r="21783" spans="6:15" x14ac:dyDescent="0.3">
      <c r="F21783" s="1"/>
      <c r="L21783" s="1"/>
      <c r="N21783" s="1"/>
      <c r="O21783" s="1"/>
    </row>
    <row r="21784" spans="6:15" x14ac:dyDescent="0.3">
      <c r="F21784" s="1"/>
    </row>
    <row r="21785" spans="6:15" x14ac:dyDescent="0.3">
      <c r="F21785" s="1"/>
    </row>
    <row r="21786" spans="6:15" x14ac:dyDescent="0.3">
      <c r="F21786" s="1"/>
    </row>
    <row r="21787" spans="6:15" x14ac:dyDescent="0.3">
      <c r="F21787" s="1"/>
    </row>
    <row r="21788" spans="6:15" x14ac:dyDescent="0.3">
      <c r="F21788" s="1"/>
    </row>
    <row r="21790" spans="6:15" x14ac:dyDescent="0.3">
      <c r="F21790" s="1"/>
    </row>
    <row r="21791" spans="6:15" x14ac:dyDescent="0.3">
      <c r="F21791" s="1"/>
    </row>
    <row r="21794" spans="6:14" x14ac:dyDescent="0.3">
      <c r="F21794" s="1"/>
    </row>
    <row r="21795" spans="6:14" x14ac:dyDescent="0.3">
      <c r="F21795" s="1"/>
    </row>
    <row r="21796" spans="6:14" x14ac:dyDescent="0.3">
      <c r="F21796" s="1"/>
      <c r="L21796" s="1"/>
    </row>
    <row r="21797" spans="6:14" x14ac:dyDescent="0.3">
      <c r="L21797" s="1"/>
      <c r="M21797" s="1"/>
      <c r="N21797" s="1"/>
    </row>
    <row r="21798" spans="6:14" x14ac:dyDescent="0.3">
      <c r="F21798" s="1"/>
    </row>
    <row r="21799" spans="6:14" x14ac:dyDescent="0.3">
      <c r="F21799" s="1"/>
      <c r="M21799" s="1"/>
      <c r="N21799" s="1"/>
    </row>
    <row r="21800" spans="6:14" x14ac:dyDescent="0.3">
      <c r="F21800" s="1"/>
    </row>
    <row r="21801" spans="6:14" x14ac:dyDescent="0.3">
      <c r="F21801" s="1"/>
    </row>
    <row r="21802" spans="6:14" x14ac:dyDescent="0.3">
      <c r="F21802" s="1"/>
    </row>
    <row r="21803" spans="6:14" x14ac:dyDescent="0.3">
      <c r="F21803" s="1"/>
    </row>
    <row r="21804" spans="6:14" x14ac:dyDescent="0.3">
      <c r="F21804" s="1"/>
    </row>
    <row r="21805" spans="6:14" x14ac:dyDescent="0.3">
      <c r="F21805" s="1"/>
    </row>
    <row r="21806" spans="6:14" x14ac:dyDescent="0.3">
      <c r="F21806" s="1"/>
    </row>
    <row r="21807" spans="6:14" x14ac:dyDescent="0.3">
      <c r="F21807" s="1"/>
    </row>
    <row r="21808" spans="6:14" x14ac:dyDescent="0.3">
      <c r="F21808" s="1"/>
    </row>
    <row r="21809" spans="6:15" x14ac:dyDescent="0.3">
      <c r="F21809" s="1"/>
    </row>
    <row r="21810" spans="6:15" x14ac:dyDescent="0.3">
      <c r="F21810" s="1"/>
    </row>
    <row r="21811" spans="6:15" x14ac:dyDescent="0.3">
      <c r="F21811" s="1"/>
    </row>
    <row r="21812" spans="6:15" x14ac:dyDescent="0.3">
      <c r="F21812" s="1"/>
      <c r="N21812" s="1"/>
    </row>
    <row r="21814" spans="6:15" x14ac:dyDescent="0.3">
      <c r="F21814" s="1"/>
    </row>
    <row r="21816" spans="6:15" x14ac:dyDescent="0.3">
      <c r="L21816" s="1"/>
      <c r="M21816" s="1"/>
    </row>
    <row r="21817" spans="6:15" x14ac:dyDescent="0.3">
      <c r="F21817" s="1"/>
    </row>
    <row r="21818" spans="6:15" x14ac:dyDescent="0.3">
      <c r="F21818" s="1"/>
    </row>
    <row r="21819" spans="6:15" x14ac:dyDescent="0.3">
      <c r="F21819" s="1"/>
    </row>
    <row r="21820" spans="6:15" x14ac:dyDescent="0.3">
      <c r="F21820" s="1"/>
      <c r="N21820" s="1"/>
    </row>
    <row r="21821" spans="6:15" x14ac:dyDescent="0.3">
      <c r="F21821" s="1"/>
    </row>
    <row r="21822" spans="6:15" x14ac:dyDescent="0.3">
      <c r="F21822" s="1"/>
    </row>
    <row r="21823" spans="6:15" x14ac:dyDescent="0.3">
      <c r="L21823" s="1"/>
      <c r="O21823" s="1"/>
    </row>
    <row r="21824" spans="6:15" x14ac:dyDescent="0.3">
      <c r="F21824" s="1"/>
    </row>
    <row r="21825" spans="6:15" x14ac:dyDescent="0.3">
      <c r="F21825" s="1"/>
    </row>
    <row r="21826" spans="6:15" x14ac:dyDescent="0.3">
      <c r="F21826" s="1"/>
    </row>
    <row r="21827" spans="6:15" x14ac:dyDescent="0.3">
      <c r="F21827" s="1"/>
    </row>
    <row r="21828" spans="6:15" x14ac:dyDescent="0.3">
      <c r="F21828" s="1"/>
    </row>
    <row r="21830" spans="6:15" x14ac:dyDescent="0.3">
      <c r="L21830" s="1"/>
      <c r="M21830" s="1"/>
    </row>
    <row r="21831" spans="6:15" x14ac:dyDescent="0.3">
      <c r="F21831" s="1"/>
    </row>
    <row r="21832" spans="6:15" x14ac:dyDescent="0.3">
      <c r="F21832" s="1"/>
    </row>
    <row r="21833" spans="6:15" x14ac:dyDescent="0.3">
      <c r="F21833" s="1"/>
    </row>
    <row r="21834" spans="6:15" x14ac:dyDescent="0.3">
      <c r="F21834" s="1"/>
    </row>
    <row r="21835" spans="6:15" x14ac:dyDescent="0.3">
      <c r="F21835" s="1"/>
    </row>
    <row r="21837" spans="6:15" x14ac:dyDescent="0.3">
      <c r="F21837" s="1"/>
      <c r="L21837" s="1"/>
      <c r="N21837" s="1"/>
      <c r="O21837" s="1"/>
    </row>
    <row r="21838" spans="6:15" x14ac:dyDescent="0.3">
      <c r="F21838" s="1"/>
    </row>
    <row r="21839" spans="6:15" x14ac:dyDescent="0.3">
      <c r="M21839" s="1"/>
      <c r="N21839" s="1"/>
    </row>
    <row r="21840" spans="6:15" x14ac:dyDescent="0.3">
      <c r="F21840" s="1"/>
    </row>
    <row r="21841" spans="6:14" x14ac:dyDescent="0.3">
      <c r="L21841" s="1"/>
      <c r="M21841" s="1"/>
    </row>
    <row r="21842" spans="6:14" x14ac:dyDescent="0.3">
      <c r="F21842" s="1"/>
      <c r="N21842" s="1"/>
    </row>
    <row r="21843" spans="6:14" x14ac:dyDescent="0.3">
      <c r="F21843" s="1"/>
    </row>
    <row r="21844" spans="6:14" x14ac:dyDescent="0.3">
      <c r="F21844" s="1"/>
    </row>
    <row r="21845" spans="6:14" x14ac:dyDescent="0.3">
      <c r="N21845" s="1"/>
    </row>
    <row r="21846" spans="6:14" x14ac:dyDescent="0.3">
      <c r="F21846" s="1"/>
    </row>
    <row r="21847" spans="6:14" x14ac:dyDescent="0.3">
      <c r="F21847" s="1"/>
    </row>
    <row r="21848" spans="6:14" x14ac:dyDescent="0.3">
      <c r="F21848" s="1"/>
    </row>
    <row r="21849" spans="6:14" x14ac:dyDescent="0.3">
      <c r="F21849" s="1"/>
    </row>
    <row r="21850" spans="6:14" x14ac:dyDescent="0.3">
      <c r="F21850" s="1"/>
    </row>
    <row r="21851" spans="6:14" x14ac:dyDescent="0.3">
      <c r="F21851" s="1"/>
    </row>
    <row r="21853" spans="6:14" x14ac:dyDescent="0.3">
      <c r="F21853" s="1"/>
    </row>
    <row r="21854" spans="6:14" x14ac:dyDescent="0.3">
      <c r="F21854" s="1"/>
    </row>
    <row r="21855" spans="6:14" x14ac:dyDescent="0.3">
      <c r="F21855" s="1"/>
    </row>
    <row r="21856" spans="6:14" x14ac:dyDescent="0.3">
      <c r="F21856" s="1"/>
    </row>
    <row r="21857" spans="6:12" x14ac:dyDescent="0.3">
      <c r="F21857" s="1"/>
    </row>
    <row r="21858" spans="6:12" x14ac:dyDescent="0.3">
      <c r="F21858" s="1"/>
    </row>
    <row r="21859" spans="6:12" x14ac:dyDescent="0.3">
      <c r="F21859" s="1"/>
    </row>
    <row r="21860" spans="6:12" x14ac:dyDescent="0.3">
      <c r="F21860" s="1"/>
    </row>
    <row r="21861" spans="6:12" x14ac:dyDescent="0.3">
      <c r="F21861" s="1"/>
    </row>
    <row r="21862" spans="6:12" x14ac:dyDescent="0.3">
      <c r="F21862" s="1"/>
    </row>
    <row r="21863" spans="6:12" x14ac:dyDescent="0.3">
      <c r="F21863" s="1"/>
    </row>
    <row r="21864" spans="6:12" x14ac:dyDescent="0.3">
      <c r="F21864" s="1"/>
    </row>
    <row r="21865" spans="6:12" x14ac:dyDescent="0.3">
      <c r="F21865" s="1"/>
    </row>
    <row r="21869" spans="6:12" x14ac:dyDescent="0.3">
      <c r="F21869" s="1"/>
    </row>
    <row r="21870" spans="6:12" x14ac:dyDescent="0.3">
      <c r="F21870" s="1"/>
    </row>
    <row r="21871" spans="6:12" x14ac:dyDescent="0.3">
      <c r="L21871" s="1"/>
    </row>
    <row r="21872" spans="6:12" x14ac:dyDescent="0.3">
      <c r="F21872" s="1"/>
    </row>
    <row r="21873" spans="6:15" x14ac:dyDescent="0.3">
      <c r="F21873" s="1"/>
    </row>
    <row r="21874" spans="6:15" x14ac:dyDescent="0.3">
      <c r="F21874" s="1"/>
    </row>
    <row r="21875" spans="6:15" x14ac:dyDescent="0.3">
      <c r="F21875" s="1"/>
    </row>
    <row r="21876" spans="6:15" x14ac:dyDescent="0.3">
      <c r="F21876" s="1"/>
    </row>
    <row r="21877" spans="6:15" x14ac:dyDescent="0.3">
      <c r="F21877" s="1"/>
    </row>
    <row r="21878" spans="6:15" x14ac:dyDescent="0.3">
      <c r="F21878" s="1"/>
      <c r="L21878" s="1"/>
      <c r="N21878" s="1"/>
    </row>
    <row r="21879" spans="6:15" x14ac:dyDescent="0.3">
      <c r="F21879" s="1"/>
    </row>
    <row r="21881" spans="6:15" x14ac:dyDescent="0.3">
      <c r="F21881" s="1"/>
      <c r="L21881" s="1"/>
      <c r="N21881" s="1"/>
    </row>
    <row r="21882" spans="6:15" x14ac:dyDescent="0.3">
      <c r="L21882" s="1"/>
      <c r="O21882" s="1"/>
    </row>
    <row r="21883" spans="6:15" x14ac:dyDescent="0.3">
      <c r="F21883" s="1"/>
    </row>
    <row r="21884" spans="6:15" x14ac:dyDescent="0.3">
      <c r="M21884" s="1"/>
    </row>
    <row r="21885" spans="6:15" x14ac:dyDescent="0.3">
      <c r="M21885" s="1"/>
      <c r="O21885" s="1"/>
    </row>
    <row r="21886" spans="6:15" x14ac:dyDescent="0.3">
      <c r="F21886" s="1"/>
    </row>
    <row r="21887" spans="6:15" x14ac:dyDescent="0.3">
      <c r="F21887" s="1"/>
      <c r="L21887" s="1"/>
    </row>
    <row r="21888" spans="6:15" x14ac:dyDescent="0.3">
      <c r="F21888" s="1"/>
    </row>
    <row r="21889" spans="6:15" x14ac:dyDescent="0.3">
      <c r="F21889" s="1"/>
    </row>
    <row r="21892" spans="6:15" x14ac:dyDescent="0.3">
      <c r="F21892" s="1"/>
    </row>
    <row r="21893" spans="6:15" x14ac:dyDescent="0.3">
      <c r="L21893" s="1"/>
      <c r="M21893" s="1"/>
      <c r="N21893" s="1"/>
      <c r="O21893" s="1"/>
    </row>
    <row r="21894" spans="6:15" x14ac:dyDescent="0.3">
      <c r="F21894" s="1"/>
    </row>
    <row r="21895" spans="6:15" x14ac:dyDescent="0.3">
      <c r="F21895" s="1"/>
    </row>
    <row r="21896" spans="6:15" x14ac:dyDescent="0.3">
      <c r="F21896" s="1"/>
    </row>
    <row r="21897" spans="6:15" x14ac:dyDescent="0.3">
      <c r="F21897" s="1"/>
    </row>
    <row r="21898" spans="6:15" x14ac:dyDescent="0.3">
      <c r="F21898" s="1"/>
    </row>
    <row r="21899" spans="6:15" x14ac:dyDescent="0.3">
      <c r="F21899" s="1"/>
      <c r="N21899" s="1"/>
    </row>
    <row r="21900" spans="6:15" x14ac:dyDescent="0.3">
      <c r="F21900" s="1"/>
    </row>
    <row r="21902" spans="6:15" x14ac:dyDescent="0.3">
      <c r="F21902" s="1"/>
    </row>
    <row r="21903" spans="6:15" x14ac:dyDescent="0.3">
      <c r="F21903" s="1"/>
    </row>
    <row r="21905" spans="6:14" x14ac:dyDescent="0.3">
      <c r="F21905" s="1"/>
    </row>
    <row r="21906" spans="6:14" x14ac:dyDescent="0.3">
      <c r="F21906" s="1"/>
    </row>
    <row r="21907" spans="6:14" x14ac:dyDescent="0.3">
      <c r="F21907" s="1"/>
    </row>
    <row r="21908" spans="6:14" x14ac:dyDescent="0.3">
      <c r="F21908" s="1"/>
    </row>
    <row r="21909" spans="6:14" x14ac:dyDescent="0.3">
      <c r="F21909" s="1"/>
    </row>
    <row r="21911" spans="6:14" x14ac:dyDescent="0.3">
      <c r="F21911" s="1"/>
    </row>
    <row r="21912" spans="6:14" x14ac:dyDescent="0.3">
      <c r="F21912" s="1"/>
    </row>
    <row r="21913" spans="6:14" x14ac:dyDescent="0.3">
      <c r="F21913" s="1"/>
    </row>
    <row r="21914" spans="6:14" x14ac:dyDescent="0.3">
      <c r="F21914" s="1"/>
    </row>
    <row r="21915" spans="6:14" x14ac:dyDescent="0.3">
      <c r="L21915" s="1"/>
      <c r="M21915" s="1"/>
    </row>
    <row r="21916" spans="6:14" x14ac:dyDescent="0.3">
      <c r="F21916" s="1"/>
      <c r="N21916" s="1"/>
    </row>
    <row r="21917" spans="6:14" x14ac:dyDescent="0.3">
      <c r="F21917" s="1"/>
    </row>
    <row r="21918" spans="6:14" x14ac:dyDescent="0.3">
      <c r="F21918" s="1"/>
    </row>
    <row r="21919" spans="6:14" x14ac:dyDescent="0.3">
      <c r="F21919" s="1"/>
    </row>
    <row r="21920" spans="6:14" x14ac:dyDescent="0.3">
      <c r="F21920" s="1"/>
    </row>
    <row r="21921" spans="6:15" x14ac:dyDescent="0.3">
      <c r="F21921" s="1"/>
    </row>
    <row r="21922" spans="6:15" x14ac:dyDescent="0.3">
      <c r="F21922" s="1"/>
      <c r="L21922" s="1"/>
      <c r="M21922" s="1"/>
      <c r="N21922" s="1"/>
      <c r="O21922" s="1"/>
    </row>
    <row r="21923" spans="6:15" x14ac:dyDescent="0.3">
      <c r="F21923" s="1"/>
    </row>
    <row r="21924" spans="6:15" x14ac:dyDescent="0.3">
      <c r="F21924" s="1"/>
    </row>
    <row r="21925" spans="6:15" x14ac:dyDescent="0.3">
      <c r="F21925" s="1"/>
    </row>
    <row r="21926" spans="6:15" x14ac:dyDescent="0.3">
      <c r="F21926" s="1"/>
    </row>
    <row r="21927" spans="6:15" x14ac:dyDescent="0.3">
      <c r="F21927" s="1"/>
      <c r="L21927" s="1"/>
    </row>
    <row r="21928" spans="6:15" x14ac:dyDescent="0.3">
      <c r="F21928" s="1"/>
    </row>
    <row r="21929" spans="6:15" x14ac:dyDescent="0.3">
      <c r="F21929" s="1"/>
    </row>
    <row r="21930" spans="6:15" x14ac:dyDescent="0.3">
      <c r="F21930" s="1"/>
      <c r="M21930" s="1"/>
      <c r="N21930" s="1"/>
    </row>
    <row r="21931" spans="6:15" x14ac:dyDescent="0.3">
      <c r="F21931" s="1"/>
    </row>
    <row r="21932" spans="6:15" x14ac:dyDescent="0.3">
      <c r="F21932" s="1"/>
    </row>
    <row r="21933" spans="6:15" x14ac:dyDescent="0.3">
      <c r="F21933" s="1"/>
    </row>
    <row r="21935" spans="6:15" x14ac:dyDescent="0.3">
      <c r="L21935" s="1"/>
      <c r="M21935" s="1"/>
    </row>
    <row r="21936" spans="6:15" x14ac:dyDescent="0.3">
      <c r="F21936" s="1"/>
    </row>
    <row r="21937" spans="6:15" x14ac:dyDescent="0.3">
      <c r="F21937" s="1"/>
    </row>
    <row r="21938" spans="6:15" x14ac:dyDescent="0.3">
      <c r="F21938" s="1"/>
    </row>
    <row r="21939" spans="6:15" x14ac:dyDescent="0.3">
      <c r="F21939" s="1"/>
      <c r="L21939" s="1"/>
      <c r="M21939" s="1"/>
    </row>
    <row r="21940" spans="6:15" x14ac:dyDescent="0.3">
      <c r="F21940" s="1"/>
      <c r="O21940" s="1"/>
    </row>
    <row r="21941" spans="6:15" x14ac:dyDescent="0.3">
      <c r="F21941" s="1"/>
    </row>
    <row r="21942" spans="6:15" x14ac:dyDescent="0.3">
      <c r="F21942" s="1"/>
    </row>
    <row r="21943" spans="6:15" x14ac:dyDescent="0.3">
      <c r="F21943" s="1"/>
      <c r="M21943" s="1"/>
    </row>
    <row r="21944" spans="6:15" x14ac:dyDescent="0.3">
      <c r="F21944" s="1"/>
    </row>
    <row r="21945" spans="6:15" x14ac:dyDescent="0.3">
      <c r="F21945" s="1"/>
    </row>
    <row r="21946" spans="6:15" x14ac:dyDescent="0.3">
      <c r="F21946" s="1"/>
    </row>
    <row r="21947" spans="6:15" x14ac:dyDescent="0.3">
      <c r="F21947" s="1"/>
    </row>
    <row r="21948" spans="6:15" x14ac:dyDescent="0.3">
      <c r="F21948" s="1"/>
    </row>
    <row r="21949" spans="6:15" x14ac:dyDescent="0.3">
      <c r="F21949" s="1"/>
    </row>
    <row r="21950" spans="6:15" x14ac:dyDescent="0.3">
      <c r="F21950" s="1"/>
    </row>
    <row r="21951" spans="6:15" x14ac:dyDescent="0.3">
      <c r="F21951" s="1"/>
    </row>
    <row r="21952" spans="6:15" x14ac:dyDescent="0.3">
      <c r="F21952" s="1"/>
    </row>
    <row r="21953" spans="6:15" x14ac:dyDescent="0.3">
      <c r="F21953" s="1"/>
    </row>
    <row r="21954" spans="6:15" x14ac:dyDescent="0.3">
      <c r="L21954" s="1"/>
    </row>
    <row r="21955" spans="6:15" x14ac:dyDescent="0.3">
      <c r="F21955" s="1"/>
      <c r="L21955" s="1"/>
      <c r="M21955" s="1"/>
      <c r="O21955" s="1"/>
    </row>
    <row r="21956" spans="6:15" x14ac:dyDescent="0.3">
      <c r="F21956" s="1"/>
    </row>
    <row r="21957" spans="6:15" x14ac:dyDescent="0.3">
      <c r="F21957" s="1"/>
    </row>
    <row r="21958" spans="6:15" x14ac:dyDescent="0.3">
      <c r="F21958" s="1"/>
    </row>
    <row r="21960" spans="6:15" x14ac:dyDescent="0.3">
      <c r="F21960" s="1"/>
    </row>
    <row r="21962" spans="6:15" x14ac:dyDescent="0.3">
      <c r="F21962" s="1"/>
    </row>
    <row r="21963" spans="6:15" x14ac:dyDescent="0.3">
      <c r="F21963" s="1"/>
    </row>
    <row r="21964" spans="6:15" x14ac:dyDescent="0.3">
      <c r="F21964" s="1"/>
    </row>
    <row r="21965" spans="6:15" x14ac:dyDescent="0.3">
      <c r="F21965" s="1"/>
    </row>
    <row r="21966" spans="6:15" x14ac:dyDescent="0.3">
      <c r="F21966" s="1"/>
    </row>
    <row r="21967" spans="6:15" x14ac:dyDescent="0.3">
      <c r="F21967" s="1"/>
    </row>
    <row r="21968" spans="6:15" x14ac:dyDescent="0.3">
      <c r="F21968" s="1"/>
    </row>
    <row r="21971" spans="6:6" x14ac:dyDescent="0.3">
      <c r="F21971" s="1"/>
    </row>
    <row r="21972" spans="6:6" x14ac:dyDescent="0.3">
      <c r="F21972" s="1"/>
    </row>
    <row r="21973" spans="6:6" x14ac:dyDescent="0.3">
      <c r="F21973" s="1"/>
    </row>
    <row r="21974" spans="6:6" x14ac:dyDescent="0.3">
      <c r="F21974" s="1"/>
    </row>
    <row r="21975" spans="6:6" x14ac:dyDescent="0.3">
      <c r="F21975" s="1"/>
    </row>
    <row r="21976" spans="6:6" x14ac:dyDescent="0.3">
      <c r="F21976" s="1"/>
    </row>
    <row r="21977" spans="6:6" x14ac:dyDescent="0.3">
      <c r="F21977" s="1"/>
    </row>
    <row r="21978" spans="6:6" x14ac:dyDescent="0.3">
      <c r="F21978" s="1"/>
    </row>
    <row r="21979" spans="6:6" x14ac:dyDescent="0.3">
      <c r="F21979" s="1"/>
    </row>
    <row r="21980" spans="6:6" x14ac:dyDescent="0.3">
      <c r="F21980" s="1"/>
    </row>
    <row r="21981" spans="6:6" x14ac:dyDescent="0.3">
      <c r="F21981" s="1"/>
    </row>
    <row r="21982" spans="6:6" x14ac:dyDescent="0.3">
      <c r="F21982" s="1"/>
    </row>
    <row r="21984" spans="6:6" x14ac:dyDescent="0.3">
      <c r="F21984" s="1"/>
    </row>
    <row r="21985" spans="6:14" x14ac:dyDescent="0.3">
      <c r="F21985" s="1"/>
    </row>
    <row r="21986" spans="6:14" x14ac:dyDescent="0.3">
      <c r="F21986" s="1"/>
    </row>
    <row r="21987" spans="6:14" x14ac:dyDescent="0.3">
      <c r="F21987" s="1"/>
    </row>
    <row r="21988" spans="6:14" x14ac:dyDescent="0.3">
      <c r="F21988" s="1"/>
      <c r="N21988" s="1"/>
    </row>
    <row r="21990" spans="6:14" x14ac:dyDescent="0.3">
      <c r="F21990" s="1"/>
    </row>
    <row r="21991" spans="6:14" x14ac:dyDescent="0.3">
      <c r="F21991" s="1"/>
      <c r="N21991" s="1"/>
    </row>
    <row r="21992" spans="6:14" x14ac:dyDescent="0.3">
      <c r="F21992" s="1"/>
    </row>
    <row r="21993" spans="6:14" x14ac:dyDescent="0.3">
      <c r="F21993" s="1"/>
    </row>
    <row r="21994" spans="6:14" x14ac:dyDescent="0.3">
      <c r="F21994" s="1"/>
    </row>
    <row r="21995" spans="6:14" x14ac:dyDescent="0.3">
      <c r="F21995" s="1"/>
    </row>
    <row r="21996" spans="6:14" x14ac:dyDescent="0.3">
      <c r="F21996" s="1"/>
    </row>
    <row r="21997" spans="6:14" x14ac:dyDescent="0.3">
      <c r="F21997" s="1"/>
    </row>
    <row r="21998" spans="6:14" x14ac:dyDescent="0.3">
      <c r="F21998" s="1"/>
    </row>
    <row r="21999" spans="6:14" x14ac:dyDescent="0.3">
      <c r="F21999" s="1"/>
    </row>
    <row r="22000" spans="6:14" x14ac:dyDescent="0.3">
      <c r="F22000" s="1"/>
    </row>
    <row r="22001" spans="6:12" x14ac:dyDescent="0.3">
      <c r="F22001" s="1"/>
    </row>
    <row r="22002" spans="6:12" x14ac:dyDescent="0.3">
      <c r="F22002" s="1"/>
    </row>
    <row r="22003" spans="6:12" x14ac:dyDescent="0.3">
      <c r="F22003" s="1"/>
    </row>
    <row r="22006" spans="6:12" x14ac:dyDescent="0.3">
      <c r="F22006" s="1"/>
    </row>
    <row r="22007" spans="6:12" x14ac:dyDescent="0.3">
      <c r="F22007" s="1"/>
    </row>
    <row r="22008" spans="6:12" x14ac:dyDescent="0.3">
      <c r="F22008" s="1"/>
    </row>
    <row r="22009" spans="6:12" x14ac:dyDescent="0.3">
      <c r="F22009" s="1"/>
    </row>
    <row r="22010" spans="6:12" x14ac:dyDescent="0.3">
      <c r="F22010" s="1"/>
    </row>
    <row r="22011" spans="6:12" x14ac:dyDescent="0.3">
      <c r="F22011" s="1"/>
      <c r="L22011" s="1"/>
    </row>
    <row r="22013" spans="6:12" x14ac:dyDescent="0.3">
      <c r="F22013" s="1"/>
    </row>
    <row r="22015" spans="6:12" x14ac:dyDescent="0.3">
      <c r="F22015" s="1"/>
    </row>
    <row r="22016" spans="6:12" x14ac:dyDescent="0.3">
      <c r="F22016" s="1"/>
    </row>
    <row r="22017" spans="6:15" x14ac:dyDescent="0.3">
      <c r="F22017" s="1"/>
    </row>
    <row r="22018" spans="6:15" x14ac:dyDescent="0.3">
      <c r="F22018" s="1"/>
    </row>
    <row r="22019" spans="6:15" x14ac:dyDescent="0.3">
      <c r="F22019" s="1"/>
    </row>
    <row r="22020" spans="6:15" x14ac:dyDescent="0.3">
      <c r="F22020" s="1"/>
      <c r="M22020" s="1"/>
    </row>
    <row r="22021" spans="6:15" x14ac:dyDescent="0.3">
      <c r="F22021" s="1"/>
    </row>
    <row r="22023" spans="6:15" x14ac:dyDescent="0.3">
      <c r="F22023" s="1"/>
    </row>
    <row r="22024" spans="6:15" x14ac:dyDescent="0.3">
      <c r="F22024" s="1"/>
    </row>
    <row r="22025" spans="6:15" x14ac:dyDescent="0.3">
      <c r="F22025" s="1"/>
    </row>
    <row r="22026" spans="6:15" x14ac:dyDescent="0.3">
      <c r="M22026" s="1"/>
      <c r="N22026" s="1"/>
      <c r="O22026" s="1"/>
    </row>
    <row r="22027" spans="6:15" x14ac:dyDescent="0.3">
      <c r="F22027" s="1"/>
    </row>
    <row r="22029" spans="6:15" x14ac:dyDescent="0.3">
      <c r="F22029" s="1"/>
    </row>
    <row r="22030" spans="6:15" x14ac:dyDescent="0.3">
      <c r="F22030" s="1"/>
    </row>
    <row r="22031" spans="6:15" x14ac:dyDescent="0.3">
      <c r="F22031" s="1"/>
    </row>
    <row r="22032" spans="6:15" x14ac:dyDescent="0.3">
      <c r="F22032" s="1"/>
    </row>
    <row r="22033" spans="6:14" x14ac:dyDescent="0.3">
      <c r="F22033" s="1"/>
    </row>
    <row r="22034" spans="6:14" x14ac:dyDescent="0.3">
      <c r="F22034" s="1"/>
    </row>
    <row r="22035" spans="6:14" x14ac:dyDescent="0.3">
      <c r="F22035" s="1"/>
    </row>
    <row r="22036" spans="6:14" x14ac:dyDescent="0.3">
      <c r="F22036" s="1"/>
    </row>
    <row r="22037" spans="6:14" x14ac:dyDescent="0.3">
      <c r="F22037" s="1"/>
    </row>
    <row r="22038" spans="6:14" x14ac:dyDescent="0.3">
      <c r="F22038" s="1"/>
    </row>
    <row r="22039" spans="6:14" x14ac:dyDescent="0.3">
      <c r="F22039" s="1"/>
    </row>
    <row r="22040" spans="6:14" x14ac:dyDescent="0.3">
      <c r="F22040" s="1"/>
    </row>
    <row r="22041" spans="6:14" x14ac:dyDescent="0.3">
      <c r="F22041" s="1"/>
    </row>
    <row r="22042" spans="6:14" x14ac:dyDescent="0.3">
      <c r="F22042" s="1"/>
    </row>
    <row r="22043" spans="6:14" x14ac:dyDescent="0.3">
      <c r="F22043" s="1"/>
    </row>
    <row r="22045" spans="6:14" x14ac:dyDescent="0.3">
      <c r="F22045" s="1"/>
    </row>
    <row r="22046" spans="6:14" x14ac:dyDescent="0.3">
      <c r="N22046" s="1"/>
    </row>
    <row r="22048" spans="6:14" x14ac:dyDescent="0.3">
      <c r="F22048" s="1"/>
    </row>
    <row r="22050" spans="6:15" x14ac:dyDescent="0.3">
      <c r="F22050" s="1"/>
      <c r="N22050" s="1"/>
    </row>
    <row r="22051" spans="6:15" x14ac:dyDescent="0.3">
      <c r="F22051" s="1"/>
    </row>
    <row r="22052" spans="6:15" x14ac:dyDescent="0.3">
      <c r="F22052" s="1"/>
    </row>
    <row r="22053" spans="6:15" x14ac:dyDescent="0.3">
      <c r="F22053" s="1"/>
    </row>
    <row r="22054" spans="6:15" x14ac:dyDescent="0.3">
      <c r="N22054" s="1"/>
    </row>
    <row r="22055" spans="6:15" x14ac:dyDescent="0.3">
      <c r="M22055" s="1"/>
      <c r="N22055" s="1"/>
    </row>
    <row r="22056" spans="6:15" x14ac:dyDescent="0.3">
      <c r="F22056" s="1"/>
    </row>
    <row r="22057" spans="6:15" x14ac:dyDescent="0.3">
      <c r="F22057" s="1"/>
    </row>
    <row r="22058" spans="6:15" x14ac:dyDescent="0.3">
      <c r="F22058" s="1"/>
    </row>
    <row r="22059" spans="6:15" x14ac:dyDescent="0.3">
      <c r="F22059" s="1"/>
      <c r="L22059" s="1"/>
      <c r="N22059" s="1"/>
    </row>
    <row r="22060" spans="6:15" x14ac:dyDescent="0.3">
      <c r="F22060" s="1"/>
    </row>
    <row r="22061" spans="6:15" x14ac:dyDescent="0.3">
      <c r="F22061" s="1"/>
      <c r="M22061" s="1"/>
      <c r="N22061" s="1"/>
      <c r="O22061" s="1"/>
    </row>
    <row r="22062" spans="6:15" x14ac:dyDescent="0.3">
      <c r="M22062" s="1"/>
    </row>
    <row r="22063" spans="6:15" x14ac:dyDescent="0.3">
      <c r="F22063" s="1"/>
    </row>
    <row r="22064" spans="6:15" x14ac:dyDescent="0.3">
      <c r="F22064" s="1"/>
    </row>
    <row r="22067" spans="6:15" x14ac:dyDescent="0.3">
      <c r="F22067" s="1"/>
    </row>
    <row r="22068" spans="6:15" x14ac:dyDescent="0.3">
      <c r="F22068" s="1"/>
      <c r="L22068" s="1"/>
      <c r="M22068" s="1"/>
      <c r="N22068" s="1"/>
      <c r="O22068" s="1"/>
    </row>
    <row r="22069" spans="6:15" x14ac:dyDescent="0.3">
      <c r="F22069" s="1"/>
    </row>
    <row r="22071" spans="6:15" x14ac:dyDescent="0.3">
      <c r="F22071" s="1"/>
    </row>
    <row r="22074" spans="6:15" x14ac:dyDescent="0.3">
      <c r="F22074" s="1"/>
    </row>
    <row r="22075" spans="6:15" x14ac:dyDescent="0.3">
      <c r="F22075" s="1"/>
    </row>
    <row r="22076" spans="6:15" x14ac:dyDescent="0.3">
      <c r="F22076" s="1"/>
    </row>
    <row r="22077" spans="6:15" x14ac:dyDescent="0.3">
      <c r="F22077" s="1"/>
    </row>
    <row r="22078" spans="6:15" x14ac:dyDescent="0.3">
      <c r="F22078" s="1"/>
    </row>
    <row r="22079" spans="6:15" x14ac:dyDescent="0.3">
      <c r="F22079" s="1"/>
    </row>
    <row r="22080" spans="6:15" x14ac:dyDescent="0.3">
      <c r="F22080" s="1"/>
    </row>
    <row r="22081" spans="6:6" x14ac:dyDescent="0.3">
      <c r="F22081" s="1"/>
    </row>
    <row r="22082" spans="6:6" x14ac:dyDescent="0.3">
      <c r="F22082" s="1"/>
    </row>
    <row r="22084" spans="6:6" x14ac:dyDescent="0.3">
      <c r="F22084" s="1"/>
    </row>
    <row r="22086" spans="6:6" x14ac:dyDescent="0.3">
      <c r="F22086" s="1"/>
    </row>
    <row r="22088" spans="6:6" x14ac:dyDescent="0.3">
      <c r="F22088" s="1"/>
    </row>
    <row r="22089" spans="6:6" x14ac:dyDescent="0.3">
      <c r="F22089" s="1"/>
    </row>
    <row r="22090" spans="6:6" x14ac:dyDescent="0.3">
      <c r="F22090" s="1"/>
    </row>
    <row r="22092" spans="6:6" x14ac:dyDescent="0.3">
      <c r="F22092" s="1"/>
    </row>
    <row r="22093" spans="6:6" x14ac:dyDescent="0.3">
      <c r="F22093" s="1"/>
    </row>
    <row r="22094" spans="6:6" x14ac:dyDescent="0.3">
      <c r="F22094" s="1"/>
    </row>
    <row r="22097" spans="6:14" x14ac:dyDescent="0.3">
      <c r="F22097" s="1"/>
    </row>
    <row r="22098" spans="6:14" x14ac:dyDescent="0.3">
      <c r="F22098" s="1"/>
      <c r="N22098" s="1"/>
    </row>
    <row r="22099" spans="6:14" x14ac:dyDescent="0.3">
      <c r="F22099" s="1"/>
      <c r="L22099" s="1"/>
    </row>
    <row r="22100" spans="6:14" x14ac:dyDescent="0.3">
      <c r="F22100" s="1"/>
    </row>
    <row r="22101" spans="6:14" x14ac:dyDescent="0.3">
      <c r="F22101" s="1"/>
    </row>
    <row r="22103" spans="6:14" x14ac:dyDescent="0.3">
      <c r="F22103" s="1"/>
    </row>
    <row r="22104" spans="6:14" x14ac:dyDescent="0.3">
      <c r="F22104" s="1"/>
    </row>
    <row r="22105" spans="6:14" x14ac:dyDescent="0.3">
      <c r="F22105" s="1"/>
    </row>
    <row r="22106" spans="6:14" x14ac:dyDescent="0.3">
      <c r="F22106" s="1"/>
    </row>
    <row r="22107" spans="6:14" x14ac:dyDescent="0.3">
      <c r="F22107" s="1"/>
    </row>
    <row r="22108" spans="6:14" x14ac:dyDescent="0.3">
      <c r="F22108" s="1"/>
    </row>
    <row r="22109" spans="6:14" x14ac:dyDescent="0.3">
      <c r="F22109" s="1"/>
    </row>
    <row r="22110" spans="6:14" x14ac:dyDescent="0.3">
      <c r="F22110" s="1"/>
    </row>
    <row r="22111" spans="6:14" x14ac:dyDescent="0.3">
      <c r="F22111" s="1"/>
    </row>
    <row r="22112" spans="6:14" x14ac:dyDescent="0.3">
      <c r="F22112" s="1"/>
    </row>
    <row r="22113" spans="6:15" x14ac:dyDescent="0.3">
      <c r="F22113" s="1"/>
    </row>
    <row r="22114" spans="6:15" x14ac:dyDescent="0.3">
      <c r="F22114" s="1"/>
    </row>
    <row r="22115" spans="6:15" x14ac:dyDescent="0.3">
      <c r="F22115" s="1"/>
    </row>
    <row r="22116" spans="6:15" x14ac:dyDescent="0.3">
      <c r="F22116" s="1"/>
    </row>
    <row r="22117" spans="6:15" x14ac:dyDescent="0.3">
      <c r="F22117" s="1"/>
    </row>
    <row r="22118" spans="6:15" x14ac:dyDescent="0.3">
      <c r="F22118" s="1"/>
    </row>
    <row r="22119" spans="6:15" x14ac:dyDescent="0.3">
      <c r="F22119" s="1"/>
    </row>
    <row r="22120" spans="6:15" x14ac:dyDescent="0.3">
      <c r="F22120" s="1"/>
    </row>
    <row r="22121" spans="6:15" x14ac:dyDescent="0.3">
      <c r="F22121" s="1"/>
    </row>
    <row r="22122" spans="6:15" x14ac:dyDescent="0.3">
      <c r="F22122" s="1"/>
    </row>
    <row r="22123" spans="6:15" x14ac:dyDescent="0.3">
      <c r="F22123" s="1"/>
    </row>
    <row r="22124" spans="6:15" x14ac:dyDescent="0.3">
      <c r="F22124" s="1"/>
    </row>
    <row r="22125" spans="6:15" x14ac:dyDescent="0.3">
      <c r="F22125" s="1"/>
      <c r="L22125" s="1"/>
      <c r="N22125" s="1"/>
      <c r="O22125" s="1"/>
    </row>
    <row r="22127" spans="6:15" x14ac:dyDescent="0.3">
      <c r="F22127" s="1"/>
    </row>
    <row r="22128" spans="6:15" x14ac:dyDescent="0.3">
      <c r="F22128" s="1"/>
    </row>
    <row r="22129" spans="6:14" x14ac:dyDescent="0.3">
      <c r="F22129" s="1"/>
    </row>
    <row r="22130" spans="6:14" x14ac:dyDescent="0.3">
      <c r="F22130" s="1"/>
      <c r="M22130" s="1"/>
      <c r="N22130" s="1"/>
    </row>
    <row r="22131" spans="6:14" x14ac:dyDescent="0.3">
      <c r="F22131" s="1"/>
    </row>
    <row r="22132" spans="6:14" x14ac:dyDescent="0.3">
      <c r="F22132" s="1"/>
    </row>
    <row r="22133" spans="6:14" x14ac:dyDescent="0.3">
      <c r="F22133" s="1"/>
    </row>
    <row r="22135" spans="6:14" x14ac:dyDescent="0.3">
      <c r="F22135" s="1"/>
      <c r="M22135" s="1"/>
    </row>
    <row r="22136" spans="6:14" x14ac:dyDescent="0.3">
      <c r="F22136" s="1"/>
    </row>
    <row r="22137" spans="6:14" x14ac:dyDescent="0.3">
      <c r="F22137" s="1"/>
    </row>
    <row r="22138" spans="6:14" x14ac:dyDescent="0.3">
      <c r="F22138" s="1"/>
    </row>
    <row r="22139" spans="6:14" x14ac:dyDescent="0.3">
      <c r="F22139" s="1"/>
    </row>
    <row r="22140" spans="6:14" x14ac:dyDescent="0.3">
      <c r="F22140" s="1"/>
    </row>
    <row r="22141" spans="6:14" x14ac:dyDescent="0.3">
      <c r="F22141" s="1"/>
    </row>
    <row r="22142" spans="6:14" x14ac:dyDescent="0.3">
      <c r="F22142" s="1"/>
    </row>
    <row r="22143" spans="6:14" x14ac:dyDescent="0.3">
      <c r="F22143" s="1"/>
    </row>
    <row r="22144" spans="6:14" x14ac:dyDescent="0.3">
      <c r="F22144" s="1"/>
    </row>
    <row r="22145" spans="6:14" x14ac:dyDescent="0.3">
      <c r="F22145" s="1"/>
    </row>
    <row r="22146" spans="6:14" x14ac:dyDescent="0.3">
      <c r="F22146" s="1"/>
      <c r="N22146" s="1"/>
    </row>
    <row r="22147" spans="6:14" x14ac:dyDescent="0.3">
      <c r="F22147" s="1"/>
    </row>
    <row r="22148" spans="6:14" x14ac:dyDescent="0.3">
      <c r="F22148" s="1"/>
    </row>
    <row r="22149" spans="6:14" x14ac:dyDescent="0.3">
      <c r="F22149" s="1"/>
    </row>
    <row r="22150" spans="6:14" x14ac:dyDescent="0.3">
      <c r="F22150" s="1"/>
    </row>
    <row r="22151" spans="6:14" x14ac:dyDescent="0.3">
      <c r="F22151" s="1"/>
    </row>
    <row r="22153" spans="6:14" x14ac:dyDescent="0.3">
      <c r="F22153" s="1"/>
    </row>
    <row r="22154" spans="6:14" x14ac:dyDescent="0.3">
      <c r="F22154" s="1"/>
    </row>
    <row r="22155" spans="6:14" x14ac:dyDescent="0.3">
      <c r="F22155" s="1"/>
    </row>
    <row r="22156" spans="6:14" x14ac:dyDescent="0.3">
      <c r="F22156" s="1"/>
    </row>
    <row r="22157" spans="6:14" x14ac:dyDescent="0.3">
      <c r="F22157" s="1"/>
    </row>
    <row r="22159" spans="6:14" x14ac:dyDescent="0.3">
      <c r="F22159" s="1"/>
    </row>
    <row r="22160" spans="6:14" x14ac:dyDescent="0.3">
      <c r="F22160" s="1"/>
    </row>
    <row r="22161" spans="6:15" x14ac:dyDescent="0.3">
      <c r="F22161" s="1"/>
    </row>
    <row r="22162" spans="6:15" x14ac:dyDescent="0.3">
      <c r="F22162" s="1"/>
    </row>
    <row r="22163" spans="6:15" x14ac:dyDescent="0.3">
      <c r="F22163" s="1"/>
    </row>
    <row r="22164" spans="6:15" x14ac:dyDescent="0.3">
      <c r="F22164" s="1"/>
    </row>
    <row r="22165" spans="6:15" x14ac:dyDescent="0.3">
      <c r="F22165" s="1"/>
    </row>
    <row r="22166" spans="6:15" x14ac:dyDescent="0.3">
      <c r="F22166" s="1"/>
    </row>
    <row r="22167" spans="6:15" x14ac:dyDescent="0.3">
      <c r="F22167" s="1"/>
    </row>
    <row r="22168" spans="6:15" x14ac:dyDescent="0.3">
      <c r="F22168" s="1"/>
      <c r="N22168" s="1"/>
    </row>
    <row r="22169" spans="6:15" x14ac:dyDescent="0.3">
      <c r="F22169" s="1"/>
    </row>
    <row r="22170" spans="6:15" x14ac:dyDescent="0.3">
      <c r="F22170" s="1"/>
    </row>
    <row r="22171" spans="6:15" x14ac:dyDescent="0.3">
      <c r="L22171" s="1"/>
      <c r="N22171" s="1"/>
      <c r="O22171" s="1"/>
    </row>
    <row r="22172" spans="6:15" x14ac:dyDescent="0.3">
      <c r="F22172" s="1"/>
    </row>
    <row r="22173" spans="6:15" x14ac:dyDescent="0.3">
      <c r="F22173" s="1"/>
    </row>
    <row r="22174" spans="6:15" x14ac:dyDescent="0.3">
      <c r="F22174" s="1"/>
    </row>
    <row r="22175" spans="6:15" x14ac:dyDescent="0.3">
      <c r="F22175" s="1"/>
    </row>
    <row r="22177" spans="6:6" x14ac:dyDescent="0.3">
      <c r="F22177" s="1"/>
    </row>
    <row r="22178" spans="6:6" x14ac:dyDescent="0.3">
      <c r="F22178" s="1"/>
    </row>
    <row r="22179" spans="6:6" x14ac:dyDescent="0.3">
      <c r="F22179" s="1"/>
    </row>
    <row r="22180" spans="6:6" x14ac:dyDescent="0.3">
      <c r="F22180" s="1"/>
    </row>
    <row r="22182" spans="6:6" x14ac:dyDescent="0.3">
      <c r="F22182" s="1"/>
    </row>
    <row r="22183" spans="6:6" x14ac:dyDescent="0.3">
      <c r="F22183" s="1"/>
    </row>
    <row r="22185" spans="6:6" x14ac:dyDescent="0.3">
      <c r="F22185" s="1"/>
    </row>
    <row r="22188" spans="6:6" x14ac:dyDescent="0.3">
      <c r="F22188" s="1"/>
    </row>
    <row r="22190" spans="6:6" x14ac:dyDescent="0.3">
      <c r="F22190" s="1"/>
    </row>
    <row r="22191" spans="6:6" x14ac:dyDescent="0.3">
      <c r="F22191" s="1"/>
    </row>
    <row r="22192" spans="6:6" x14ac:dyDescent="0.3">
      <c r="F22192" s="1"/>
    </row>
    <row r="22193" spans="6:14" x14ac:dyDescent="0.3">
      <c r="F22193" s="1"/>
    </row>
    <row r="22195" spans="6:14" x14ac:dyDescent="0.3">
      <c r="F22195" s="1"/>
    </row>
    <row r="22196" spans="6:14" x14ac:dyDescent="0.3">
      <c r="F22196" s="1"/>
    </row>
    <row r="22197" spans="6:14" x14ac:dyDescent="0.3">
      <c r="F22197" s="1"/>
    </row>
    <row r="22198" spans="6:14" x14ac:dyDescent="0.3">
      <c r="N22198" s="1"/>
    </row>
    <row r="22199" spans="6:14" x14ac:dyDescent="0.3">
      <c r="F22199" s="1"/>
    </row>
    <row r="22200" spans="6:14" x14ac:dyDescent="0.3">
      <c r="F22200" s="1"/>
    </row>
    <row r="22201" spans="6:14" x14ac:dyDescent="0.3">
      <c r="F22201" s="1"/>
    </row>
    <row r="22202" spans="6:14" x14ac:dyDescent="0.3">
      <c r="F22202" s="1"/>
    </row>
    <row r="22204" spans="6:14" x14ac:dyDescent="0.3">
      <c r="F22204" s="1"/>
      <c r="M22204" s="1"/>
      <c r="N22204" s="1"/>
    </row>
    <row r="22205" spans="6:14" x14ac:dyDescent="0.3">
      <c r="F22205" s="1"/>
    </row>
    <row r="22206" spans="6:14" x14ac:dyDescent="0.3">
      <c r="F22206" s="1"/>
    </row>
    <row r="22207" spans="6:14" x14ac:dyDescent="0.3">
      <c r="F22207" s="1"/>
    </row>
    <row r="22208" spans="6:14" x14ac:dyDescent="0.3">
      <c r="F22208" s="1"/>
    </row>
    <row r="22209" spans="6:14" x14ac:dyDescent="0.3">
      <c r="F22209" s="1"/>
    </row>
    <row r="22210" spans="6:14" x14ac:dyDescent="0.3">
      <c r="M22210" s="1"/>
    </row>
    <row r="22211" spans="6:14" x14ac:dyDescent="0.3">
      <c r="F22211" s="1"/>
    </row>
    <row r="22212" spans="6:14" x14ac:dyDescent="0.3">
      <c r="F22212" s="1"/>
    </row>
    <row r="22213" spans="6:14" x14ac:dyDescent="0.3">
      <c r="F22213" s="1"/>
    </row>
    <row r="22214" spans="6:14" x14ac:dyDescent="0.3">
      <c r="F22214" s="1"/>
    </row>
    <row r="22215" spans="6:14" x14ac:dyDescent="0.3">
      <c r="F22215" s="1"/>
      <c r="L22215" s="1"/>
    </row>
    <row r="22216" spans="6:14" x14ac:dyDescent="0.3">
      <c r="F22216" s="1"/>
    </row>
    <row r="22217" spans="6:14" x14ac:dyDescent="0.3">
      <c r="F22217" s="1"/>
    </row>
    <row r="22218" spans="6:14" x14ac:dyDescent="0.3">
      <c r="N22218" s="1"/>
    </row>
    <row r="22219" spans="6:14" x14ac:dyDescent="0.3">
      <c r="F22219" s="1"/>
    </row>
    <row r="22220" spans="6:14" x14ac:dyDescent="0.3">
      <c r="F22220" s="1"/>
    </row>
    <row r="22223" spans="6:14" x14ac:dyDescent="0.3">
      <c r="F22223" s="1"/>
    </row>
    <row r="22224" spans="6:14" x14ac:dyDescent="0.3">
      <c r="F22224" s="1"/>
    </row>
    <row r="22225" spans="6:12" x14ac:dyDescent="0.3">
      <c r="F22225" s="1"/>
    </row>
    <row r="22226" spans="6:12" x14ac:dyDescent="0.3">
      <c r="F22226" s="1"/>
    </row>
    <row r="22227" spans="6:12" x14ac:dyDescent="0.3">
      <c r="F22227" s="1"/>
    </row>
    <row r="22228" spans="6:12" x14ac:dyDescent="0.3">
      <c r="F22228" s="1"/>
    </row>
    <row r="22230" spans="6:12" x14ac:dyDescent="0.3">
      <c r="F22230" s="1"/>
    </row>
    <row r="22231" spans="6:12" x14ac:dyDescent="0.3">
      <c r="F22231" s="1"/>
    </row>
    <row r="22232" spans="6:12" x14ac:dyDescent="0.3">
      <c r="F22232" s="1"/>
    </row>
    <row r="22233" spans="6:12" x14ac:dyDescent="0.3">
      <c r="L22233" s="1"/>
    </row>
    <row r="22234" spans="6:12" x14ac:dyDescent="0.3">
      <c r="F22234" s="1"/>
    </row>
    <row r="22235" spans="6:12" x14ac:dyDescent="0.3">
      <c r="F22235" s="1"/>
    </row>
    <row r="22236" spans="6:12" x14ac:dyDescent="0.3">
      <c r="F22236" s="1"/>
    </row>
    <row r="22237" spans="6:12" x14ac:dyDescent="0.3">
      <c r="F22237" s="1"/>
    </row>
    <row r="22238" spans="6:12" x14ac:dyDescent="0.3">
      <c r="F22238" s="1"/>
    </row>
    <row r="22239" spans="6:12" x14ac:dyDescent="0.3">
      <c r="F22239" s="1"/>
      <c r="L22239" s="1"/>
    </row>
    <row r="22240" spans="6:12" x14ac:dyDescent="0.3">
      <c r="F22240" s="1"/>
    </row>
    <row r="22241" spans="6:13" x14ac:dyDescent="0.3">
      <c r="F22241" s="1"/>
    </row>
    <row r="22242" spans="6:13" x14ac:dyDescent="0.3">
      <c r="F22242" s="1"/>
    </row>
    <row r="22243" spans="6:13" x14ac:dyDescent="0.3">
      <c r="F22243" s="1"/>
    </row>
    <row r="22244" spans="6:13" x14ac:dyDescent="0.3">
      <c r="F22244" s="1"/>
    </row>
    <row r="22245" spans="6:13" x14ac:dyDescent="0.3">
      <c r="F22245" s="1"/>
    </row>
    <row r="22247" spans="6:13" x14ac:dyDescent="0.3">
      <c r="F22247" s="1"/>
    </row>
    <row r="22248" spans="6:13" x14ac:dyDescent="0.3">
      <c r="F22248" s="1"/>
    </row>
    <row r="22249" spans="6:13" x14ac:dyDescent="0.3">
      <c r="F22249" s="1"/>
    </row>
    <row r="22250" spans="6:13" x14ac:dyDescent="0.3">
      <c r="F22250" s="1"/>
    </row>
    <row r="22251" spans="6:13" x14ac:dyDescent="0.3">
      <c r="F22251" s="1"/>
    </row>
    <row r="22253" spans="6:13" x14ac:dyDescent="0.3">
      <c r="L22253" s="1"/>
      <c r="M22253" s="1"/>
    </row>
    <row r="22254" spans="6:13" x14ac:dyDescent="0.3">
      <c r="F22254" s="1"/>
    </row>
    <row r="22255" spans="6:13" x14ac:dyDescent="0.3">
      <c r="F22255" s="1"/>
    </row>
    <row r="22256" spans="6:13" x14ac:dyDescent="0.3">
      <c r="F22256" s="1"/>
    </row>
    <row r="22257" spans="6:13" x14ac:dyDescent="0.3">
      <c r="F22257" s="1"/>
    </row>
    <row r="22258" spans="6:13" x14ac:dyDescent="0.3">
      <c r="F22258" s="1"/>
    </row>
    <row r="22259" spans="6:13" x14ac:dyDescent="0.3">
      <c r="F22259" s="1"/>
      <c r="L22259" s="1"/>
    </row>
    <row r="22260" spans="6:13" x14ac:dyDescent="0.3">
      <c r="F22260" s="1"/>
      <c r="L22260" s="1"/>
    </row>
    <row r="22262" spans="6:13" x14ac:dyDescent="0.3">
      <c r="F22262" s="1"/>
    </row>
    <row r="22263" spans="6:13" x14ac:dyDescent="0.3">
      <c r="F22263" s="1"/>
    </row>
    <row r="22264" spans="6:13" x14ac:dyDescent="0.3">
      <c r="F22264" s="1"/>
    </row>
    <row r="22265" spans="6:13" x14ac:dyDescent="0.3">
      <c r="F22265" s="1"/>
    </row>
    <row r="22266" spans="6:13" x14ac:dyDescent="0.3">
      <c r="F22266" s="1"/>
    </row>
    <row r="22267" spans="6:13" x14ac:dyDescent="0.3">
      <c r="F22267" s="1"/>
    </row>
    <row r="22268" spans="6:13" x14ac:dyDescent="0.3">
      <c r="F22268" s="1"/>
    </row>
    <row r="22269" spans="6:13" x14ac:dyDescent="0.3">
      <c r="F22269" s="1"/>
    </row>
    <row r="22270" spans="6:13" x14ac:dyDescent="0.3">
      <c r="F22270" s="1"/>
    </row>
    <row r="22271" spans="6:13" x14ac:dyDescent="0.3">
      <c r="M22271" s="1"/>
    </row>
    <row r="22272" spans="6:13" x14ac:dyDescent="0.3">
      <c r="F22272" s="1"/>
    </row>
    <row r="22273" spans="6:6" x14ac:dyDescent="0.3">
      <c r="F22273" s="1"/>
    </row>
    <row r="22274" spans="6:6" x14ac:dyDescent="0.3">
      <c r="F22274" s="1"/>
    </row>
    <row r="22275" spans="6:6" x14ac:dyDescent="0.3">
      <c r="F22275" s="1"/>
    </row>
    <row r="22276" spans="6:6" x14ac:dyDescent="0.3">
      <c r="F22276" s="1"/>
    </row>
    <row r="22277" spans="6:6" x14ac:dyDescent="0.3">
      <c r="F22277" s="1"/>
    </row>
    <row r="22279" spans="6:6" x14ac:dyDescent="0.3">
      <c r="F22279" s="1"/>
    </row>
    <row r="22280" spans="6:6" x14ac:dyDescent="0.3">
      <c r="F22280" s="1"/>
    </row>
    <row r="22281" spans="6:6" x14ac:dyDescent="0.3">
      <c r="F22281" s="1"/>
    </row>
    <row r="22282" spans="6:6" x14ac:dyDescent="0.3">
      <c r="F22282" s="1"/>
    </row>
    <row r="22283" spans="6:6" x14ac:dyDescent="0.3">
      <c r="F22283" s="1"/>
    </row>
    <row r="22284" spans="6:6" x14ac:dyDescent="0.3">
      <c r="F22284" s="1"/>
    </row>
    <row r="22285" spans="6:6" x14ac:dyDescent="0.3">
      <c r="F22285" s="1"/>
    </row>
    <row r="22286" spans="6:6" x14ac:dyDescent="0.3">
      <c r="F22286" s="1"/>
    </row>
    <row r="22288" spans="6:6" x14ac:dyDescent="0.3">
      <c r="F22288" s="1"/>
    </row>
    <row r="22289" spans="6:15" x14ac:dyDescent="0.3">
      <c r="F22289" s="1"/>
    </row>
    <row r="22290" spans="6:15" x14ac:dyDescent="0.3">
      <c r="F22290" s="1"/>
    </row>
    <row r="22291" spans="6:15" x14ac:dyDescent="0.3">
      <c r="F22291" s="1"/>
    </row>
    <row r="22292" spans="6:15" x14ac:dyDescent="0.3">
      <c r="N22292" s="1"/>
    </row>
    <row r="22294" spans="6:15" x14ac:dyDescent="0.3">
      <c r="F22294" s="1"/>
      <c r="L22294" s="1"/>
      <c r="N22294" s="1"/>
      <c r="O22294" s="1"/>
    </row>
    <row r="22296" spans="6:15" x14ac:dyDescent="0.3">
      <c r="F22296" s="1"/>
    </row>
    <row r="22297" spans="6:15" x14ac:dyDescent="0.3">
      <c r="F22297" s="1"/>
      <c r="L22297" s="1"/>
    </row>
    <row r="22298" spans="6:15" x14ac:dyDescent="0.3">
      <c r="F22298" s="1"/>
    </row>
    <row r="22299" spans="6:15" x14ac:dyDescent="0.3">
      <c r="F22299" s="1"/>
    </row>
    <row r="22300" spans="6:15" x14ac:dyDescent="0.3">
      <c r="F22300" s="1"/>
    </row>
    <row r="22301" spans="6:15" x14ac:dyDescent="0.3">
      <c r="F22301" s="1"/>
    </row>
    <row r="22302" spans="6:15" x14ac:dyDescent="0.3">
      <c r="F22302" s="1"/>
    </row>
    <row r="22303" spans="6:15" x14ac:dyDescent="0.3">
      <c r="F22303" s="1"/>
    </row>
    <row r="22304" spans="6:15" x14ac:dyDescent="0.3">
      <c r="F22304" s="1"/>
    </row>
    <row r="22305" spans="6:14" x14ac:dyDescent="0.3">
      <c r="F22305" s="1"/>
    </row>
    <row r="22306" spans="6:14" x14ac:dyDescent="0.3">
      <c r="F22306" s="1"/>
    </row>
    <row r="22307" spans="6:14" x14ac:dyDescent="0.3">
      <c r="F22307" s="1"/>
    </row>
    <row r="22308" spans="6:14" x14ac:dyDescent="0.3">
      <c r="F22308" s="1"/>
    </row>
    <row r="22309" spans="6:14" x14ac:dyDescent="0.3">
      <c r="F22309" s="1"/>
      <c r="N22309" s="1"/>
    </row>
    <row r="22310" spans="6:14" x14ac:dyDescent="0.3">
      <c r="F22310" s="1"/>
    </row>
    <row r="22312" spans="6:14" x14ac:dyDescent="0.3">
      <c r="F22312" s="1"/>
    </row>
    <row r="22313" spans="6:14" x14ac:dyDescent="0.3">
      <c r="F22313" s="1"/>
    </row>
    <row r="22314" spans="6:14" x14ac:dyDescent="0.3">
      <c r="F22314" s="1"/>
    </row>
    <row r="22315" spans="6:14" x14ac:dyDescent="0.3">
      <c r="F22315" s="1"/>
    </row>
    <row r="22316" spans="6:14" x14ac:dyDescent="0.3">
      <c r="F22316" s="1"/>
    </row>
    <row r="22317" spans="6:14" x14ac:dyDescent="0.3">
      <c r="F22317" s="1"/>
    </row>
    <row r="22318" spans="6:14" x14ac:dyDescent="0.3">
      <c r="F22318" s="1"/>
    </row>
    <row r="22319" spans="6:14" x14ac:dyDescent="0.3">
      <c r="F22319" s="1"/>
    </row>
    <row r="22321" spans="6:6" x14ac:dyDescent="0.3">
      <c r="F22321" s="1"/>
    </row>
    <row r="22322" spans="6:6" x14ac:dyDescent="0.3">
      <c r="F22322" s="1"/>
    </row>
    <row r="22323" spans="6:6" x14ac:dyDescent="0.3">
      <c r="F22323" s="1"/>
    </row>
    <row r="22324" spans="6:6" x14ac:dyDescent="0.3">
      <c r="F22324" s="1"/>
    </row>
    <row r="22325" spans="6:6" x14ac:dyDescent="0.3">
      <c r="F22325" s="1"/>
    </row>
    <row r="22326" spans="6:6" x14ac:dyDescent="0.3">
      <c r="F22326" s="1"/>
    </row>
    <row r="22327" spans="6:6" x14ac:dyDescent="0.3">
      <c r="F22327" s="1"/>
    </row>
    <row r="22328" spans="6:6" x14ac:dyDescent="0.3">
      <c r="F22328" s="1"/>
    </row>
    <row r="22331" spans="6:6" x14ac:dyDescent="0.3">
      <c r="F22331" s="1"/>
    </row>
    <row r="22332" spans="6:6" x14ac:dyDescent="0.3">
      <c r="F22332" s="1"/>
    </row>
    <row r="22333" spans="6:6" x14ac:dyDescent="0.3">
      <c r="F22333" s="1"/>
    </row>
    <row r="22334" spans="6:6" x14ac:dyDescent="0.3">
      <c r="F22334" s="1"/>
    </row>
    <row r="22335" spans="6:6" x14ac:dyDescent="0.3">
      <c r="F22335" s="1"/>
    </row>
    <row r="22336" spans="6:6" x14ac:dyDescent="0.3">
      <c r="F22336" s="1"/>
    </row>
    <row r="22338" spans="6:14" x14ac:dyDescent="0.3">
      <c r="F22338" s="1"/>
    </row>
    <row r="22339" spans="6:14" x14ac:dyDescent="0.3">
      <c r="L22339" s="1"/>
      <c r="N22339" s="1"/>
    </row>
    <row r="22341" spans="6:14" x14ac:dyDescent="0.3">
      <c r="F22341" s="1"/>
      <c r="N22341" s="1"/>
    </row>
    <row r="22342" spans="6:14" x14ac:dyDescent="0.3">
      <c r="F22342" s="1"/>
    </row>
    <row r="22343" spans="6:14" x14ac:dyDescent="0.3">
      <c r="F22343" s="1"/>
    </row>
    <row r="22344" spans="6:14" x14ac:dyDescent="0.3">
      <c r="F22344" s="1"/>
    </row>
    <row r="22345" spans="6:14" x14ac:dyDescent="0.3">
      <c r="F22345" s="1"/>
    </row>
    <row r="22346" spans="6:14" x14ac:dyDescent="0.3">
      <c r="F22346" s="1"/>
    </row>
    <row r="22347" spans="6:14" x14ac:dyDescent="0.3">
      <c r="F22347" s="1"/>
    </row>
    <row r="22348" spans="6:14" x14ac:dyDescent="0.3">
      <c r="F22348" s="1"/>
    </row>
    <row r="22351" spans="6:14" x14ac:dyDescent="0.3">
      <c r="F22351" s="1"/>
    </row>
    <row r="22352" spans="6:14" x14ac:dyDescent="0.3">
      <c r="F22352" s="1"/>
    </row>
    <row r="22353" spans="6:15" x14ac:dyDescent="0.3">
      <c r="F22353" s="1"/>
      <c r="L22353" s="1"/>
    </row>
    <row r="22355" spans="6:15" x14ac:dyDescent="0.3">
      <c r="F22355" s="1"/>
    </row>
    <row r="22356" spans="6:15" x14ac:dyDescent="0.3">
      <c r="F22356" s="1"/>
    </row>
    <row r="22357" spans="6:15" x14ac:dyDescent="0.3">
      <c r="F22357" s="1"/>
    </row>
    <row r="22359" spans="6:15" x14ac:dyDescent="0.3">
      <c r="F22359" s="1"/>
    </row>
    <row r="22360" spans="6:15" x14ac:dyDescent="0.3">
      <c r="F22360" s="1"/>
    </row>
    <row r="22361" spans="6:15" x14ac:dyDescent="0.3">
      <c r="F22361" s="1"/>
    </row>
    <row r="22362" spans="6:15" x14ac:dyDescent="0.3">
      <c r="F22362" s="1"/>
    </row>
    <row r="22363" spans="6:15" x14ac:dyDescent="0.3">
      <c r="F22363" s="1"/>
    </row>
    <row r="22364" spans="6:15" x14ac:dyDescent="0.3">
      <c r="F22364" s="1"/>
    </row>
    <row r="22365" spans="6:15" x14ac:dyDescent="0.3">
      <c r="F22365" s="1"/>
    </row>
    <row r="22366" spans="6:15" x14ac:dyDescent="0.3">
      <c r="F22366" s="1"/>
      <c r="M22366" s="1"/>
      <c r="O22366" s="1"/>
    </row>
    <row r="22368" spans="6:15" x14ac:dyDescent="0.3">
      <c r="F22368" s="1"/>
    </row>
    <row r="22369" spans="6:14" x14ac:dyDescent="0.3">
      <c r="F22369" s="1"/>
    </row>
    <row r="22370" spans="6:14" x14ac:dyDescent="0.3">
      <c r="F22370" s="1"/>
    </row>
    <row r="22371" spans="6:14" x14ac:dyDescent="0.3">
      <c r="F22371" s="1"/>
    </row>
    <row r="22372" spans="6:14" x14ac:dyDescent="0.3">
      <c r="F22372" s="1"/>
    </row>
    <row r="22373" spans="6:14" x14ac:dyDescent="0.3">
      <c r="F22373" s="1"/>
      <c r="L22373" s="1"/>
      <c r="N22373" s="1"/>
    </row>
    <row r="22374" spans="6:14" x14ac:dyDescent="0.3">
      <c r="F22374" s="1"/>
    </row>
    <row r="22375" spans="6:14" x14ac:dyDescent="0.3">
      <c r="F22375" s="1"/>
    </row>
    <row r="22376" spans="6:14" x14ac:dyDescent="0.3">
      <c r="F22376" s="1"/>
    </row>
    <row r="22377" spans="6:14" x14ac:dyDescent="0.3">
      <c r="F22377" s="1"/>
    </row>
    <row r="22378" spans="6:14" x14ac:dyDescent="0.3">
      <c r="F22378" s="1"/>
    </row>
    <row r="22379" spans="6:14" x14ac:dyDescent="0.3">
      <c r="F22379" s="1"/>
    </row>
    <row r="22380" spans="6:14" x14ac:dyDescent="0.3">
      <c r="F22380" s="1"/>
    </row>
    <row r="22381" spans="6:14" x14ac:dyDescent="0.3">
      <c r="F22381" s="1"/>
    </row>
    <row r="22382" spans="6:14" x14ac:dyDescent="0.3">
      <c r="F22382" s="1"/>
    </row>
    <row r="22383" spans="6:14" x14ac:dyDescent="0.3">
      <c r="F22383" s="1"/>
    </row>
    <row r="22384" spans="6:14" x14ac:dyDescent="0.3">
      <c r="F22384" s="1"/>
    </row>
    <row r="22385" spans="6:14" x14ac:dyDescent="0.3">
      <c r="F22385" s="1"/>
    </row>
    <row r="22386" spans="6:14" x14ac:dyDescent="0.3">
      <c r="F22386" s="1"/>
    </row>
    <row r="22387" spans="6:14" x14ac:dyDescent="0.3">
      <c r="F22387" s="1"/>
    </row>
    <row r="22388" spans="6:14" x14ac:dyDescent="0.3">
      <c r="F22388" s="1"/>
    </row>
    <row r="22389" spans="6:14" x14ac:dyDescent="0.3">
      <c r="F22389" s="1"/>
    </row>
    <row r="22390" spans="6:14" x14ac:dyDescent="0.3">
      <c r="F22390" s="1"/>
    </row>
    <row r="22392" spans="6:14" x14ac:dyDescent="0.3">
      <c r="F22392" s="1"/>
    </row>
    <row r="22393" spans="6:14" x14ac:dyDescent="0.3">
      <c r="F22393" s="1"/>
    </row>
    <row r="22394" spans="6:14" x14ac:dyDescent="0.3">
      <c r="L22394" s="1"/>
    </row>
    <row r="22396" spans="6:14" x14ac:dyDescent="0.3">
      <c r="F22396" s="1"/>
    </row>
    <row r="22397" spans="6:14" x14ac:dyDescent="0.3">
      <c r="F22397" s="1"/>
    </row>
    <row r="22398" spans="6:14" x14ac:dyDescent="0.3">
      <c r="F22398" s="1"/>
      <c r="L22398" s="1"/>
      <c r="N22398" s="1"/>
    </row>
    <row r="22399" spans="6:14" x14ac:dyDescent="0.3">
      <c r="F22399" s="1"/>
    </row>
    <row r="22400" spans="6:14" x14ac:dyDescent="0.3">
      <c r="F22400" s="1"/>
    </row>
    <row r="22401" spans="6:15" x14ac:dyDescent="0.3">
      <c r="F22401" s="1"/>
    </row>
    <row r="22402" spans="6:15" x14ac:dyDescent="0.3">
      <c r="F22402" s="1"/>
    </row>
    <row r="22403" spans="6:15" x14ac:dyDescent="0.3">
      <c r="F22403" s="1"/>
    </row>
    <row r="22404" spans="6:15" x14ac:dyDescent="0.3">
      <c r="F22404" s="1"/>
    </row>
    <row r="22405" spans="6:15" x14ac:dyDescent="0.3">
      <c r="F22405" s="1"/>
    </row>
    <row r="22406" spans="6:15" x14ac:dyDescent="0.3">
      <c r="F22406" s="1"/>
    </row>
    <row r="22407" spans="6:15" x14ac:dyDescent="0.3">
      <c r="M22407" s="1"/>
      <c r="N22407" s="1"/>
      <c r="O22407" s="1"/>
    </row>
    <row r="22408" spans="6:15" x14ac:dyDescent="0.3">
      <c r="O22408" s="1"/>
    </row>
    <row r="22409" spans="6:15" x14ac:dyDescent="0.3">
      <c r="F22409" s="1"/>
    </row>
    <row r="22411" spans="6:15" x14ac:dyDescent="0.3">
      <c r="F22411" s="1"/>
    </row>
    <row r="22412" spans="6:15" x14ac:dyDescent="0.3">
      <c r="F22412" s="1"/>
    </row>
    <row r="22413" spans="6:15" x14ac:dyDescent="0.3">
      <c r="F22413" s="1"/>
    </row>
    <row r="22414" spans="6:15" x14ac:dyDescent="0.3">
      <c r="F22414" s="1"/>
      <c r="L22414" s="1"/>
      <c r="N22414" s="1"/>
    </row>
    <row r="22415" spans="6:15" x14ac:dyDescent="0.3">
      <c r="F22415" s="1"/>
    </row>
    <row r="22416" spans="6:15" x14ac:dyDescent="0.3">
      <c r="F22416" s="1"/>
    </row>
    <row r="22417" spans="6:14" x14ac:dyDescent="0.3">
      <c r="F22417" s="1"/>
    </row>
    <row r="22418" spans="6:14" x14ac:dyDescent="0.3">
      <c r="F22418" s="1"/>
    </row>
    <row r="22419" spans="6:14" x14ac:dyDescent="0.3">
      <c r="F22419" s="1"/>
    </row>
    <row r="22420" spans="6:14" x14ac:dyDescent="0.3">
      <c r="F22420" s="1"/>
    </row>
    <row r="22421" spans="6:14" x14ac:dyDescent="0.3">
      <c r="F22421" s="1"/>
    </row>
    <row r="22422" spans="6:14" x14ac:dyDescent="0.3">
      <c r="F22422" s="1"/>
    </row>
    <row r="22423" spans="6:14" x14ac:dyDescent="0.3">
      <c r="F22423" s="1"/>
    </row>
    <row r="22424" spans="6:14" x14ac:dyDescent="0.3">
      <c r="F22424" s="1"/>
    </row>
    <row r="22425" spans="6:14" x14ac:dyDescent="0.3">
      <c r="F22425" s="1"/>
    </row>
    <row r="22426" spans="6:14" x14ac:dyDescent="0.3">
      <c r="F22426" s="1"/>
    </row>
    <row r="22430" spans="6:14" x14ac:dyDescent="0.3">
      <c r="F22430" s="1"/>
      <c r="N22430" s="1"/>
    </row>
    <row r="22431" spans="6:14" x14ac:dyDescent="0.3">
      <c r="F22431" s="1"/>
    </row>
    <row r="22432" spans="6:14" x14ac:dyDescent="0.3">
      <c r="F22432" s="1"/>
    </row>
    <row r="22433" spans="6:15" x14ac:dyDescent="0.3">
      <c r="F22433" s="1"/>
    </row>
    <row r="22434" spans="6:15" x14ac:dyDescent="0.3">
      <c r="F22434" s="1"/>
    </row>
    <row r="22435" spans="6:15" x14ac:dyDescent="0.3">
      <c r="F22435" s="1"/>
    </row>
    <row r="22437" spans="6:15" x14ac:dyDescent="0.3">
      <c r="L22437" s="1"/>
      <c r="M22437" s="1"/>
      <c r="N22437" s="1"/>
      <c r="O22437" s="1"/>
    </row>
    <row r="22438" spans="6:15" x14ac:dyDescent="0.3">
      <c r="F22438" s="1"/>
    </row>
    <row r="22439" spans="6:15" x14ac:dyDescent="0.3">
      <c r="F22439" s="1"/>
    </row>
    <row r="22440" spans="6:15" x14ac:dyDescent="0.3">
      <c r="F22440" s="1"/>
    </row>
    <row r="22441" spans="6:15" x14ac:dyDescent="0.3">
      <c r="F22441" s="1"/>
    </row>
    <row r="22442" spans="6:15" x14ac:dyDescent="0.3">
      <c r="F22442" s="1"/>
    </row>
    <row r="22443" spans="6:15" x14ac:dyDescent="0.3">
      <c r="F22443" s="1"/>
    </row>
    <row r="22444" spans="6:15" x14ac:dyDescent="0.3">
      <c r="F22444" s="1"/>
    </row>
    <row r="22445" spans="6:15" x14ac:dyDescent="0.3">
      <c r="F22445" s="1"/>
    </row>
    <row r="22446" spans="6:15" x14ac:dyDescent="0.3">
      <c r="F22446" s="1"/>
    </row>
    <row r="22447" spans="6:15" x14ac:dyDescent="0.3">
      <c r="F22447" s="1"/>
    </row>
    <row r="22448" spans="6:15" x14ac:dyDescent="0.3">
      <c r="F22448" s="1"/>
    </row>
    <row r="22449" spans="6:15" x14ac:dyDescent="0.3">
      <c r="F22449" s="1"/>
    </row>
    <row r="22450" spans="6:15" x14ac:dyDescent="0.3">
      <c r="F22450" s="1"/>
    </row>
    <row r="22451" spans="6:15" x14ac:dyDescent="0.3">
      <c r="F22451" s="1"/>
    </row>
    <row r="22452" spans="6:15" x14ac:dyDescent="0.3">
      <c r="N22452" s="1"/>
    </row>
    <row r="22453" spans="6:15" x14ac:dyDescent="0.3">
      <c r="F22453" s="1"/>
    </row>
    <row r="22454" spans="6:15" x14ac:dyDescent="0.3">
      <c r="F22454" s="1"/>
    </row>
    <row r="22455" spans="6:15" x14ac:dyDescent="0.3">
      <c r="L22455" s="1"/>
      <c r="M22455" s="1"/>
      <c r="N22455" s="1"/>
    </row>
    <row r="22456" spans="6:15" x14ac:dyDescent="0.3">
      <c r="F22456" s="1"/>
    </row>
    <row r="22457" spans="6:15" x14ac:dyDescent="0.3">
      <c r="F22457" s="1"/>
    </row>
    <row r="22458" spans="6:15" x14ac:dyDescent="0.3">
      <c r="F22458" s="1"/>
    </row>
    <row r="22459" spans="6:15" x14ac:dyDescent="0.3">
      <c r="F22459" s="1"/>
    </row>
    <row r="22460" spans="6:15" x14ac:dyDescent="0.3">
      <c r="F22460" s="1"/>
      <c r="M22460" s="1"/>
      <c r="O22460" s="1"/>
    </row>
    <row r="22461" spans="6:15" x14ac:dyDescent="0.3">
      <c r="F22461" s="1"/>
    </row>
    <row r="22462" spans="6:15" x14ac:dyDescent="0.3">
      <c r="F22462" s="1"/>
    </row>
    <row r="22463" spans="6:15" x14ac:dyDescent="0.3">
      <c r="L22463" s="1"/>
      <c r="M22463" s="1"/>
      <c r="O22463" s="1"/>
    </row>
    <row r="22464" spans="6:15" x14ac:dyDescent="0.3">
      <c r="F22464" s="1"/>
    </row>
    <row r="22465" spans="6:15" x14ac:dyDescent="0.3">
      <c r="F22465" s="1"/>
    </row>
    <row r="22466" spans="6:15" x14ac:dyDescent="0.3">
      <c r="F22466" s="1"/>
    </row>
    <row r="22467" spans="6:15" x14ac:dyDescent="0.3">
      <c r="F22467" s="1"/>
      <c r="M22467" s="1"/>
    </row>
    <row r="22468" spans="6:15" x14ac:dyDescent="0.3">
      <c r="F22468" s="1"/>
      <c r="N22468" s="1"/>
    </row>
    <row r="22469" spans="6:15" x14ac:dyDescent="0.3">
      <c r="F22469" s="1"/>
    </row>
    <row r="22470" spans="6:15" x14ac:dyDescent="0.3">
      <c r="F22470" s="1"/>
    </row>
    <row r="22471" spans="6:15" x14ac:dyDescent="0.3">
      <c r="F22471" s="1"/>
    </row>
    <row r="22472" spans="6:15" x14ac:dyDescent="0.3">
      <c r="F22472" s="1"/>
    </row>
    <row r="22473" spans="6:15" x14ac:dyDescent="0.3">
      <c r="F22473" s="1"/>
    </row>
    <row r="22474" spans="6:15" x14ac:dyDescent="0.3">
      <c r="F22474" s="1"/>
    </row>
    <row r="22475" spans="6:15" x14ac:dyDescent="0.3">
      <c r="F22475" s="1"/>
    </row>
    <row r="22476" spans="6:15" x14ac:dyDescent="0.3">
      <c r="F22476" s="1"/>
      <c r="L22476" s="1"/>
      <c r="M22476" s="1"/>
      <c r="N22476" s="1"/>
      <c r="O22476" s="1"/>
    </row>
    <row r="22477" spans="6:15" x14ac:dyDescent="0.3">
      <c r="F22477" s="1"/>
      <c r="M22477" s="1"/>
    </row>
    <row r="22478" spans="6:15" x14ac:dyDescent="0.3">
      <c r="F22478" s="1"/>
    </row>
    <row r="22479" spans="6:15" x14ac:dyDescent="0.3">
      <c r="F22479" s="1"/>
    </row>
    <row r="22480" spans="6:15" x14ac:dyDescent="0.3">
      <c r="F22480" s="1"/>
    </row>
    <row r="22481" spans="6:15" x14ac:dyDescent="0.3">
      <c r="F22481" s="1"/>
    </row>
    <row r="22482" spans="6:15" x14ac:dyDescent="0.3">
      <c r="F22482" s="1"/>
    </row>
    <row r="22483" spans="6:15" x14ac:dyDescent="0.3">
      <c r="F22483" s="1"/>
    </row>
    <row r="22484" spans="6:15" x14ac:dyDescent="0.3">
      <c r="F22484" s="1"/>
    </row>
    <row r="22485" spans="6:15" x14ac:dyDescent="0.3">
      <c r="F22485" s="1"/>
    </row>
    <row r="22486" spans="6:15" x14ac:dyDescent="0.3">
      <c r="F22486" s="1"/>
    </row>
    <row r="22487" spans="6:15" x14ac:dyDescent="0.3">
      <c r="F22487" s="1"/>
    </row>
    <row r="22488" spans="6:15" x14ac:dyDescent="0.3">
      <c r="F22488" s="1"/>
    </row>
    <row r="22489" spans="6:15" x14ac:dyDescent="0.3">
      <c r="F22489" s="1"/>
    </row>
    <row r="22491" spans="6:15" x14ac:dyDescent="0.3">
      <c r="F22491" s="1"/>
      <c r="L22491" s="1"/>
    </row>
    <row r="22492" spans="6:15" x14ac:dyDescent="0.3">
      <c r="F22492" s="1"/>
    </row>
    <row r="22494" spans="6:15" x14ac:dyDescent="0.3">
      <c r="F22494" s="1"/>
    </row>
    <row r="22495" spans="6:15" x14ac:dyDescent="0.3">
      <c r="F22495" s="1"/>
    </row>
    <row r="22496" spans="6:15" x14ac:dyDescent="0.3">
      <c r="F22496" s="1"/>
      <c r="M22496" s="1"/>
      <c r="N22496" s="1"/>
      <c r="O22496" s="1"/>
    </row>
    <row r="22497" spans="6:14" x14ac:dyDescent="0.3">
      <c r="F22497" s="1"/>
    </row>
    <row r="22498" spans="6:14" x14ac:dyDescent="0.3">
      <c r="F22498" s="1"/>
    </row>
    <row r="22499" spans="6:14" x14ac:dyDescent="0.3">
      <c r="N22499" s="1"/>
    </row>
    <row r="22500" spans="6:14" x14ac:dyDescent="0.3">
      <c r="F22500" s="1"/>
    </row>
    <row r="22501" spans="6:14" x14ac:dyDescent="0.3">
      <c r="F22501" s="1"/>
    </row>
    <row r="22503" spans="6:14" x14ac:dyDescent="0.3">
      <c r="F22503" s="1"/>
    </row>
    <row r="22504" spans="6:14" x14ac:dyDescent="0.3">
      <c r="F22504" s="1"/>
    </row>
    <row r="22505" spans="6:14" x14ac:dyDescent="0.3">
      <c r="F22505" s="1"/>
    </row>
    <row r="22506" spans="6:14" x14ac:dyDescent="0.3">
      <c r="F22506" s="1"/>
    </row>
    <row r="22507" spans="6:14" x14ac:dyDescent="0.3">
      <c r="F22507" s="1"/>
    </row>
    <row r="22508" spans="6:14" x14ac:dyDescent="0.3">
      <c r="F22508" s="1"/>
    </row>
    <row r="22509" spans="6:14" x14ac:dyDescent="0.3">
      <c r="F22509" s="1"/>
    </row>
    <row r="22510" spans="6:14" x14ac:dyDescent="0.3">
      <c r="M22510" s="1"/>
      <c r="N22510" s="1"/>
    </row>
    <row r="22511" spans="6:14" x14ac:dyDescent="0.3">
      <c r="F22511" s="1"/>
    </row>
    <row r="22512" spans="6:14" x14ac:dyDescent="0.3">
      <c r="F22512" s="1"/>
    </row>
    <row r="22513" spans="6:12" x14ac:dyDescent="0.3">
      <c r="F22513" s="1"/>
    </row>
    <row r="22514" spans="6:12" x14ac:dyDescent="0.3">
      <c r="F22514" s="1"/>
    </row>
    <row r="22515" spans="6:12" x14ac:dyDescent="0.3">
      <c r="F22515" s="1"/>
    </row>
    <row r="22516" spans="6:12" x14ac:dyDescent="0.3">
      <c r="F22516" s="1"/>
    </row>
    <row r="22517" spans="6:12" x14ac:dyDescent="0.3">
      <c r="F22517" s="1"/>
    </row>
    <row r="22518" spans="6:12" x14ac:dyDescent="0.3">
      <c r="F22518" s="1"/>
    </row>
    <row r="22519" spans="6:12" x14ac:dyDescent="0.3">
      <c r="F22519" s="1"/>
    </row>
    <row r="22520" spans="6:12" x14ac:dyDescent="0.3">
      <c r="L22520" s="1"/>
    </row>
    <row r="22521" spans="6:12" x14ac:dyDescent="0.3">
      <c r="F22521" s="1"/>
    </row>
    <row r="22522" spans="6:12" x14ac:dyDescent="0.3">
      <c r="F22522" s="1"/>
    </row>
    <row r="22523" spans="6:12" x14ac:dyDescent="0.3">
      <c r="F22523" s="1"/>
    </row>
    <row r="22524" spans="6:12" x14ac:dyDescent="0.3">
      <c r="F22524" s="1"/>
    </row>
    <row r="22525" spans="6:12" x14ac:dyDescent="0.3">
      <c r="F22525" s="1"/>
    </row>
    <row r="22526" spans="6:12" x14ac:dyDescent="0.3">
      <c r="F22526" s="1"/>
    </row>
    <row r="22527" spans="6:12" x14ac:dyDescent="0.3">
      <c r="F22527" s="1"/>
      <c r="L22527" s="1"/>
    </row>
    <row r="22529" spans="6:15" x14ac:dyDescent="0.3">
      <c r="F22529" s="1"/>
    </row>
    <row r="22530" spans="6:15" x14ac:dyDescent="0.3">
      <c r="F22530" s="1"/>
    </row>
    <row r="22531" spans="6:15" x14ac:dyDescent="0.3">
      <c r="F22531" s="1"/>
    </row>
    <row r="22532" spans="6:15" x14ac:dyDescent="0.3">
      <c r="F22532" s="1"/>
    </row>
    <row r="22534" spans="6:15" x14ac:dyDescent="0.3">
      <c r="F22534" s="1"/>
    </row>
    <row r="22535" spans="6:15" x14ac:dyDescent="0.3">
      <c r="F22535" s="1"/>
    </row>
    <row r="22536" spans="6:15" x14ac:dyDescent="0.3">
      <c r="F22536" s="1"/>
    </row>
    <row r="22537" spans="6:15" x14ac:dyDescent="0.3">
      <c r="F22537" s="1"/>
      <c r="N22537" s="1"/>
    </row>
    <row r="22538" spans="6:15" x14ac:dyDescent="0.3">
      <c r="F22538" s="1"/>
      <c r="L22538" s="1"/>
      <c r="M22538" s="1"/>
      <c r="N22538" s="1"/>
      <c r="O22538" s="1"/>
    </row>
    <row r="22539" spans="6:15" x14ac:dyDescent="0.3">
      <c r="F22539" s="1"/>
    </row>
    <row r="22540" spans="6:15" x14ac:dyDescent="0.3">
      <c r="F22540" s="1"/>
    </row>
    <row r="22542" spans="6:15" x14ac:dyDescent="0.3">
      <c r="F22542" s="1"/>
    </row>
    <row r="22543" spans="6:15" x14ac:dyDescent="0.3">
      <c r="F22543" s="1"/>
    </row>
    <row r="22544" spans="6:15" x14ac:dyDescent="0.3">
      <c r="F22544" s="1"/>
      <c r="L22544" s="1"/>
    </row>
    <row r="22545" spans="6:14" x14ac:dyDescent="0.3">
      <c r="F22545" s="1"/>
    </row>
    <row r="22546" spans="6:14" x14ac:dyDescent="0.3">
      <c r="F22546" s="1"/>
    </row>
    <row r="22547" spans="6:14" x14ac:dyDescent="0.3">
      <c r="F22547" s="1"/>
    </row>
    <row r="22548" spans="6:14" x14ac:dyDescent="0.3">
      <c r="F22548" s="1"/>
    </row>
    <row r="22549" spans="6:14" x14ac:dyDescent="0.3">
      <c r="F22549" s="1"/>
    </row>
    <row r="22550" spans="6:14" x14ac:dyDescent="0.3">
      <c r="F22550" s="1"/>
    </row>
    <row r="22551" spans="6:14" x14ac:dyDescent="0.3">
      <c r="F22551" s="1"/>
      <c r="M22551" s="1"/>
    </row>
    <row r="22552" spans="6:14" x14ac:dyDescent="0.3">
      <c r="F22552" s="1"/>
    </row>
    <row r="22553" spans="6:14" x14ac:dyDescent="0.3">
      <c r="F22553" s="1"/>
    </row>
    <row r="22554" spans="6:14" x14ac:dyDescent="0.3">
      <c r="F22554" s="1"/>
    </row>
    <row r="22555" spans="6:14" x14ac:dyDescent="0.3">
      <c r="F22555" s="1"/>
      <c r="M22555" s="1"/>
    </row>
    <row r="22556" spans="6:14" x14ac:dyDescent="0.3">
      <c r="F22556" s="1"/>
    </row>
    <row r="22558" spans="6:14" x14ac:dyDescent="0.3">
      <c r="F22558" s="1"/>
      <c r="N22558" s="1"/>
    </row>
    <row r="22559" spans="6:14" x14ac:dyDescent="0.3">
      <c r="F22559" s="1"/>
    </row>
    <row r="22560" spans="6:14" x14ac:dyDescent="0.3">
      <c r="F22560" s="1"/>
    </row>
    <row r="22561" spans="6:13" x14ac:dyDescent="0.3">
      <c r="F22561" s="1"/>
    </row>
    <row r="22562" spans="6:13" x14ac:dyDescent="0.3">
      <c r="F22562" s="1"/>
    </row>
    <row r="22563" spans="6:13" x14ac:dyDescent="0.3">
      <c r="F22563" s="1"/>
    </row>
    <row r="22564" spans="6:13" x14ac:dyDescent="0.3">
      <c r="F22564" s="1"/>
      <c r="M22564" s="1"/>
    </row>
    <row r="22565" spans="6:13" x14ac:dyDescent="0.3">
      <c r="F22565" s="1"/>
    </row>
    <row r="22566" spans="6:13" x14ac:dyDescent="0.3">
      <c r="F22566" s="1"/>
    </row>
    <row r="22567" spans="6:13" x14ac:dyDescent="0.3">
      <c r="F22567" s="1"/>
    </row>
    <row r="22568" spans="6:13" x14ac:dyDescent="0.3">
      <c r="F22568" s="1"/>
    </row>
    <row r="22569" spans="6:13" x14ac:dyDescent="0.3">
      <c r="F22569" s="1"/>
    </row>
    <row r="22570" spans="6:13" x14ac:dyDescent="0.3">
      <c r="F22570" s="1"/>
    </row>
    <row r="22571" spans="6:13" x14ac:dyDescent="0.3">
      <c r="F22571" s="1"/>
    </row>
    <row r="22572" spans="6:13" x14ac:dyDescent="0.3">
      <c r="F22572" s="1"/>
    </row>
    <row r="22573" spans="6:13" x14ac:dyDescent="0.3">
      <c r="F22573" s="1"/>
    </row>
    <row r="22574" spans="6:13" x14ac:dyDescent="0.3">
      <c r="F22574" s="1"/>
    </row>
    <row r="22575" spans="6:13" x14ac:dyDescent="0.3">
      <c r="F22575" s="1"/>
    </row>
    <row r="22576" spans="6:13" x14ac:dyDescent="0.3">
      <c r="F22576" s="1"/>
    </row>
    <row r="22577" spans="6:15" x14ac:dyDescent="0.3">
      <c r="F22577" s="1"/>
    </row>
    <row r="22578" spans="6:15" x14ac:dyDescent="0.3">
      <c r="F22578" s="1"/>
    </row>
    <row r="22579" spans="6:15" x14ac:dyDescent="0.3">
      <c r="F22579" s="1"/>
    </row>
    <row r="22580" spans="6:15" x14ac:dyDescent="0.3">
      <c r="F22580" s="1"/>
    </row>
    <row r="22581" spans="6:15" x14ac:dyDescent="0.3">
      <c r="F22581" s="1"/>
    </row>
    <row r="22583" spans="6:15" x14ac:dyDescent="0.3">
      <c r="L22583" s="1"/>
      <c r="M22583" s="1"/>
      <c r="O22583" s="1"/>
    </row>
    <row r="22584" spans="6:15" x14ac:dyDescent="0.3">
      <c r="F22584" s="1"/>
    </row>
    <row r="22585" spans="6:15" x14ac:dyDescent="0.3">
      <c r="F22585" s="1"/>
    </row>
    <row r="22587" spans="6:15" x14ac:dyDescent="0.3">
      <c r="F22587" s="1"/>
    </row>
    <row r="22588" spans="6:15" x14ac:dyDescent="0.3">
      <c r="F22588" s="1"/>
    </row>
    <row r="22589" spans="6:15" x14ac:dyDescent="0.3">
      <c r="F22589" s="1"/>
    </row>
    <row r="22590" spans="6:15" x14ac:dyDescent="0.3">
      <c r="F22590" s="1"/>
      <c r="L22590" s="1"/>
    </row>
    <row r="22591" spans="6:15" x14ac:dyDescent="0.3">
      <c r="F22591" s="1"/>
    </row>
    <row r="22592" spans="6:15" x14ac:dyDescent="0.3">
      <c r="F22592" s="1"/>
    </row>
    <row r="22594" spans="6:14" x14ac:dyDescent="0.3">
      <c r="F22594" s="1"/>
      <c r="N22594" s="1"/>
    </row>
    <row r="22595" spans="6:14" x14ac:dyDescent="0.3">
      <c r="F22595" s="1"/>
    </row>
    <row r="22596" spans="6:14" x14ac:dyDescent="0.3">
      <c r="F22596" s="1"/>
    </row>
    <row r="22597" spans="6:14" x14ac:dyDescent="0.3">
      <c r="F22597" s="1"/>
    </row>
    <row r="22598" spans="6:14" x14ac:dyDescent="0.3">
      <c r="F22598" s="1"/>
    </row>
    <row r="22600" spans="6:14" x14ac:dyDescent="0.3">
      <c r="F22600" s="1"/>
    </row>
    <row r="22601" spans="6:14" x14ac:dyDescent="0.3">
      <c r="F22601" s="1"/>
    </row>
    <row r="22602" spans="6:14" x14ac:dyDescent="0.3">
      <c r="F22602" s="1"/>
    </row>
    <row r="22603" spans="6:14" x14ac:dyDescent="0.3">
      <c r="F22603" s="1"/>
    </row>
    <row r="22606" spans="6:14" x14ac:dyDescent="0.3">
      <c r="F22606" s="1"/>
    </row>
    <row r="22607" spans="6:14" x14ac:dyDescent="0.3">
      <c r="F22607" s="1"/>
    </row>
    <row r="22609" spans="6:15" x14ac:dyDescent="0.3">
      <c r="F22609" s="1"/>
    </row>
    <row r="22610" spans="6:15" x14ac:dyDescent="0.3">
      <c r="F22610" s="1"/>
    </row>
    <row r="22611" spans="6:15" x14ac:dyDescent="0.3">
      <c r="L22611" s="1"/>
      <c r="M22611" s="1"/>
      <c r="N22611" s="1"/>
      <c r="O22611" s="1"/>
    </row>
    <row r="22612" spans="6:15" x14ac:dyDescent="0.3">
      <c r="F22612" s="1"/>
    </row>
    <row r="22613" spans="6:15" x14ac:dyDescent="0.3">
      <c r="F22613" s="1"/>
    </row>
    <row r="22614" spans="6:15" x14ac:dyDescent="0.3">
      <c r="F22614" s="1"/>
      <c r="L22614" s="1"/>
      <c r="N22614" s="1"/>
    </row>
    <row r="22615" spans="6:15" x14ac:dyDescent="0.3">
      <c r="F22615" s="1"/>
    </row>
    <row r="22617" spans="6:15" x14ac:dyDescent="0.3">
      <c r="F22617" s="1"/>
    </row>
    <row r="22618" spans="6:15" x14ac:dyDescent="0.3">
      <c r="F22618" s="1"/>
    </row>
    <row r="22620" spans="6:15" x14ac:dyDescent="0.3">
      <c r="F22620" s="1"/>
    </row>
    <row r="22621" spans="6:15" x14ac:dyDescent="0.3">
      <c r="F22621" s="1"/>
    </row>
    <row r="22622" spans="6:15" x14ac:dyDescent="0.3">
      <c r="M22622" s="1"/>
      <c r="N22622" s="1"/>
      <c r="O22622" s="1"/>
    </row>
    <row r="22623" spans="6:15" x14ac:dyDescent="0.3">
      <c r="F22623" s="1"/>
    </row>
    <row r="22624" spans="6:15" x14ac:dyDescent="0.3">
      <c r="F22624" s="1"/>
    </row>
    <row r="22625" spans="6:13" x14ac:dyDescent="0.3">
      <c r="F22625" s="1"/>
    </row>
    <row r="22626" spans="6:13" x14ac:dyDescent="0.3">
      <c r="F22626" s="1"/>
      <c r="L22626" s="1"/>
      <c r="M22626" s="1"/>
    </row>
    <row r="22627" spans="6:13" x14ac:dyDescent="0.3">
      <c r="M22627" s="1"/>
    </row>
    <row r="22628" spans="6:13" x14ac:dyDescent="0.3">
      <c r="F22628" s="1"/>
      <c r="M22628" s="1"/>
    </row>
    <row r="22629" spans="6:13" x14ac:dyDescent="0.3">
      <c r="F22629" s="1"/>
    </row>
    <row r="22630" spans="6:13" x14ac:dyDescent="0.3">
      <c r="F22630" s="1"/>
    </row>
    <row r="22631" spans="6:13" x14ac:dyDescent="0.3">
      <c r="F22631" s="1"/>
    </row>
    <row r="22632" spans="6:13" x14ac:dyDescent="0.3">
      <c r="F22632" s="1"/>
    </row>
    <row r="22633" spans="6:13" x14ac:dyDescent="0.3">
      <c r="F22633" s="1"/>
    </row>
    <row r="22634" spans="6:13" x14ac:dyDescent="0.3">
      <c r="F22634" s="1"/>
    </row>
    <row r="22635" spans="6:13" x14ac:dyDescent="0.3">
      <c r="F22635" s="1"/>
    </row>
    <row r="22636" spans="6:13" x14ac:dyDescent="0.3">
      <c r="F22636" s="1"/>
    </row>
    <row r="22637" spans="6:13" x14ac:dyDescent="0.3">
      <c r="F22637" s="1"/>
    </row>
    <row r="22638" spans="6:13" x14ac:dyDescent="0.3">
      <c r="F22638" s="1"/>
    </row>
    <row r="22639" spans="6:13" x14ac:dyDescent="0.3">
      <c r="F22639" s="1"/>
    </row>
    <row r="22640" spans="6:13" x14ac:dyDescent="0.3">
      <c r="F22640" s="1"/>
    </row>
    <row r="22641" spans="6:14" x14ac:dyDescent="0.3">
      <c r="F22641" s="1"/>
    </row>
    <row r="22642" spans="6:14" x14ac:dyDescent="0.3">
      <c r="F22642" s="1"/>
    </row>
    <row r="22643" spans="6:14" x14ac:dyDescent="0.3">
      <c r="L22643" s="1"/>
      <c r="M22643" s="1"/>
    </row>
    <row r="22644" spans="6:14" x14ac:dyDescent="0.3">
      <c r="F22644" s="1"/>
    </row>
    <row r="22645" spans="6:14" x14ac:dyDescent="0.3">
      <c r="F22645" s="1"/>
    </row>
    <row r="22646" spans="6:14" x14ac:dyDescent="0.3">
      <c r="F22646" s="1"/>
    </row>
    <row r="22647" spans="6:14" x14ac:dyDescent="0.3">
      <c r="M22647" s="1"/>
      <c r="N22647" s="1"/>
    </row>
    <row r="22648" spans="6:14" x14ac:dyDescent="0.3">
      <c r="F22648" s="1"/>
    </row>
    <row r="22650" spans="6:14" x14ac:dyDescent="0.3">
      <c r="F22650" s="1"/>
    </row>
    <row r="22651" spans="6:14" x14ac:dyDescent="0.3">
      <c r="F22651" s="1"/>
      <c r="L22651" s="1"/>
    </row>
    <row r="22652" spans="6:14" x14ac:dyDescent="0.3">
      <c r="F22652" s="1"/>
    </row>
    <row r="22653" spans="6:14" x14ac:dyDescent="0.3">
      <c r="F22653" s="1"/>
    </row>
    <row r="22655" spans="6:14" x14ac:dyDescent="0.3">
      <c r="F22655" s="1"/>
    </row>
    <row r="22656" spans="6:14" x14ac:dyDescent="0.3">
      <c r="F22656" s="1"/>
    </row>
    <row r="22657" spans="6:15" x14ac:dyDescent="0.3">
      <c r="F22657" s="1"/>
      <c r="L22657" s="1"/>
    </row>
    <row r="22658" spans="6:15" x14ac:dyDescent="0.3">
      <c r="M22658" s="1"/>
      <c r="O22658" s="1"/>
    </row>
    <row r="22659" spans="6:15" x14ac:dyDescent="0.3">
      <c r="F22659" s="1"/>
    </row>
    <row r="22660" spans="6:15" x14ac:dyDescent="0.3">
      <c r="F22660" s="1"/>
    </row>
    <row r="22661" spans="6:15" x14ac:dyDescent="0.3">
      <c r="F22661" s="1"/>
    </row>
    <row r="22662" spans="6:15" x14ac:dyDescent="0.3">
      <c r="M22662" s="1"/>
    </row>
    <row r="22663" spans="6:15" x14ac:dyDescent="0.3">
      <c r="F22663" s="1"/>
    </row>
    <row r="22665" spans="6:15" x14ac:dyDescent="0.3">
      <c r="F22665" s="1"/>
    </row>
    <row r="22666" spans="6:15" x14ac:dyDescent="0.3">
      <c r="F22666" s="1"/>
    </row>
    <row r="22667" spans="6:15" x14ac:dyDescent="0.3">
      <c r="F22667" s="1"/>
    </row>
    <row r="22668" spans="6:15" x14ac:dyDescent="0.3">
      <c r="F22668" s="1"/>
      <c r="L22668" s="1"/>
      <c r="N22668" s="1"/>
      <c r="O22668" s="1"/>
    </row>
    <row r="22669" spans="6:15" x14ac:dyDescent="0.3">
      <c r="F22669" s="1"/>
    </row>
    <row r="22670" spans="6:15" x14ac:dyDescent="0.3">
      <c r="F22670" s="1"/>
      <c r="L22670" s="1"/>
      <c r="M22670" s="1"/>
      <c r="O22670" s="1"/>
    </row>
    <row r="22671" spans="6:15" x14ac:dyDescent="0.3">
      <c r="F22671" s="1"/>
    </row>
    <row r="22673" spans="6:14" x14ac:dyDescent="0.3">
      <c r="F22673" s="1"/>
    </row>
    <row r="22674" spans="6:14" x14ac:dyDescent="0.3">
      <c r="F22674" s="1"/>
    </row>
    <row r="22675" spans="6:14" x14ac:dyDescent="0.3">
      <c r="F22675" s="1"/>
    </row>
    <row r="22676" spans="6:14" x14ac:dyDescent="0.3">
      <c r="F22676" s="1"/>
    </row>
    <row r="22677" spans="6:14" x14ac:dyDescent="0.3">
      <c r="F22677" s="1"/>
    </row>
    <row r="22678" spans="6:14" x14ac:dyDescent="0.3">
      <c r="F22678" s="1"/>
    </row>
    <row r="22679" spans="6:14" x14ac:dyDescent="0.3">
      <c r="F22679" s="1"/>
    </row>
    <row r="22680" spans="6:14" x14ac:dyDescent="0.3">
      <c r="L22680" s="1"/>
      <c r="M22680" s="1"/>
      <c r="N22680" s="1"/>
    </row>
    <row r="22681" spans="6:14" x14ac:dyDescent="0.3">
      <c r="F22681" s="1"/>
    </row>
    <row r="22682" spans="6:14" x14ac:dyDescent="0.3">
      <c r="F22682" s="1"/>
    </row>
    <row r="22683" spans="6:14" x14ac:dyDescent="0.3">
      <c r="F22683" s="1"/>
    </row>
    <row r="22684" spans="6:14" x14ac:dyDescent="0.3">
      <c r="F22684" s="1"/>
    </row>
    <row r="22685" spans="6:14" x14ac:dyDescent="0.3">
      <c r="F22685" s="1"/>
    </row>
    <row r="22686" spans="6:14" x14ac:dyDescent="0.3">
      <c r="F22686" s="1"/>
    </row>
    <row r="22687" spans="6:14" x14ac:dyDescent="0.3">
      <c r="F22687" s="1"/>
      <c r="N22687" s="1"/>
    </row>
    <row r="22689" spans="6:6" x14ac:dyDescent="0.3">
      <c r="F22689" s="1"/>
    </row>
    <row r="22690" spans="6:6" x14ac:dyDescent="0.3">
      <c r="F22690" s="1"/>
    </row>
    <row r="22691" spans="6:6" x14ac:dyDescent="0.3">
      <c r="F22691" s="1"/>
    </row>
    <row r="22693" spans="6:6" x14ac:dyDescent="0.3">
      <c r="F22693" s="1"/>
    </row>
    <row r="22694" spans="6:6" x14ac:dyDescent="0.3">
      <c r="F22694" s="1"/>
    </row>
    <row r="22695" spans="6:6" x14ac:dyDescent="0.3">
      <c r="F22695" s="1"/>
    </row>
    <row r="22696" spans="6:6" x14ac:dyDescent="0.3">
      <c r="F22696" s="1"/>
    </row>
    <row r="22697" spans="6:6" x14ac:dyDescent="0.3">
      <c r="F22697" s="1"/>
    </row>
    <row r="22698" spans="6:6" x14ac:dyDescent="0.3">
      <c r="F22698" s="1"/>
    </row>
    <row r="22699" spans="6:6" x14ac:dyDescent="0.3">
      <c r="F22699" s="1"/>
    </row>
    <row r="22700" spans="6:6" x14ac:dyDescent="0.3">
      <c r="F22700" s="1"/>
    </row>
    <row r="22701" spans="6:6" x14ac:dyDescent="0.3">
      <c r="F22701" s="1"/>
    </row>
    <row r="22702" spans="6:6" x14ac:dyDescent="0.3">
      <c r="F22702" s="1"/>
    </row>
    <row r="22703" spans="6:6" x14ac:dyDescent="0.3">
      <c r="F22703" s="1"/>
    </row>
    <row r="22704" spans="6:6" x14ac:dyDescent="0.3">
      <c r="F22704" s="1"/>
    </row>
    <row r="22705" spans="6:14" x14ac:dyDescent="0.3">
      <c r="F22705" s="1"/>
    </row>
    <row r="22706" spans="6:14" x14ac:dyDescent="0.3">
      <c r="F22706" s="1"/>
    </row>
    <row r="22707" spans="6:14" x14ac:dyDescent="0.3">
      <c r="F22707" s="1"/>
    </row>
    <row r="22708" spans="6:14" x14ac:dyDescent="0.3">
      <c r="F22708" s="1"/>
    </row>
    <row r="22710" spans="6:14" x14ac:dyDescent="0.3">
      <c r="F22710" s="1"/>
      <c r="M22710" s="1"/>
      <c r="N22710" s="1"/>
    </row>
    <row r="22711" spans="6:14" x14ac:dyDescent="0.3">
      <c r="F22711" s="1"/>
    </row>
    <row r="22712" spans="6:14" x14ac:dyDescent="0.3">
      <c r="F22712" s="1"/>
    </row>
    <row r="22713" spans="6:14" x14ac:dyDescent="0.3">
      <c r="F22713" s="1"/>
    </row>
    <row r="22714" spans="6:14" x14ac:dyDescent="0.3">
      <c r="F22714" s="1"/>
    </row>
    <row r="22715" spans="6:14" x14ac:dyDescent="0.3">
      <c r="F22715" s="1"/>
    </row>
    <row r="22716" spans="6:14" x14ac:dyDescent="0.3">
      <c r="F22716" s="1"/>
    </row>
    <row r="22717" spans="6:14" x14ac:dyDescent="0.3">
      <c r="F22717" s="1"/>
    </row>
    <row r="22718" spans="6:14" x14ac:dyDescent="0.3">
      <c r="F22718" s="1"/>
    </row>
    <row r="22719" spans="6:14" x14ac:dyDescent="0.3">
      <c r="F22719" s="1"/>
    </row>
    <row r="22721" spans="6:13" x14ac:dyDescent="0.3">
      <c r="F22721" s="1"/>
    </row>
    <row r="22722" spans="6:13" x14ac:dyDescent="0.3">
      <c r="F22722" s="1"/>
    </row>
    <row r="22723" spans="6:13" x14ac:dyDescent="0.3">
      <c r="F22723" s="1"/>
    </row>
    <row r="22724" spans="6:13" x14ac:dyDescent="0.3">
      <c r="F22724" s="1"/>
    </row>
    <row r="22725" spans="6:13" x14ac:dyDescent="0.3">
      <c r="F22725" s="1"/>
    </row>
    <row r="22726" spans="6:13" x14ac:dyDescent="0.3">
      <c r="F22726" s="1"/>
    </row>
    <row r="22727" spans="6:13" x14ac:dyDescent="0.3">
      <c r="F22727" s="1"/>
    </row>
    <row r="22728" spans="6:13" x14ac:dyDescent="0.3">
      <c r="F22728" s="1"/>
    </row>
    <row r="22729" spans="6:13" x14ac:dyDescent="0.3">
      <c r="F22729" s="1"/>
    </row>
    <row r="22731" spans="6:13" x14ac:dyDescent="0.3">
      <c r="F22731" s="1"/>
    </row>
    <row r="22733" spans="6:13" x14ac:dyDescent="0.3">
      <c r="F22733" s="1"/>
    </row>
    <row r="22734" spans="6:13" x14ac:dyDescent="0.3">
      <c r="F22734" s="1"/>
    </row>
    <row r="22735" spans="6:13" x14ac:dyDescent="0.3">
      <c r="F22735" s="1"/>
    </row>
    <row r="22736" spans="6:13" x14ac:dyDescent="0.3">
      <c r="F22736" s="1"/>
      <c r="M22736" s="1"/>
    </row>
    <row r="22737" spans="6:14" x14ac:dyDescent="0.3">
      <c r="F22737" s="1"/>
    </row>
    <row r="22738" spans="6:14" x14ac:dyDescent="0.3">
      <c r="F22738" s="1"/>
    </row>
    <row r="22739" spans="6:14" x14ac:dyDescent="0.3">
      <c r="F22739" s="1"/>
    </row>
    <row r="22740" spans="6:14" x14ac:dyDescent="0.3">
      <c r="F22740" s="1"/>
    </row>
    <row r="22741" spans="6:14" x14ac:dyDescent="0.3">
      <c r="F22741" s="1"/>
      <c r="N22741" s="1"/>
    </row>
    <row r="22742" spans="6:14" x14ac:dyDescent="0.3">
      <c r="F22742" s="1"/>
    </row>
    <row r="22743" spans="6:14" x14ac:dyDescent="0.3">
      <c r="F22743" s="1"/>
    </row>
    <row r="22744" spans="6:14" x14ac:dyDescent="0.3">
      <c r="F22744" s="1"/>
      <c r="N22744" s="1"/>
    </row>
    <row r="22745" spans="6:14" x14ac:dyDescent="0.3">
      <c r="F22745" s="1"/>
    </row>
    <row r="22746" spans="6:14" x14ac:dyDescent="0.3">
      <c r="F22746" s="1"/>
    </row>
    <row r="22748" spans="6:14" x14ac:dyDescent="0.3">
      <c r="F22748" s="1"/>
    </row>
    <row r="22749" spans="6:14" x14ac:dyDescent="0.3">
      <c r="F22749" s="1"/>
    </row>
    <row r="22751" spans="6:14" x14ac:dyDescent="0.3">
      <c r="F22751" s="1"/>
    </row>
    <row r="22752" spans="6:14" x14ac:dyDescent="0.3">
      <c r="F22752" s="1"/>
    </row>
    <row r="22753" spans="6:15" x14ac:dyDescent="0.3">
      <c r="F22753" s="1"/>
    </row>
    <row r="22754" spans="6:15" x14ac:dyDescent="0.3">
      <c r="F22754" s="1"/>
      <c r="M22754" s="1"/>
      <c r="N22754" s="1"/>
    </row>
    <row r="22755" spans="6:15" x14ac:dyDescent="0.3">
      <c r="F22755" s="1"/>
    </row>
    <row r="22756" spans="6:15" x14ac:dyDescent="0.3">
      <c r="F22756" s="1"/>
    </row>
    <row r="22757" spans="6:15" x14ac:dyDescent="0.3">
      <c r="F22757" s="1"/>
    </row>
    <row r="22758" spans="6:15" x14ac:dyDescent="0.3">
      <c r="F22758" s="1"/>
    </row>
    <row r="22759" spans="6:15" x14ac:dyDescent="0.3">
      <c r="F22759" s="1"/>
    </row>
    <row r="22760" spans="6:15" x14ac:dyDescent="0.3">
      <c r="F22760" s="1"/>
    </row>
    <row r="22761" spans="6:15" x14ac:dyDescent="0.3">
      <c r="F22761" s="1"/>
    </row>
    <row r="22762" spans="6:15" x14ac:dyDescent="0.3">
      <c r="F22762" s="1"/>
    </row>
    <row r="22765" spans="6:15" x14ac:dyDescent="0.3">
      <c r="F22765" s="1"/>
    </row>
    <row r="22766" spans="6:15" x14ac:dyDescent="0.3">
      <c r="F22766" s="1"/>
    </row>
    <row r="22767" spans="6:15" x14ac:dyDescent="0.3">
      <c r="F22767" s="1"/>
      <c r="L22767" s="1"/>
      <c r="N22767" s="1"/>
      <c r="O22767" s="1"/>
    </row>
    <row r="22768" spans="6:15" x14ac:dyDescent="0.3">
      <c r="F22768" s="1"/>
    </row>
    <row r="22769" spans="6:14" x14ac:dyDescent="0.3">
      <c r="F22769" s="1"/>
    </row>
    <row r="22770" spans="6:14" x14ac:dyDescent="0.3">
      <c r="F22770" s="1"/>
    </row>
    <row r="22771" spans="6:14" x14ac:dyDescent="0.3">
      <c r="F22771" s="1"/>
    </row>
    <row r="22772" spans="6:14" x14ac:dyDescent="0.3">
      <c r="F22772" s="1"/>
    </row>
    <row r="22773" spans="6:14" x14ac:dyDescent="0.3">
      <c r="F22773" s="1"/>
      <c r="N22773" s="1"/>
    </row>
    <row r="22774" spans="6:14" x14ac:dyDescent="0.3">
      <c r="F22774" s="1"/>
    </row>
    <row r="22775" spans="6:14" x14ac:dyDescent="0.3">
      <c r="F22775" s="1"/>
    </row>
    <row r="22776" spans="6:14" x14ac:dyDescent="0.3">
      <c r="F22776" s="1"/>
      <c r="M22776" s="1"/>
      <c r="N22776" s="1"/>
    </row>
    <row r="22777" spans="6:14" x14ac:dyDescent="0.3">
      <c r="F22777" s="1"/>
    </row>
    <row r="22778" spans="6:14" x14ac:dyDescent="0.3">
      <c r="F22778" s="1"/>
      <c r="N22778" s="1"/>
    </row>
    <row r="22779" spans="6:14" x14ac:dyDescent="0.3">
      <c r="F22779" s="1"/>
    </row>
    <row r="22780" spans="6:14" x14ac:dyDescent="0.3">
      <c r="L22780" s="1"/>
    </row>
    <row r="22781" spans="6:14" x14ac:dyDescent="0.3">
      <c r="F22781" s="1"/>
      <c r="N22781" s="1"/>
    </row>
    <row r="22782" spans="6:14" x14ac:dyDescent="0.3">
      <c r="F22782" s="1"/>
    </row>
    <row r="22783" spans="6:14" x14ac:dyDescent="0.3">
      <c r="F22783" s="1"/>
    </row>
    <row r="22784" spans="6:14" x14ac:dyDescent="0.3">
      <c r="F22784" s="1"/>
    </row>
    <row r="22785" spans="6:6" x14ac:dyDescent="0.3">
      <c r="F22785" s="1"/>
    </row>
    <row r="22786" spans="6:6" x14ac:dyDescent="0.3">
      <c r="F22786" s="1"/>
    </row>
    <row r="22787" spans="6:6" x14ac:dyDescent="0.3">
      <c r="F22787" s="1"/>
    </row>
    <row r="22789" spans="6:6" x14ac:dyDescent="0.3">
      <c r="F22789" s="1"/>
    </row>
    <row r="22790" spans="6:6" x14ac:dyDescent="0.3">
      <c r="F22790" s="1"/>
    </row>
    <row r="22791" spans="6:6" x14ac:dyDescent="0.3">
      <c r="F22791" s="1"/>
    </row>
    <row r="22793" spans="6:6" x14ac:dyDescent="0.3">
      <c r="F22793" s="1"/>
    </row>
    <row r="22794" spans="6:6" x14ac:dyDescent="0.3">
      <c r="F22794" s="1"/>
    </row>
    <row r="22795" spans="6:6" x14ac:dyDescent="0.3">
      <c r="F22795" s="1"/>
    </row>
    <row r="22796" spans="6:6" x14ac:dyDescent="0.3">
      <c r="F22796" s="1"/>
    </row>
    <row r="22797" spans="6:6" x14ac:dyDescent="0.3">
      <c r="F22797" s="1"/>
    </row>
    <row r="22798" spans="6:6" x14ac:dyDescent="0.3">
      <c r="F22798" s="1"/>
    </row>
    <row r="22799" spans="6:6" x14ac:dyDescent="0.3">
      <c r="F22799" s="1"/>
    </row>
    <row r="22800" spans="6:6" x14ac:dyDescent="0.3">
      <c r="F22800" s="1"/>
    </row>
    <row r="22801" spans="6:13" x14ac:dyDescent="0.3">
      <c r="F22801" s="1"/>
    </row>
    <row r="22802" spans="6:13" x14ac:dyDescent="0.3">
      <c r="F22802" s="1"/>
    </row>
    <row r="22803" spans="6:13" x14ac:dyDescent="0.3">
      <c r="F22803" s="1"/>
      <c r="L22803" s="1"/>
      <c r="M22803" s="1"/>
    </row>
    <row r="22804" spans="6:13" x14ac:dyDescent="0.3">
      <c r="F22804" s="1"/>
    </row>
    <row r="22805" spans="6:13" x14ac:dyDescent="0.3">
      <c r="F22805" s="1"/>
    </row>
    <row r="22806" spans="6:13" x14ac:dyDescent="0.3">
      <c r="F22806" s="1"/>
    </row>
    <row r="22808" spans="6:13" x14ac:dyDescent="0.3">
      <c r="F22808" s="1"/>
    </row>
    <row r="22809" spans="6:13" x14ac:dyDescent="0.3">
      <c r="F22809" s="1"/>
    </row>
    <row r="22810" spans="6:13" x14ac:dyDescent="0.3">
      <c r="F22810" s="1"/>
    </row>
    <row r="22811" spans="6:13" x14ac:dyDescent="0.3">
      <c r="F22811" s="1"/>
    </row>
    <row r="22812" spans="6:13" x14ac:dyDescent="0.3">
      <c r="F22812" s="1"/>
    </row>
    <row r="22813" spans="6:13" x14ac:dyDescent="0.3">
      <c r="F22813" s="1"/>
    </row>
    <row r="22814" spans="6:13" x14ac:dyDescent="0.3">
      <c r="F22814" s="1"/>
      <c r="L22814" s="1"/>
      <c r="M22814" s="1"/>
    </row>
    <row r="22815" spans="6:13" x14ac:dyDescent="0.3">
      <c r="F22815" s="1"/>
    </row>
    <row r="22816" spans="6:13" x14ac:dyDescent="0.3">
      <c r="F22816" s="1"/>
    </row>
    <row r="22817" spans="6:15" x14ac:dyDescent="0.3">
      <c r="F22817" s="1"/>
      <c r="N22817" s="1"/>
      <c r="O22817" s="1"/>
    </row>
    <row r="22818" spans="6:15" x14ac:dyDescent="0.3">
      <c r="F22818" s="1"/>
    </row>
    <row r="22819" spans="6:15" x14ac:dyDescent="0.3">
      <c r="F22819" s="1"/>
    </row>
    <row r="22820" spans="6:15" x14ac:dyDescent="0.3">
      <c r="F22820" s="1"/>
    </row>
    <row r="22823" spans="6:15" x14ac:dyDescent="0.3">
      <c r="F22823" s="1"/>
    </row>
    <row r="22824" spans="6:15" x14ac:dyDescent="0.3">
      <c r="F22824" s="1"/>
    </row>
    <row r="22825" spans="6:15" x14ac:dyDescent="0.3">
      <c r="F22825" s="1"/>
    </row>
    <row r="22826" spans="6:15" x14ac:dyDescent="0.3">
      <c r="F22826" s="1"/>
    </row>
    <row r="22827" spans="6:15" x14ac:dyDescent="0.3">
      <c r="F22827" s="1"/>
    </row>
    <row r="22828" spans="6:15" x14ac:dyDescent="0.3">
      <c r="F22828" s="1"/>
    </row>
    <row r="22829" spans="6:15" x14ac:dyDescent="0.3">
      <c r="F22829" s="1"/>
    </row>
    <row r="22830" spans="6:15" x14ac:dyDescent="0.3">
      <c r="F22830" s="1"/>
    </row>
    <row r="22831" spans="6:15" x14ac:dyDescent="0.3">
      <c r="F22831" s="1"/>
    </row>
    <row r="22832" spans="6:15" x14ac:dyDescent="0.3">
      <c r="F22832" s="1"/>
    </row>
    <row r="22833" spans="6:14" x14ac:dyDescent="0.3">
      <c r="F22833" s="1"/>
    </row>
    <row r="22834" spans="6:14" x14ac:dyDescent="0.3">
      <c r="F22834" s="1"/>
    </row>
    <row r="22835" spans="6:14" x14ac:dyDescent="0.3">
      <c r="F22835" s="1"/>
    </row>
    <row r="22836" spans="6:14" x14ac:dyDescent="0.3">
      <c r="F22836" s="1"/>
    </row>
    <row r="22837" spans="6:14" x14ac:dyDescent="0.3">
      <c r="F22837" s="1"/>
    </row>
    <row r="22838" spans="6:14" x14ac:dyDescent="0.3">
      <c r="F22838" s="1"/>
    </row>
    <row r="22839" spans="6:14" x14ac:dyDescent="0.3">
      <c r="F22839" s="1"/>
    </row>
    <row r="22840" spans="6:14" x14ac:dyDescent="0.3">
      <c r="F22840" s="1"/>
    </row>
    <row r="22841" spans="6:14" x14ac:dyDescent="0.3">
      <c r="F22841" s="1"/>
      <c r="N22841" s="1"/>
    </row>
    <row r="22842" spans="6:14" x14ac:dyDescent="0.3">
      <c r="F22842" s="1"/>
    </row>
    <row r="22843" spans="6:14" x14ac:dyDescent="0.3">
      <c r="F22843" s="1"/>
      <c r="M22843" s="1"/>
    </row>
    <row r="22844" spans="6:14" x14ac:dyDescent="0.3">
      <c r="F22844" s="1"/>
    </row>
    <row r="22846" spans="6:14" x14ac:dyDescent="0.3">
      <c r="F22846" s="1"/>
    </row>
    <row r="22849" spans="6:13" x14ac:dyDescent="0.3">
      <c r="F22849" s="1"/>
    </row>
    <row r="22851" spans="6:13" x14ac:dyDescent="0.3">
      <c r="F22851" s="1"/>
    </row>
    <row r="22852" spans="6:13" x14ac:dyDescent="0.3">
      <c r="F22852" s="1"/>
    </row>
    <row r="22853" spans="6:13" x14ac:dyDescent="0.3">
      <c r="F22853" s="1"/>
    </row>
    <row r="22854" spans="6:13" x14ac:dyDescent="0.3">
      <c r="F22854" s="1"/>
    </row>
    <row r="22855" spans="6:13" x14ac:dyDescent="0.3">
      <c r="F22855" s="1"/>
      <c r="L22855" s="1"/>
    </row>
    <row r="22856" spans="6:13" x14ac:dyDescent="0.3">
      <c r="F22856" s="1"/>
    </row>
    <row r="22857" spans="6:13" x14ac:dyDescent="0.3">
      <c r="F22857" s="1"/>
      <c r="L22857" s="1"/>
    </row>
    <row r="22858" spans="6:13" x14ac:dyDescent="0.3">
      <c r="F22858" s="1"/>
    </row>
    <row r="22859" spans="6:13" x14ac:dyDescent="0.3">
      <c r="F22859" s="1"/>
    </row>
    <row r="22862" spans="6:13" x14ac:dyDescent="0.3">
      <c r="F22862" s="1"/>
    </row>
    <row r="22863" spans="6:13" x14ac:dyDescent="0.3">
      <c r="M22863" s="1"/>
    </row>
    <row r="22864" spans="6:13" x14ac:dyDescent="0.3">
      <c r="F22864" s="1"/>
      <c r="L22864" s="1"/>
    </row>
    <row r="22866" spans="6:14" x14ac:dyDescent="0.3">
      <c r="F22866" s="1"/>
    </row>
    <row r="22867" spans="6:14" x14ac:dyDescent="0.3">
      <c r="F22867" s="1"/>
    </row>
    <row r="22868" spans="6:14" x14ac:dyDescent="0.3">
      <c r="F22868" s="1"/>
    </row>
    <row r="22869" spans="6:14" x14ac:dyDescent="0.3">
      <c r="F22869" s="1"/>
      <c r="N22869" s="1"/>
    </row>
    <row r="22870" spans="6:14" x14ac:dyDescent="0.3">
      <c r="F22870" s="1"/>
    </row>
    <row r="22871" spans="6:14" x14ac:dyDescent="0.3">
      <c r="F22871" s="1"/>
    </row>
    <row r="22872" spans="6:14" x14ac:dyDescent="0.3">
      <c r="F22872" s="1"/>
    </row>
    <row r="22874" spans="6:14" x14ac:dyDescent="0.3">
      <c r="F22874" s="1"/>
    </row>
    <row r="22875" spans="6:14" x14ac:dyDescent="0.3">
      <c r="F22875" s="1"/>
    </row>
    <row r="22876" spans="6:14" x14ac:dyDescent="0.3">
      <c r="F22876" s="1"/>
    </row>
    <row r="22877" spans="6:14" x14ac:dyDescent="0.3">
      <c r="F22877" s="1"/>
      <c r="M22877" s="1"/>
    </row>
    <row r="22879" spans="6:14" x14ac:dyDescent="0.3">
      <c r="F22879" s="1"/>
    </row>
    <row r="22880" spans="6:14" x14ac:dyDescent="0.3">
      <c r="F22880" s="1"/>
    </row>
    <row r="22881" spans="6:15" x14ac:dyDescent="0.3">
      <c r="F22881" s="1"/>
    </row>
    <row r="22883" spans="6:15" x14ac:dyDescent="0.3">
      <c r="F22883" s="1"/>
    </row>
    <row r="22884" spans="6:15" x14ac:dyDescent="0.3">
      <c r="F22884" s="1"/>
    </row>
    <row r="22885" spans="6:15" x14ac:dyDescent="0.3">
      <c r="F22885" s="1"/>
    </row>
    <row r="22886" spans="6:15" x14ac:dyDescent="0.3">
      <c r="L22886" s="1"/>
      <c r="M22886" s="1"/>
      <c r="N22886" s="1"/>
      <c r="O22886" s="1"/>
    </row>
    <row r="22887" spans="6:15" x14ac:dyDescent="0.3">
      <c r="F22887" s="1"/>
    </row>
    <row r="22888" spans="6:15" x14ac:dyDescent="0.3">
      <c r="F22888" s="1"/>
    </row>
    <row r="22889" spans="6:15" x14ac:dyDescent="0.3">
      <c r="F22889" s="1"/>
    </row>
    <row r="22890" spans="6:15" x14ac:dyDescent="0.3">
      <c r="F22890" s="1"/>
    </row>
    <row r="22891" spans="6:15" x14ac:dyDescent="0.3">
      <c r="F22891" s="1"/>
    </row>
    <row r="22893" spans="6:15" x14ac:dyDescent="0.3">
      <c r="F22893" s="1"/>
    </row>
    <row r="22894" spans="6:15" x14ac:dyDescent="0.3">
      <c r="F22894" s="1"/>
    </row>
    <row r="22895" spans="6:15" x14ac:dyDescent="0.3">
      <c r="F22895" s="1"/>
    </row>
    <row r="22898" spans="6:14" x14ac:dyDescent="0.3">
      <c r="F22898" s="1"/>
      <c r="M22898" s="1"/>
    </row>
    <row r="22899" spans="6:14" x14ac:dyDescent="0.3">
      <c r="F22899" s="1"/>
    </row>
    <row r="22900" spans="6:14" x14ac:dyDescent="0.3">
      <c r="F22900" s="1"/>
    </row>
    <row r="22901" spans="6:14" x14ac:dyDescent="0.3">
      <c r="F22901" s="1"/>
    </row>
    <row r="22902" spans="6:14" x14ac:dyDescent="0.3">
      <c r="F22902" s="1"/>
      <c r="M22902" s="1"/>
      <c r="N22902" s="1"/>
    </row>
    <row r="22904" spans="6:14" x14ac:dyDescent="0.3">
      <c r="F22904" s="1"/>
    </row>
    <row r="22905" spans="6:14" x14ac:dyDescent="0.3">
      <c r="F22905" s="1"/>
    </row>
    <row r="22906" spans="6:14" x14ac:dyDescent="0.3">
      <c r="F22906" s="1"/>
    </row>
    <row r="22907" spans="6:14" x14ac:dyDescent="0.3">
      <c r="F22907" s="1"/>
    </row>
    <row r="22908" spans="6:14" x14ac:dyDescent="0.3">
      <c r="F22908" s="1"/>
    </row>
    <row r="22909" spans="6:14" x14ac:dyDescent="0.3">
      <c r="F22909" s="1"/>
    </row>
    <row r="22911" spans="6:14" x14ac:dyDescent="0.3">
      <c r="F22911" s="1"/>
    </row>
    <row r="22913" spans="6:14" x14ac:dyDescent="0.3">
      <c r="F22913" s="1"/>
    </row>
    <row r="22914" spans="6:14" x14ac:dyDescent="0.3">
      <c r="F22914" s="1"/>
    </row>
    <row r="22915" spans="6:14" x14ac:dyDescent="0.3">
      <c r="F22915" s="1"/>
    </row>
    <row r="22916" spans="6:14" x14ac:dyDescent="0.3">
      <c r="F22916" s="1"/>
    </row>
    <row r="22917" spans="6:14" x14ac:dyDescent="0.3">
      <c r="F22917" s="1"/>
    </row>
    <row r="22918" spans="6:14" x14ac:dyDescent="0.3">
      <c r="F22918" s="1"/>
    </row>
    <row r="22919" spans="6:14" x14ac:dyDescent="0.3">
      <c r="F22919" s="1"/>
    </row>
    <row r="22921" spans="6:14" x14ac:dyDescent="0.3">
      <c r="F22921" s="1"/>
    </row>
    <row r="22922" spans="6:14" x14ac:dyDescent="0.3">
      <c r="F22922" s="1"/>
    </row>
    <row r="22923" spans="6:14" x14ac:dyDescent="0.3">
      <c r="F22923" s="1"/>
    </row>
    <row r="22924" spans="6:14" x14ac:dyDescent="0.3">
      <c r="F22924" s="1"/>
    </row>
    <row r="22925" spans="6:14" x14ac:dyDescent="0.3">
      <c r="F22925" s="1"/>
      <c r="N22925" s="1"/>
    </row>
    <row r="22926" spans="6:14" x14ac:dyDescent="0.3">
      <c r="F22926" s="1"/>
    </row>
    <row r="22927" spans="6:14" x14ac:dyDescent="0.3">
      <c r="F22927" s="1"/>
    </row>
    <row r="22928" spans="6:14" x14ac:dyDescent="0.3">
      <c r="F22928" s="1"/>
    </row>
    <row r="22929" spans="6:14" x14ac:dyDescent="0.3">
      <c r="F22929" s="1"/>
    </row>
    <row r="22931" spans="6:14" x14ac:dyDescent="0.3">
      <c r="F22931" s="1"/>
    </row>
    <row r="22932" spans="6:14" x14ac:dyDescent="0.3">
      <c r="F22932" s="1"/>
    </row>
    <row r="22933" spans="6:14" x14ac:dyDescent="0.3">
      <c r="F22933" s="1"/>
    </row>
    <row r="22934" spans="6:14" x14ac:dyDescent="0.3">
      <c r="F22934" s="1"/>
    </row>
    <row r="22935" spans="6:14" x14ac:dyDescent="0.3">
      <c r="F22935" s="1"/>
    </row>
    <row r="22938" spans="6:14" x14ac:dyDescent="0.3">
      <c r="F22938" s="1"/>
    </row>
    <row r="22939" spans="6:14" x14ac:dyDescent="0.3">
      <c r="N22939" s="1"/>
    </row>
    <row r="22940" spans="6:14" x14ac:dyDescent="0.3">
      <c r="F22940" s="1"/>
    </row>
    <row r="22941" spans="6:14" x14ac:dyDescent="0.3">
      <c r="F22941" s="1"/>
    </row>
    <row r="22942" spans="6:14" x14ac:dyDescent="0.3">
      <c r="F22942" s="1"/>
    </row>
    <row r="22943" spans="6:14" x14ac:dyDescent="0.3">
      <c r="F22943" s="1"/>
      <c r="N22943" s="1"/>
    </row>
    <row r="22944" spans="6:14" x14ac:dyDescent="0.3">
      <c r="M22944" s="1"/>
    </row>
    <row r="22945" spans="6:15" x14ac:dyDescent="0.3">
      <c r="F22945" s="1"/>
    </row>
    <row r="22946" spans="6:15" x14ac:dyDescent="0.3">
      <c r="F22946" s="1"/>
    </row>
    <row r="22947" spans="6:15" x14ac:dyDescent="0.3">
      <c r="F22947" s="1"/>
    </row>
    <row r="22949" spans="6:15" x14ac:dyDescent="0.3">
      <c r="F22949" s="1"/>
    </row>
    <row r="22950" spans="6:15" x14ac:dyDescent="0.3">
      <c r="F22950" s="1"/>
    </row>
    <row r="22951" spans="6:15" x14ac:dyDescent="0.3">
      <c r="F22951" s="1"/>
    </row>
    <row r="22952" spans="6:15" x14ac:dyDescent="0.3">
      <c r="F22952" s="1"/>
    </row>
    <row r="22954" spans="6:15" x14ac:dyDescent="0.3">
      <c r="F22954" s="1"/>
    </row>
    <row r="22955" spans="6:15" x14ac:dyDescent="0.3">
      <c r="F22955" s="1"/>
    </row>
    <row r="22956" spans="6:15" x14ac:dyDescent="0.3">
      <c r="F22956" s="1"/>
    </row>
    <row r="22957" spans="6:15" x14ac:dyDescent="0.3">
      <c r="F22957" s="1"/>
    </row>
    <row r="22958" spans="6:15" x14ac:dyDescent="0.3">
      <c r="L22958" s="1"/>
      <c r="M22958" s="1"/>
      <c r="N22958" s="1"/>
      <c r="O22958" s="1"/>
    </row>
    <row r="22959" spans="6:15" x14ac:dyDescent="0.3">
      <c r="F22959" s="1"/>
    </row>
    <row r="22962" spans="6:15" x14ac:dyDescent="0.3">
      <c r="F22962" s="1"/>
      <c r="M22962" s="1"/>
      <c r="N22962" s="1"/>
      <c r="O22962" s="1"/>
    </row>
    <row r="22963" spans="6:15" x14ac:dyDescent="0.3">
      <c r="F22963" s="1"/>
    </row>
    <row r="22964" spans="6:15" x14ac:dyDescent="0.3">
      <c r="F22964" s="1"/>
    </row>
    <row r="22965" spans="6:15" x14ac:dyDescent="0.3">
      <c r="F22965" s="1"/>
    </row>
    <row r="22966" spans="6:15" x14ac:dyDescent="0.3">
      <c r="F22966" s="1"/>
    </row>
    <row r="22967" spans="6:15" x14ac:dyDescent="0.3">
      <c r="F22967" s="1"/>
    </row>
    <row r="22968" spans="6:15" x14ac:dyDescent="0.3">
      <c r="F22968" s="1"/>
      <c r="L22968" s="1"/>
    </row>
    <row r="22969" spans="6:15" x14ac:dyDescent="0.3">
      <c r="F22969" s="1"/>
    </row>
    <row r="22970" spans="6:15" x14ac:dyDescent="0.3">
      <c r="F22970" s="1"/>
    </row>
    <row r="22971" spans="6:15" x14ac:dyDescent="0.3">
      <c r="F22971" s="1"/>
      <c r="M22971" s="1"/>
      <c r="N22971" s="1"/>
    </row>
    <row r="22972" spans="6:15" x14ac:dyDescent="0.3">
      <c r="F22972" s="1"/>
    </row>
    <row r="22973" spans="6:15" x14ac:dyDescent="0.3">
      <c r="F22973" s="1"/>
    </row>
    <row r="22974" spans="6:15" x14ac:dyDescent="0.3">
      <c r="F22974" s="1"/>
    </row>
    <row r="22975" spans="6:15" x14ac:dyDescent="0.3">
      <c r="F22975" s="1"/>
    </row>
    <row r="22976" spans="6:15" x14ac:dyDescent="0.3">
      <c r="F22976" s="1"/>
    </row>
    <row r="22977" spans="6:14" x14ac:dyDescent="0.3">
      <c r="F22977" s="1"/>
    </row>
    <row r="22978" spans="6:14" x14ac:dyDescent="0.3">
      <c r="F22978" s="1"/>
    </row>
    <row r="22979" spans="6:14" x14ac:dyDescent="0.3">
      <c r="F22979" s="1"/>
    </row>
    <row r="22980" spans="6:14" x14ac:dyDescent="0.3">
      <c r="F22980" s="1"/>
    </row>
    <row r="22981" spans="6:14" x14ac:dyDescent="0.3">
      <c r="F22981" s="1"/>
    </row>
    <row r="22982" spans="6:14" x14ac:dyDescent="0.3">
      <c r="F22982" s="1"/>
      <c r="N22982" s="1"/>
    </row>
    <row r="22983" spans="6:14" x14ac:dyDescent="0.3">
      <c r="F22983" s="1"/>
    </row>
    <row r="22984" spans="6:14" x14ac:dyDescent="0.3">
      <c r="F22984" s="1"/>
    </row>
    <row r="22985" spans="6:14" x14ac:dyDescent="0.3">
      <c r="F22985" s="1"/>
    </row>
    <row r="22986" spans="6:14" x14ac:dyDescent="0.3">
      <c r="F22986" s="1"/>
    </row>
    <row r="22987" spans="6:14" x14ac:dyDescent="0.3">
      <c r="F22987" s="1"/>
    </row>
    <row r="22988" spans="6:14" x14ac:dyDescent="0.3">
      <c r="F22988" s="1"/>
    </row>
    <row r="22989" spans="6:14" x14ac:dyDescent="0.3">
      <c r="F22989" s="1"/>
    </row>
    <row r="22990" spans="6:14" x14ac:dyDescent="0.3">
      <c r="F22990" s="1"/>
    </row>
    <row r="22991" spans="6:14" x14ac:dyDescent="0.3">
      <c r="F22991" s="1"/>
    </row>
    <row r="22992" spans="6:14" x14ac:dyDescent="0.3">
      <c r="F22992" s="1"/>
    </row>
    <row r="22993" spans="6:15" x14ac:dyDescent="0.3">
      <c r="F22993" s="1"/>
    </row>
    <row r="22994" spans="6:15" x14ac:dyDescent="0.3">
      <c r="F22994" s="1"/>
    </row>
    <row r="22995" spans="6:15" x14ac:dyDescent="0.3">
      <c r="F22995" s="1"/>
    </row>
    <row r="22996" spans="6:15" x14ac:dyDescent="0.3">
      <c r="L22996" s="1"/>
    </row>
    <row r="22997" spans="6:15" x14ac:dyDescent="0.3">
      <c r="F22997" s="1"/>
    </row>
    <row r="22998" spans="6:15" x14ac:dyDescent="0.3">
      <c r="M22998" s="1"/>
      <c r="O22998" s="1"/>
    </row>
    <row r="22999" spans="6:15" x14ac:dyDescent="0.3">
      <c r="F22999" s="1"/>
    </row>
    <row r="23001" spans="6:15" x14ac:dyDescent="0.3">
      <c r="F23001" s="1"/>
    </row>
    <row r="23003" spans="6:15" x14ac:dyDescent="0.3">
      <c r="F23003" s="1"/>
    </row>
    <row r="23004" spans="6:15" x14ac:dyDescent="0.3">
      <c r="F23004" s="1"/>
      <c r="L23004" s="1"/>
      <c r="M23004" s="1"/>
      <c r="O23004" s="1"/>
    </row>
    <row r="23005" spans="6:15" x14ac:dyDescent="0.3">
      <c r="F23005" s="1"/>
    </row>
    <row r="23006" spans="6:15" x14ac:dyDescent="0.3">
      <c r="F23006" s="1"/>
    </row>
    <row r="23007" spans="6:15" x14ac:dyDescent="0.3">
      <c r="F23007" s="1"/>
    </row>
    <row r="23008" spans="6:15" x14ac:dyDescent="0.3">
      <c r="F23008" s="1"/>
    </row>
    <row r="23009" spans="6:6" x14ac:dyDescent="0.3">
      <c r="F23009" s="1"/>
    </row>
    <row r="23010" spans="6:6" x14ac:dyDescent="0.3">
      <c r="F23010" s="1"/>
    </row>
    <row r="23011" spans="6:6" x14ac:dyDescent="0.3">
      <c r="F23011" s="1"/>
    </row>
    <row r="23012" spans="6:6" x14ac:dyDescent="0.3">
      <c r="F23012" s="1"/>
    </row>
    <row r="23013" spans="6:6" x14ac:dyDescent="0.3">
      <c r="F23013" s="1"/>
    </row>
    <row r="23014" spans="6:6" x14ac:dyDescent="0.3">
      <c r="F23014" s="1"/>
    </row>
    <row r="23015" spans="6:6" x14ac:dyDescent="0.3">
      <c r="F23015" s="1"/>
    </row>
    <row r="23016" spans="6:6" x14ac:dyDescent="0.3">
      <c r="F23016" s="1"/>
    </row>
    <row r="23017" spans="6:6" x14ac:dyDescent="0.3">
      <c r="F23017" s="1"/>
    </row>
    <row r="23018" spans="6:6" x14ac:dyDescent="0.3">
      <c r="F23018" s="1"/>
    </row>
    <row r="23019" spans="6:6" x14ac:dyDescent="0.3">
      <c r="F23019" s="1"/>
    </row>
    <row r="23020" spans="6:6" x14ac:dyDescent="0.3">
      <c r="F23020" s="1"/>
    </row>
    <row r="23022" spans="6:6" x14ac:dyDescent="0.3">
      <c r="F23022" s="1"/>
    </row>
    <row r="23023" spans="6:6" x14ac:dyDescent="0.3">
      <c r="F23023" s="1"/>
    </row>
    <row r="23024" spans="6:6" x14ac:dyDescent="0.3">
      <c r="F23024" s="1"/>
    </row>
    <row r="23025" spans="6:12" x14ac:dyDescent="0.3">
      <c r="F23025" s="1"/>
    </row>
    <row r="23026" spans="6:12" x14ac:dyDescent="0.3">
      <c r="F23026" s="1"/>
    </row>
    <row r="23027" spans="6:12" x14ac:dyDescent="0.3">
      <c r="F23027" s="1"/>
    </row>
    <row r="23028" spans="6:12" x14ac:dyDescent="0.3">
      <c r="F23028" s="1"/>
      <c r="L23028" s="1"/>
    </row>
    <row r="23029" spans="6:12" x14ac:dyDescent="0.3">
      <c r="F23029" s="1"/>
    </row>
    <row r="23030" spans="6:12" x14ac:dyDescent="0.3">
      <c r="F23030" s="1"/>
    </row>
    <row r="23031" spans="6:12" x14ac:dyDescent="0.3">
      <c r="F23031" s="1"/>
    </row>
    <row r="23032" spans="6:12" x14ac:dyDescent="0.3">
      <c r="F23032" s="1"/>
    </row>
    <row r="23035" spans="6:12" x14ac:dyDescent="0.3">
      <c r="F23035" s="1"/>
    </row>
    <row r="23036" spans="6:12" x14ac:dyDescent="0.3">
      <c r="F23036" s="1"/>
    </row>
    <row r="23037" spans="6:12" x14ac:dyDescent="0.3">
      <c r="F23037" s="1"/>
    </row>
    <row r="23039" spans="6:12" x14ac:dyDescent="0.3">
      <c r="F23039" s="1"/>
    </row>
    <row r="23040" spans="6:12" x14ac:dyDescent="0.3">
      <c r="F23040" s="1"/>
    </row>
    <row r="23041" spans="6:15" x14ac:dyDescent="0.3">
      <c r="F23041" s="1"/>
    </row>
    <row r="23042" spans="6:15" x14ac:dyDescent="0.3">
      <c r="F23042" s="1"/>
    </row>
    <row r="23043" spans="6:15" x14ac:dyDescent="0.3">
      <c r="F23043" s="1"/>
    </row>
    <row r="23044" spans="6:15" x14ac:dyDescent="0.3">
      <c r="F23044" s="1"/>
    </row>
    <row r="23045" spans="6:15" x14ac:dyDescent="0.3">
      <c r="F23045" s="1"/>
      <c r="L23045" s="1"/>
      <c r="M23045" s="1"/>
    </row>
    <row r="23046" spans="6:15" x14ac:dyDescent="0.3">
      <c r="F23046" s="1"/>
    </row>
    <row r="23047" spans="6:15" x14ac:dyDescent="0.3">
      <c r="F23047" s="1"/>
    </row>
    <row r="23048" spans="6:15" x14ac:dyDescent="0.3">
      <c r="F23048" s="1"/>
    </row>
    <row r="23049" spans="6:15" x14ac:dyDescent="0.3">
      <c r="L23049" s="1"/>
    </row>
    <row r="23050" spans="6:15" x14ac:dyDescent="0.3">
      <c r="F23050" s="1"/>
      <c r="N23050" s="1"/>
    </row>
    <row r="23051" spans="6:15" x14ac:dyDescent="0.3">
      <c r="F23051" s="1"/>
    </row>
    <row r="23052" spans="6:15" x14ac:dyDescent="0.3">
      <c r="F23052" s="1"/>
    </row>
    <row r="23054" spans="6:15" x14ac:dyDescent="0.3">
      <c r="F23054" s="1"/>
    </row>
    <row r="23055" spans="6:15" x14ac:dyDescent="0.3">
      <c r="L23055" s="1"/>
      <c r="O23055" s="1"/>
    </row>
    <row r="23056" spans="6:15" x14ac:dyDescent="0.3">
      <c r="F23056" s="1"/>
    </row>
    <row r="23057" spans="6:14" x14ac:dyDescent="0.3">
      <c r="F23057" s="1"/>
    </row>
    <row r="23058" spans="6:14" x14ac:dyDescent="0.3">
      <c r="M23058" s="1"/>
    </row>
    <row r="23059" spans="6:14" x14ac:dyDescent="0.3">
      <c r="F23059" s="1"/>
    </row>
    <row r="23060" spans="6:14" x14ac:dyDescent="0.3">
      <c r="F23060" s="1"/>
    </row>
    <row r="23062" spans="6:14" x14ac:dyDescent="0.3">
      <c r="L23062" s="1"/>
      <c r="M23062" s="1"/>
      <c r="N23062" s="1"/>
    </row>
    <row r="23063" spans="6:14" x14ac:dyDescent="0.3">
      <c r="F23063" s="1"/>
    </row>
    <row r="23064" spans="6:14" x14ac:dyDescent="0.3">
      <c r="F23064" s="1"/>
    </row>
    <row r="23065" spans="6:14" x14ac:dyDescent="0.3">
      <c r="F23065" s="1"/>
    </row>
    <row r="23066" spans="6:14" x14ac:dyDescent="0.3">
      <c r="F23066" s="1"/>
    </row>
    <row r="23067" spans="6:14" x14ac:dyDescent="0.3">
      <c r="F23067" s="1"/>
    </row>
    <row r="23068" spans="6:14" x14ac:dyDescent="0.3">
      <c r="F23068" s="1"/>
    </row>
    <row r="23069" spans="6:14" x14ac:dyDescent="0.3">
      <c r="F23069" s="1"/>
    </row>
    <row r="23070" spans="6:14" x14ac:dyDescent="0.3">
      <c r="F23070" s="1"/>
    </row>
    <row r="23071" spans="6:14" x14ac:dyDescent="0.3">
      <c r="F23071" s="1"/>
    </row>
    <row r="23073" spans="6:14" x14ac:dyDescent="0.3">
      <c r="F23073" s="1"/>
    </row>
    <row r="23074" spans="6:14" x14ac:dyDescent="0.3">
      <c r="F23074" s="1"/>
    </row>
    <row r="23075" spans="6:14" x14ac:dyDescent="0.3">
      <c r="F23075" s="1"/>
    </row>
    <row r="23076" spans="6:14" x14ac:dyDescent="0.3">
      <c r="F23076" s="1"/>
      <c r="N23076" s="1"/>
    </row>
    <row r="23077" spans="6:14" x14ac:dyDescent="0.3">
      <c r="F23077" s="1"/>
    </row>
    <row r="23078" spans="6:14" x14ac:dyDescent="0.3">
      <c r="F23078" s="1"/>
    </row>
    <row r="23079" spans="6:14" x14ac:dyDescent="0.3">
      <c r="F23079" s="1"/>
    </row>
    <row r="23080" spans="6:14" x14ac:dyDescent="0.3">
      <c r="F23080" s="1"/>
    </row>
    <row r="23082" spans="6:14" x14ac:dyDescent="0.3">
      <c r="F23082" s="1"/>
    </row>
    <row r="23083" spans="6:14" x14ac:dyDescent="0.3">
      <c r="F23083" s="1"/>
    </row>
    <row r="23084" spans="6:14" x14ac:dyDescent="0.3">
      <c r="F23084" s="1"/>
    </row>
    <row r="23085" spans="6:14" x14ac:dyDescent="0.3">
      <c r="F23085" s="1"/>
    </row>
    <row r="23086" spans="6:14" x14ac:dyDescent="0.3">
      <c r="F23086" s="1"/>
    </row>
    <row r="23088" spans="6:14" x14ac:dyDescent="0.3">
      <c r="F23088" s="1"/>
    </row>
    <row r="23089" spans="6:6" x14ac:dyDescent="0.3">
      <c r="F23089" s="1"/>
    </row>
    <row r="23090" spans="6:6" x14ac:dyDescent="0.3">
      <c r="F23090" s="1"/>
    </row>
    <row r="23091" spans="6:6" x14ac:dyDescent="0.3">
      <c r="F23091" s="1"/>
    </row>
    <row r="23092" spans="6:6" x14ac:dyDescent="0.3">
      <c r="F23092" s="1"/>
    </row>
    <row r="23093" spans="6:6" x14ac:dyDescent="0.3">
      <c r="F23093" s="1"/>
    </row>
    <row r="23094" spans="6:6" x14ac:dyDescent="0.3">
      <c r="F23094" s="1"/>
    </row>
    <row r="23095" spans="6:6" x14ac:dyDescent="0.3">
      <c r="F23095" s="1"/>
    </row>
    <row r="23096" spans="6:6" x14ac:dyDescent="0.3">
      <c r="F23096" s="1"/>
    </row>
    <row r="23099" spans="6:6" x14ac:dyDescent="0.3">
      <c r="F23099" s="1"/>
    </row>
    <row r="23100" spans="6:6" x14ac:dyDescent="0.3">
      <c r="F23100" s="1"/>
    </row>
    <row r="23101" spans="6:6" x14ac:dyDescent="0.3">
      <c r="F23101" s="1"/>
    </row>
    <row r="23102" spans="6:6" x14ac:dyDescent="0.3">
      <c r="F23102" s="1"/>
    </row>
    <row r="23103" spans="6:6" x14ac:dyDescent="0.3">
      <c r="F23103" s="1"/>
    </row>
    <row r="23104" spans="6:6" x14ac:dyDescent="0.3">
      <c r="F23104" s="1"/>
    </row>
    <row r="23105" spans="6:13" x14ac:dyDescent="0.3">
      <c r="F23105" s="1"/>
    </row>
    <row r="23106" spans="6:13" x14ac:dyDescent="0.3">
      <c r="F23106" s="1"/>
      <c r="L23106" s="1"/>
    </row>
    <row r="23107" spans="6:13" x14ac:dyDescent="0.3">
      <c r="F23107" s="1"/>
    </row>
    <row r="23108" spans="6:13" x14ac:dyDescent="0.3">
      <c r="F23108" s="1"/>
    </row>
    <row r="23109" spans="6:13" x14ac:dyDescent="0.3">
      <c r="F23109" s="1"/>
    </row>
    <row r="23110" spans="6:13" x14ac:dyDescent="0.3">
      <c r="F23110" s="1"/>
    </row>
    <row r="23111" spans="6:13" x14ac:dyDescent="0.3">
      <c r="F23111" s="1"/>
    </row>
    <row r="23112" spans="6:13" x14ac:dyDescent="0.3">
      <c r="F23112" s="1"/>
    </row>
    <row r="23113" spans="6:13" x14ac:dyDescent="0.3">
      <c r="F23113" s="1"/>
    </row>
    <row r="23114" spans="6:13" x14ac:dyDescent="0.3">
      <c r="F23114" s="1"/>
    </row>
    <row r="23115" spans="6:13" x14ac:dyDescent="0.3">
      <c r="F23115" s="1"/>
    </row>
    <row r="23116" spans="6:13" x14ac:dyDescent="0.3">
      <c r="F23116" s="1"/>
      <c r="L23116" s="1"/>
    </row>
    <row r="23117" spans="6:13" x14ac:dyDescent="0.3">
      <c r="F23117" s="1"/>
    </row>
    <row r="23118" spans="6:13" x14ac:dyDescent="0.3">
      <c r="F23118" s="1"/>
      <c r="M23118" s="1"/>
    </row>
    <row r="23119" spans="6:13" x14ac:dyDescent="0.3">
      <c r="F23119" s="1"/>
    </row>
    <row r="23121" spans="6:13" x14ac:dyDescent="0.3">
      <c r="F23121" s="1"/>
    </row>
    <row r="23122" spans="6:13" x14ac:dyDescent="0.3">
      <c r="F23122" s="1"/>
    </row>
    <row r="23123" spans="6:13" x14ac:dyDescent="0.3">
      <c r="F23123" s="1"/>
    </row>
    <row r="23124" spans="6:13" x14ac:dyDescent="0.3">
      <c r="F23124" s="1"/>
    </row>
    <row r="23125" spans="6:13" x14ac:dyDescent="0.3">
      <c r="F23125" s="1"/>
    </row>
    <row r="23126" spans="6:13" x14ac:dyDescent="0.3">
      <c r="F23126" s="1"/>
    </row>
    <row r="23127" spans="6:13" x14ac:dyDescent="0.3">
      <c r="F23127" s="1"/>
    </row>
    <row r="23128" spans="6:13" x14ac:dyDescent="0.3">
      <c r="F23128" s="1"/>
    </row>
    <row r="23129" spans="6:13" x14ac:dyDescent="0.3">
      <c r="F23129" s="1"/>
    </row>
    <row r="23130" spans="6:13" x14ac:dyDescent="0.3">
      <c r="F23130" s="1"/>
      <c r="L23130" s="1"/>
      <c r="M23130" s="1"/>
    </row>
    <row r="23131" spans="6:13" x14ac:dyDescent="0.3">
      <c r="F23131" s="1"/>
    </row>
    <row r="23134" spans="6:13" x14ac:dyDescent="0.3">
      <c r="F23134" s="1"/>
    </row>
    <row r="23135" spans="6:13" x14ac:dyDescent="0.3">
      <c r="F23135" s="1"/>
    </row>
    <row r="23136" spans="6:13" x14ac:dyDescent="0.3">
      <c r="F23136" s="1"/>
    </row>
    <row r="23137" spans="6:14" x14ac:dyDescent="0.3">
      <c r="F23137" s="1"/>
    </row>
    <row r="23138" spans="6:14" x14ac:dyDescent="0.3">
      <c r="F23138" s="1"/>
      <c r="L23138" s="1"/>
      <c r="M23138" s="1"/>
      <c r="N23138" s="1"/>
    </row>
    <row r="23139" spans="6:14" x14ac:dyDescent="0.3">
      <c r="F23139" s="1"/>
    </row>
    <row r="23140" spans="6:14" x14ac:dyDescent="0.3">
      <c r="F23140" s="1"/>
    </row>
    <row r="23142" spans="6:14" x14ac:dyDescent="0.3">
      <c r="F23142" s="1"/>
    </row>
    <row r="23143" spans="6:14" x14ac:dyDescent="0.3">
      <c r="F23143" s="1"/>
    </row>
    <row r="23144" spans="6:14" x14ac:dyDescent="0.3">
      <c r="F23144" s="1"/>
    </row>
    <row r="23145" spans="6:14" x14ac:dyDescent="0.3">
      <c r="F23145" s="1"/>
    </row>
    <row r="23146" spans="6:14" x14ac:dyDescent="0.3">
      <c r="F23146" s="1"/>
    </row>
    <row r="23147" spans="6:14" x14ac:dyDescent="0.3">
      <c r="F23147" s="1"/>
    </row>
    <row r="23148" spans="6:14" x14ac:dyDescent="0.3">
      <c r="F23148" s="1"/>
      <c r="N23148" s="1"/>
    </row>
    <row r="23149" spans="6:14" x14ac:dyDescent="0.3">
      <c r="F23149" s="1"/>
    </row>
    <row r="23150" spans="6:14" x14ac:dyDescent="0.3">
      <c r="F23150" s="1"/>
    </row>
    <row r="23151" spans="6:14" x14ac:dyDescent="0.3">
      <c r="F23151" s="1"/>
    </row>
    <row r="23152" spans="6:14" x14ac:dyDescent="0.3">
      <c r="F23152" s="1"/>
    </row>
    <row r="23153" spans="6:15" x14ac:dyDescent="0.3">
      <c r="F23153" s="1"/>
    </row>
    <row r="23154" spans="6:15" x14ac:dyDescent="0.3">
      <c r="F23154" s="1"/>
    </row>
    <row r="23155" spans="6:15" x14ac:dyDescent="0.3">
      <c r="F23155" s="1"/>
    </row>
    <row r="23156" spans="6:15" x14ac:dyDescent="0.3">
      <c r="F23156" s="1"/>
    </row>
    <row r="23157" spans="6:15" x14ac:dyDescent="0.3">
      <c r="F23157" s="1"/>
      <c r="L23157" s="1"/>
    </row>
    <row r="23158" spans="6:15" x14ac:dyDescent="0.3">
      <c r="F23158" s="1"/>
    </row>
    <row r="23159" spans="6:15" x14ac:dyDescent="0.3">
      <c r="F23159" s="1"/>
    </row>
    <row r="23160" spans="6:15" x14ac:dyDescent="0.3">
      <c r="F23160" s="1"/>
    </row>
    <row r="23161" spans="6:15" x14ac:dyDescent="0.3">
      <c r="F23161" s="1"/>
      <c r="L23161" s="1"/>
      <c r="M23161" s="1"/>
      <c r="N23161" s="1"/>
      <c r="O23161" s="1"/>
    </row>
    <row r="23162" spans="6:15" x14ac:dyDescent="0.3">
      <c r="F23162" s="1"/>
    </row>
    <row r="23163" spans="6:15" x14ac:dyDescent="0.3">
      <c r="F23163" s="1"/>
    </row>
    <row r="23164" spans="6:15" x14ac:dyDescent="0.3">
      <c r="F23164" s="1"/>
    </row>
    <row r="23166" spans="6:15" x14ac:dyDescent="0.3">
      <c r="F23166" s="1"/>
    </row>
    <row r="23167" spans="6:15" x14ac:dyDescent="0.3">
      <c r="F23167" s="1"/>
    </row>
    <row r="23168" spans="6:15" x14ac:dyDescent="0.3">
      <c r="F23168" s="1"/>
    </row>
    <row r="23169" spans="6:6" x14ac:dyDescent="0.3">
      <c r="F23169" s="1"/>
    </row>
    <row r="23171" spans="6:6" x14ac:dyDescent="0.3">
      <c r="F23171" s="1"/>
    </row>
    <row r="23172" spans="6:6" x14ac:dyDescent="0.3">
      <c r="F23172" s="1"/>
    </row>
    <row r="23174" spans="6:6" x14ac:dyDescent="0.3">
      <c r="F23174" s="1"/>
    </row>
    <row r="23175" spans="6:6" x14ac:dyDescent="0.3">
      <c r="F23175" s="1"/>
    </row>
    <row r="23176" spans="6:6" x14ac:dyDescent="0.3">
      <c r="F23176" s="1"/>
    </row>
    <row r="23178" spans="6:6" x14ac:dyDescent="0.3">
      <c r="F23178" s="1"/>
    </row>
    <row r="23179" spans="6:6" x14ac:dyDescent="0.3">
      <c r="F23179" s="1"/>
    </row>
    <row r="23180" spans="6:6" x14ac:dyDescent="0.3">
      <c r="F23180" s="1"/>
    </row>
    <row r="23181" spans="6:6" x14ac:dyDescent="0.3">
      <c r="F23181" s="1"/>
    </row>
    <row r="23182" spans="6:6" x14ac:dyDescent="0.3">
      <c r="F23182" s="1"/>
    </row>
    <row r="23183" spans="6:6" x14ac:dyDescent="0.3">
      <c r="F23183" s="1"/>
    </row>
    <row r="23184" spans="6:6" x14ac:dyDescent="0.3">
      <c r="F23184" s="1"/>
    </row>
    <row r="23185" spans="6:15" x14ac:dyDescent="0.3">
      <c r="F23185" s="1"/>
    </row>
    <row r="23186" spans="6:15" x14ac:dyDescent="0.3">
      <c r="F23186" s="1"/>
      <c r="M23186" s="1"/>
    </row>
    <row r="23187" spans="6:15" x14ac:dyDescent="0.3">
      <c r="F23187" s="1"/>
    </row>
    <row r="23189" spans="6:15" x14ac:dyDescent="0.3">
      <c r="F23189" s="1"/>
    </row>
    <row r="23190" spans="6:15" x14ac:dyDescent="0.3">
      <c r="F23190" s="1"/>
    </row>
    <row r="23192" spans="6:15" x14ac:dyDescent="0.3">
      <c r="F23192" s="1"/>
    </row>
    <row r="23193" spans="6:15" x14ac:dyDescent="0.3">
      <c r="F23193" s="1"/>
    </row>
    <row r="23194" spans="6:15" x14ac:dyDescent="0.3">
      <c r="F23194" s="1"/>
    </row>
    <row r="23195" spans="6:15" x14ac:dyDescent="0.3">
      <c r="F23195" s="1"/>
    </row>
    <row r="23196" spans="6:15" x14ac:dyDescent="0.3">
      <c r="M23196" s="1"/>
      <c r="O23196" s="1"/>
    </row>
    <row r="23198" spans="6:15" x14ac:dyDescent="0.3">
      <c r="F23198" s="1"/>
    </row>
    <row r="23199" spans="6:15" x14ac:dyDescent="0.3">
      <c r="F23199" s="1"/>
    </row>
    <row r="23200" spans="6:15" x14ac:dyDescent="0.3">
      <c r="F23200" s="1"/>
    </row>
    <row r="23201" spans="6:14" x14ac:dyDescent="0.3">
      <c r="F23201" s="1"/>
    </row>
    <row r="23202" spans="6:14" x14ac:dyDescent="0.3">
      <c r="F23202" s="1"/>
    </row>
    <row r="23203" spans="6:14" x14ac:dyDescent="0.3">
      <c r="F23203" s="1"/>
    </row>
    <row r="23204" spans="6:14" x14ac:dyDescent="0.3">
      <c r="F23204" s="1"/>
    </row>
    <row r="23205" spans="6:14" x14ac:dyDescent="0.3">
      <c r="F23205" s="1"/>
    </row>
    <row r="23206" spans="6:14" x14ac:dyDescent="0.3">
      <c r="F23206" s="1"/>
    </row>
    <row r="23207" spans="6:14" x14ac:dyDescent="0.3">
      <c r="F23207" s="1"/>
    </row>
    <row r="23208" spans="6:14" x14ac:dyDescent="0.3">
      <c r="F23208" s="1"/>
    </row>
    <row r="23209" spans="6:14" x14ac:dyDescent="0.3">
      <c r="F23209" s="1"/>
    </row>
    <row r="23210" spans="6:14" x14ac:dyDescent="0.3">
      <c r="F23210" s="1"/>
    </row>
    <row r="23211" spans="6:14" x14ac:dyDescent="0.3">
      <c r="F23211" s="1"/>
    </row>
    <row r="23212" spans="6:14" x14ac:dyDescent="0.3">
      <c r="N23212" s="1"/>
    </row>
    <row r="23213" spans="6:14" x14ac:dyDescent="0.3">
      <c r="F23213" s="1"/>
    </row>
    <row r="23214" spans="6:14" x14ac:dyDescent="0.3">
      <c r="F23214" s="1"/>
      <c r="L23214" s="1"/>
      <c r="N23214" s="1"/>
    </row>
    <row r="23216" spans="6:14" x14ac:dyDescent="0.3">
      <c r="F23216" s="1"/>
    </row>
    <row r="23217" spans="6:15" x14ac:dyDescent="0.3">
      <c r="F23217" s="1"/>
    </row>
    <row r="23218" spans="6:15" x14ac:dyDescent="0.3">
      <c r="F23218" s="1"/>
    </row>
    <row r="23219" spans="6:15" x14ac:dyDescent="0.3">
      <c r="F23219" s="1"/>
    </row>
    <row r="23220" spans="6:15" x14ac:dyDescent="0.3">
      <c r="F23220" s="1"/>
    </row>
    <row r="23222" spans="6:15" x14ac:dyDescent="0.3">
      <c r="F23222" s="1"/>
    </row>
    <row r="23223" spans="6:15" x14ac:dyDescent="0.3">
      <c r="F23223" s="1"/>
    </row>
    <row r="23224" spans="6:15" x14ac:dyDescent="0.3">
      <c r="F23224" s="1"/>
    </row>
    <row r="23225" spans="6:15" x14ac:dyDescent="0.3">
      <c r="F23225" s="1"/>
    </row>
    <row r="23226" spans="6:15" x14ac:dyDescent="0.3">
      <c r="F23226" s="1"/>
    </row>
    <row r="23227" spans="6:15" x14ac:dyDescent="0.3">
      <c r="F23227" s="1"/>
    </row>
    <row r="23228" spans="6:15" x14ac:dyDescent="0.3">
      <c r="M23228" s="1"/>
      <c r="N23228" s="1"/>
      <c r="O23228" s="1"/>
    </row>
    <row r="23229" spans="6:15" x14ac:dyDescent="0.3">
      <c r="F23229" s="1"/>
      <c r="L23229" s="1"/>
    </row>
    <row r="23230" spans="6:15" x14ac:dyDescent="0.3">
      <c r="F23230" s="1"/>
    </row>
    <row r="23232" spans="6:15" x14ac:dyDescent="0.3">
      <c r="F23232" s="1"/>
    </row>
    <row r="23234" spans="6:15" x14ac:dyDescent="0.3">
      <c r="F23234" s="1"/>
    </row>
    <row r="23235" spans="6:15" x14ac:dyDescent="0.3">
      <c r="L23235" s="1"/>
    </row>
    <row r="23237" spans="6:15" x14ac:dyDescent="0.3">
      <c r="F23237" s="1"/>
    </row>
    <row r="23238" spans="6:15" x14ac:dyDescent="0.3">
      <c r="F23238" s="1"/>
    </row>
    <row r="23239" spans="6:15" x14ac:dyDescent="0.3">
      <c r="F23239" s="1"/>
    </row>
    <row r="23240" spans="6:15" x14ac:dyDescent="0.3">
      <c r="L23240" s="1"/>
      <c r="M23240" s="1"/>
      <c r="N23240" s="1"/>
      <c r="O23240" s="1"/>
    </row>
    <row r="23241" spans="6:15" x14ac:dyDescent="0.3">
      <c r="F23241" s="1"/>
    </row>
    <row r="23242" spans="6:15" x14ac:dyDescent="0.3">
      <c r="F23242" s="1"/>
    </row>
    <row r="23243" spans="6:15" x14ac:dyDescent="0.3">
      <c r="F23243" s="1"/>
      <c r="M23243" s="1"/>
    </row>
    <row r="23244" spans="6:15" x14ac:dyDescent="0.3">
      <c r="F23244" s="1"/>
    </row>
    <row r="23245" spans="6:15" x14ac:dyDescent="0.3">
      <c r="F23245" s="1"/>
    </row>
    <row r="23246" spans="6:15" x14ac:dyDescent="0.3">
      <c r="F23246" s="1"/>
    </row>
    <row r="23247" spans="6:15" x14ac:dyDescent="0.3">
      <c r="F23247" s="1"/>
    </row>
    <row r="23248" spans="6:15" x14ac:dyDescent="0.3">
      <c r="F23248" s="1"/>
    </row>
    <row r="23249" spans="6:15" x14ac:dyDescent="0.3">
      <c r="F23249" s="1"/>
    </row>
    <row r="23251" spans="6:15" x14ac:dyDescent="0.3">
      <c r="F23251" s="1"/>
    </row>
    <row r="23252" spans="6:15" x14ac:dyDescent="0.3">
      <c r="F23252" s="1"/>
    </row>
    <row r="23253" spans="6:15" x14ac:dyDescent="0.3">
      <c r="F23253" s="1"/>
    </row>
    <row r="23254" spans="6:15" x14ac:dyDescent="0.3">
      <c r="F23254" s="1"/>
    </row>
    <row r="23255" spans="6:15" x14ac:dyDescent="0.3">
      <c r="F23255" s="1"/>
    </row>
    <row r="23256" spans="6:15" x14ac:dyDescent="0.3">
      <c r="N23256" s="1"/>
    </row>
    <row r="23257" spans="6:15" x14ac:dyDescent="0.3">
      <c r="F23257" s="1"/>
    </row>
    <row r="23258" spans="6:15" x14ac:dyDescent="0.3">
      <c r="F23258" s="1"/>
    </row>
    <row r="23259" spans="6:15" x14ac:dyDescent="0.3">
      <c r="F23259" s="1"/>
    </row>
    <row r="23260" spans="6:15" x14ac:dyDescent="0.3">
      <c r="F23260" s="1"/>
      <c r="M23260" s="1"/>
      <c r="O23260" s="1"/>
    </row>
    <row r="23261" spans="6:15" x14ac:dyDescent="0.3">
      <c r="F23261" s="1"/>
    </row>
    <row r="23262" spans="6:15" x14ac:dyDescent="0.3">
      <c r="F23262" s="1"/>
    </row>
    <row r="23263" spans="6:15" x14ac:dyDescent="0.3">
      <c r="F23263" s="1"/>
    </row>
    <row r="23264" spans="6:15" x14ac:dyDescent="0.3">
      <c r="F23264" s="1"/>
    </row>
    <row r="23265" spans="6:14" x14ac:dyDescent="0.3">
      <c r="F23265" s="1"/>
    </row>
    <row r="23266" spans="6:14" x14ac:dyDescent="0.3">
      <c r="F23266" s="1"/>
    </row>
    <row r="23268" spans="6:14" x14ac:dyDescent="0.3">
      <c r="F23268" s="1"/>
      <c r="N23268" s="1"/>
    </row>
    <row r="23269" spans="6:14" x14ac:dyDescent="0.3">
      <c r="F23269" s="1"/>
    </row>
    <row r="23270" spans="6:14" x14ac:dyDescent="0.3">
      <c r="F23270" s="1"/>
    </row>
    <row r="23271" spans="6:14" x14ac:dyDescent="0.3">
      <c r="F23271" s="1"/>
    </row>
    <row r="23272" spans="6:14" x14ac:dyDescent="0.3">
      <c r="F23272" s="1"/>
    </row>
    <row r="23273" spans="6:14" x14ac:dyDescent="0.3">
      <c r="F23273" s="1"/>
    </row>
    <row r="23274" spans="6:14" x14ac:dyDescent="0.3">
      <c r="M23274" s="1"/>
    </row>
    <row r="23275" spans="6:14" x14ac:dyDescent="0.3">
      <c r="F23275" s="1"/>
    </row>
    <row r="23276" spans="6:14" x14ac:dyDescent="0.3">
      <c r="F23276" s="1"/>
    </row>
    <row r="23277" spans="6:14" x14ac:dyDescent="0.3">
      <c r="F23277" s="1"/>
    </row>
    <row r="23278" spans="6:14" x14ac:dyDescent="0.3">
      <c r="F23278" s="1"/>
    </row>
    <row r="23279" spans="6:14" x14ac:dyDescent="0.3">
      <c r="F23279" s="1"/>
    </row>
    <row r="23280" spans="6:14" x14ac:dyDescent="0.3">
      <c r="F23280" s="1"/>
    </row>
    <row r="23281" spans="6:13" x14ac:dyDescent="0.3">
      <c r="F23281" s="1"/>
    </row>
    <row r="23282" spans="6:13" x14ac:dyDescent="0.3">
      <c r="F23282" s="1"/>
    </row>
    <row r="23284" spans="6:13" x14ac:dyDescent="0.3">
      <c r="F23284" s="1"/>
    </row>
    <row r="23285" spans="6:13" x14ac:dyDescent="0.3">
      <c r="F23285" s="1"/>
    </row>
    <row r="23286" spans="6:13" x14ac:dyDescent="0.3">
      <c r="F23286" s="1"/>
    </row>
    <row r="23287" spans="6:13" x14ac:dyDescent="0.3">
      <c r="F23287" s="1"/>
    </row>
    <row r="23288" spans="6:13" x14ac:dyDescent="0.3">
      <c r="L23288" s="1"/>
      <c r="M23288" s="1"/>
    </row>
    <row r="23289" spans="6:13" x14ac:dyDescent="0.3">
      <c r="F23289" s="1"/>
    </row>
    <row r="23290" spans="6:13" x14ac:dyDescent="0.3">
      <c r="F23290" s="1"/>
    </row>
    <row r="23291" spans="6:13" x14ac:dyDescent="0.3">
      <c r="F23291" s="1"/>
    </row>
    <row r="23292" spans="6:13" x14ac:dyDescent="0.3">
      <c r="F23292" s="1"/>
    </row>
    <row r="23293" spans="6:13" x14ac:dyDescent="0.3">
      <c r="F23293" s="1"/>
    </row>
    <row r="23294" spans="6:13" x14ac:dyDescent="0.3">
      <c r="F23294" s="1"/>
    </row>
    <row r="23295" spans="6:13" x14ac:dyDescent="0.3">
      <c r="F23295" s="1"/>
      <c r="M23295" s="1"/>
    </row>
    <row r="23296" spans="6:13" x14ac:dyDescent="0.3">
      <c r="F23296" s="1"/>
    </row>
    <row r="23297" spans="6:14" x14ac:dyDescent="0.3">
      <c r="F23297" s="1"/>
    </row>
    <row r="23298" spans="6:14" x14ac:dyDescent="0.3">
      <c r="F23298" s="1"/>
    </row>
    <row r="23299" spans="6:14" x14ac:dyDescent="0.3">
      <c r="F23299" s="1"/>
    </row>
    <row r="23300" spans="6:14" x14ac:dyDescent="0.3">
      <c r="F23300" s="1"/>
    </row>
    <row r="23302" spans="6:14" x14ac:dyDescent="0.3">
      <c r="F23302" s="1"/>
    </row>
    <row r="23304" spans="6:14" x14ac:dyDescent="0.3">
      <c r="F23304" s="1"/>
    </row>
    <row r="23306" spans="6:14" x14ac:dyDescent="0.3">
      <c r="F23306" s="1"/>
    </row>
    <row r="23307" spans="6:14" x14ac:dyDescent="0.3">
      <c r="F23307" s="1"/>
      <c r="N23307" s="1"/>
    </row>
    <row r="23308" spans="6:14" x14ac:dyDescent="0.3">
      <c r="F23308" s="1"/>
    </row>
    <row r="23309" spans="6:14" x14ac:dyDescent="0.3">
      <c r="F23309" s="1"/>
    </row>
    <row r="23310" spans="6:14" x14ac:dyDescent="0.3">
      <c r="F23310" s="1"/>
    </row>
    <row r="23311" spans="6:14" x14ac:dyDescent="0.3">
      <c r="F23311" s="1"/>
    </row>
    <row r="23313" spans="6:6" x14ac:dyDescent="0.3">
      <c r="F23313" s="1"/>
    </row>
    <row r="23314" spans="6:6" x14ac:dyDescent="0.3">
      <c r="F23314" s="1"/>
    </row>
    <row r="23315" spans="6:6" x14ac:dyDescent="0.3">
      <c r="F23315" s="1"/>
    </row>
    <row r="23316" spans="6:6" x14ac:dyDescent="0.3">
      <c r="F23316" s="1"/>
    </row>
    <row r="23317" spans="6:6" x14ac:dyDescent="0.3">
      <c r="F23317" s="1"/>
    </row>
    <row r="23318" spans="6:6" x14ac:dyDescent="0.3">
      <c r="F23318" s="1"/>
    </row>
    <row r="23319" spans="6:6" x14ac:dyDescent="0.3">
      <c r="F23319" s="1"/>
    </row>
    <row r="23320" spans="6:6" x14ac:dyDescent="0.3">
      <c r="F23320" s="1"/>
    </row>
    <row r="23322" spans="6:6" x14ac:dyDescent="0.3">
      <c r="F23322" s="1"/>
    </row>
    <row r="23323" spans="6:6" x14ac:dyDescent="0.3">
      <c r="F23323" s="1"/>
    </row>
    <row r="23325" spans="6:6" x14ac:dyDescent="0.3">
      <c r="F23325" s="1"/>
    </row>
    <row r="23326" spans="6:6" x14ac:dyDescent="0.3">
      <c r="F23326" s="1"/>
    </row>
    <row r="23328" spans="6:6" x14ac:dyDescent="0.3">
      <c r="F23328" s="1"/>
    </row>
    <row r="23331" spans="6:13" x14ac:dyDescent="0.3">
      <c r="F23331" s="1"/>
    </row>
    <row r="23332" spans="6:13" x14ac:dyDescent="0.3">
      <c r="F23332" s="1"/>
    </row>
    <row r="23333" spans="6:13" x14ac:dyDescent="0.3">
      <c r="F23333" s="1"/>
    </row>
    <row r="23334" spans="6:13" x14ac:dyDescent="0.3">
      <c r="F23334" s="1"/>
    </row>
    <row r="23335" spans="6:13" x14ac:dyDescent="0.3">
      <c r="F23335" s="1"/>
    </row>
    <row r="23336" spans="6:13" x14ac:dyDescent="0.3">
      <c r="F23336" s="1"/>
    </row>
    <row r="23337" spans="6:13" x14ac:dyDescent="0.3">
      <c r="F23337" s="1"/>
      <c r="M23337" s="1"/>
    </row>
    <row r="23338" spans="6:13" x14ac:dyDescent="0.3">
      <c r="F23338" s="1"/>
    </row>
    <row r="23339" spans="6:13" x14ac:dyDescent="0.3">
      <c r="F23339" s="1"/>
    </row>
    <row r="23340" spans="6:13" x14ac:dyDescent="0.3">
      <c r="F23340" s="1"/>
    </row>
    <row r="23341" spans="6:13" x14ac:dyDescent="0.3">
      <c r="F23341" s="1"/>
    </row>
    <row r="23342" spans="6:13" x14ac:dyDescent="0.3">
      <c r="F23342" s="1"/>
    </row>
    <row r="23344" spans="6:13" x14ac:dyDescent="0.3">
      <c r="F23344" s="1"/>
    </row>
    <row r="23345" spans="6:15" x14ac:dyDescent="0.3">
      <c r="F23345" s="1"/>
    </row>
    <row r="23346" spans="6:15" x14ac:dyDescent="0.3">
      <c r="F23346" s="1"/>
    </row>
    <row r="23347" spans="6:15" x14ac:dyDescent="0.3">
      <c r="L23347" s="1"/>
    </row>
    <row r="23348" spans="6:15" x14ac:dyDescent="0.3">
      <c r="F23348" s="1"/>
    </row>
    <row r="23349" spans="6:15" x14ac:dyDescent="0.3">
      <c r="F23349" s="1"/>
      <c r="L23349" s="1"/>
      <c r="M23349" s="1"/>
      <c r="N23349" s="1"/>
    </row>
    <row r="23350" spans="6:15" x14ac:dyDescent="0.3">
      <c r="F23350" s="1"/>
    </row>
    <row r="23351" spans="6:15" x14ac:dyDescent="0.3">
      <c r="N23351" s="1"/>
    </row>
    <row r="23352" spans="6:15" x14ac:dyDescent="0.3">
      <c r="F23352" s="1"/>
    </row>
    <row r="23353" spans="6:15" x14ac:dyDescent="0.3">
      <c r="F23353" s="1"/>
    </row>
    <row r="23354" spans="6:15" x14ac:dyDescent="0.3">
      <c r="F23354" s="1"/>
    </row>
    <row r="23355" spans="6:15" x14ac:dyDescent="0.3">
      <c r="F23355" s="1"/>
    </row>
    <row r="23357" spans="6:15" x14ac:dyDescent="0.3">
      <c r="F23357" s="1"/>
    </row>
    <row r="23358" spans="6:15" x14ac:dyDescent="0.3">
      <c r="F23358" s="1"/>
    </row>
    <row r="23359" spans="6:15" x14ac:dyDescent="0.3">
      <c r="F23359" s="1"/>
      <c r="M23359" s="1"/>
      <c r="N23359" s="1"/>
    </row>
    <row r="23360" spans="6:15" x14ac:dyDescent="0.3">
      <c r="F23360" s="1"/>
      <c r="L23360" s="1"/>
      <c r="M23360" s="1"/>
      <c r="N23360" s="1"/>
      <c r="O23360" s="1"/>
    </row>
    <row r="23361" spans="6:6" x14ac:dyDescent="0.3">
      <c r="F23361" s="1"/>
    </row>
    <row r="23362" spans="6:6" x14ac:dyDescent="0.3">
      <c r="F23362" s="1"/>
    </row>
    <row r="23363" spans="6:6" x14ac:dyDescent="0.3">
      <c r="F23363" s="1"/>
    </row>
    <row r="23364" spans="6:6" x14ac:dyDescent="0.3">
      <c r="F23364" s="1"/>
    </row>
    <row r="23365" spans="6:6" x14ac:dyDescent="0.3">
      <c r="F23365" s="1"/>
    </row>
    <row r="23367" spans="6:6" x14ac:dyDescent="0.3">
      <c r="F23367" s="1"/>
    </row>
    <row r="23368" spans="6:6" x14ac:dyDescent="0.3">
      <c r="F23368" s="1"/>
    </row>
    <row r="23369" spans="6:6" x14ac:dyDescent="0.3">
      <c r="F23369" s="1"/>
    </row>
    <row r="23370" spans="6:6" x14ac:dyDescent="0.3">
      <c r="F23370" s="1"/>
    </row>
    <row r="23371" spans="6:6" x14ac:dyDescent="0.3">
      <c r="F23371" s="1"/>
    </row>
    <row r="23372" spans="6:6" x14ac:dyDescent="0.3">
      <c r="F23372" s="1"/>
    </row>
    <row r="23373" spans="6:6" x14ac:dyDescent="0.3">
      <c r="F23373" s="1"/>
    </row>
    <row r="23374" spans="6:6" x14ac:dyDescent="0.3">
      <c r="F23374" s="1"/>
    </row>
    <row r="23375" spans="6:6" x14ac:dyDescent="0.3">
      <c r="F23375" s="1"/>
    </row>
    <row r="23376" spans="6:6" x14ac:dyDescent="0.3">
      <c r="F23376" s="1"/>
    </row>
    <row r="23377" spans="6:12" x14ac:dyDescent="0.3">
      <c r="F23377" s="1"/>
    </row>
    <row r="23378" spans="6:12" x14ac:dyDescent="0.3">
      <c r="F23378" s="1"/>
    </row>
    <row r="23379" spans="6:12" x14ac:dyDescent="0.3">
      <c r="F23379" s="1"/>
    </row>
    <row r="23380" spans="6:12" x14ac:dyDescent="0.3">
      <c r="F23380" s="1"/>
      <c r="L23380" s="1"/>
    </row>
    <row r="23381" spans="6:12" x14ac:dyDescent="0.3">
      <c r="F23381" s="1"/>
    </row>
    <row r="23382" spans="6:12" x14ac:dyDescent="0.3">
      <c r="F23382" s="1"/>
    </row>
    <row r="23383" spans="6:12" x14ac:dyDescent="0.3">
      <c r="F23383" s="1"/>
    </row>
    <row r="23384" spans="6:12" x14ac:dyDescent="0.3">
      <c r="F23384" s="1"/>
    </row>
    <row r="23385" spans="6:12" x14ac:dyDescent="0.3">
      <c r="F23385" s="1"/>
    </row>
    <row r="23386" spans="6:12" x14ac:dyDescent="0.3">
      <c r="F23386" s="1"/>
    </row>
    <row r="23387" spans="6:12" x14ac:dyDescent="0.3">
      <c r="F23387" s="1"/>
    </row>
    <row r="23388" spans="6:12" x14ac:dyDescent="0.3">
      <c r="F23388" s="1"/>
    </row>
    <row r="23389" spans="6:12" x14ac:dyDescent="0.3">
      <c r="F23389" s="1"/>
    </row>
    <row r="23390" spans="6:12" x14ac:dyDescent="0.3">
      <c r="F23390" s="1"/>
    </row>
    <row r="23391" spans="6:12" x14ac:dyDescent="0.3">
      <c r="F23391" s="1"/>
    </row>
    <row r="23392" spans="6:12" x14ac:dyDescent="0.3">
      <c r="F23392" s="1"/>
    </row>
    <row r="23393" spans="6:15" x14ac:dyDescent="0.3">
      <c r="F23393" s="1"/>
    </row>
    <row r="23394" spans="6:15" x14ac:dyDescent="0.3">
      <c r="F23394" s="1"/>
    </row>
    <row r="23396" spans="6:15" x14ac:dyDescent="0.3">
      <c r="F23396" s="1"/>
      <c r="O23396" s="1"/>
    </row>
    <row r="23398" spans="6:15" x14ac:dyDescent="0.3">
      <c r="F23398" s="1"/>
    </row>
    <row r="23399" spans="6:15" x14ac:dyDescent="0.3">
      <c r="F23399" s="1"/>
    </row>
    <row r="23400" spans="6:15" x14ac:dyDescent="0.3">
      <c r="F23400" s="1"/>
      <c r="N23400" s="1"/>
      <c r="O23400" s="1"/>
    </row>
    <row r="23401" spans="6:15" x14ac:dyDescent="0.3">
      <c r="F23401" s="1"/>
    </row>
    <row r="23402" spans="6:15" x14ac:dyDescent="0.3">
      <c r="L23402" s="1"/>
      <c r="N23402" s="1"/>
      <c r="O23402" s="1"/>
    </row>
    <row r="23404" spans="6:15" x14ac:dyDescent="0.3">
      <c r="M23404" s="1"/>
      <c r="O23404" s="1"/>
    </row>
    <row r="23405" spans="6:15" x14ac:dyDescent="0.3">
      <c r="F23405" s="1"/>
    </row>
    <row r="23406" spans="6:15" x14ac:dyDescent="0.3">
      <c r="F23406" s="1"/>
    </row>
    <row r="23408" spans="6:15" x14ac:dyDescent="0.3">
      <c r="F23408" s="1"/>
    </row>
    <row r="23410" spans="6:14" x14ac:dyDescent="0.3">
      <c r="F23410" s="1"/>
      <c r="L23410" s="1"/>
    </row>
    <row r="23411" spans="6:14" x14ac:dyDescent="0.3">
      <c r="F23411" s="1"/>
    </row>
    <row r="23412" spans="6:14" x14ac:dyDescent="0.3">
      <c r="F23412" s="1"/>
    </row>
    <row r="23414" spans="6:14" x14ac:dyDescent="0.3">
      <c r="F23414" s="1"/>
    </row>
    <row r="23415" spans="6:14" x14ac:dyDescent="0.3">
      <c r="F23415" s="1"/>
      <c r="M23415" s="1"/>
    </row>
    <row r="23416" spans="6:14" x14ac:dyDescent="0.3">
      <c r="F23416" s="1"/>
    </row>
    <row r="23417" spans="6:14" x14ac:dyDescent="0.3">
      <c r="F23417" s="1"/>
    </row>
    <row r="23418" spans="6:14" x14ac:dyDescent="0.3">
      <c r="F23418" s="1"/>
    </row>
    <row r="23419" spans="6:14" x14ac:dyDescent="0.3">
      <c r="F23419" s="1"/>
    </row>
    <row r="23420" spans="6:14" x14ac:dyDescent="0.3">
      <c r="F23420" s="1"/>
    </row>
    <row r="23421" spans="6:14" x14ac:dyDescent="0.3">
      <c r="F23421" s="1"/>
    </row>
    <row r="23422" spans="6:14" x14ac:dyDescent="0.3">
      <c r="F23422" s="1"/>
    </row>
    <row r="23423" spans="6:14" x14ac:dyDescent="0.3">
      <c r="F23423" s="1"/>
      <c r="N23423" s="1"/>
    </row>
    <row r="23424" spans="6:14" x14ac:dyDescent="0.3">
      <c r="F23424" s="1"/>
    </row>
    <row r="23425" spans="6:15" x14ac:dyDescent="0.3">
      <c r="F23425" s="1"/>
    </row>
    <row r="23427" spans="6:15" x14ac:dyDescent="0.3">
      <c r="F23427" s="1"/>
    </row>
    <row r="23428" spans="6:15" x14ac:dyDescent="0.3">
      <c r="F23428" s="1"/>
    </row>
    <row r="23429" spans="6:15" x14ac:dyDescent="0.3">
      <c r="F23429" s="1"/>
    </row>
    <row r="23430" spans="6:15" x14ac:dyDescent="0.3">
      <c r="F23430" s="1"/>
    </row>
    <row r="23431" spans="6:15" x14ac:dyDescent="0.3">
      <c r="F23431" s="1"/>
    </row>
    <row r="23432" spans="6:15" x14ac:dyDescent="0.3">
      <c r="F23432" s="1"/>
    </row>
    <row r="23433" spans="6:15" x14ac:dyDescent="0.3">
      <c r="F23433" s="1"/>
    </row>
    <row r="23434" spans="6:15" x14ac:dyDescent="0.3">
      <c r="F23434" s="1"/>
    </row>
    <row r="23435" spans="6:15" x14ac:dyDescent="0.3">
      <c r="F23435" s="1"/>
    </row>
    <row r="23436" spans="6:15" x14ac:dyDescent="0.3">
      <c r="F23436" s="1"/>
      <c r="L23436" s="1"/>
      <c r="N23436" s="1"/>
      <c r="O23436" s="1"/>
    </row>
    <row r="23437" spans="6:15" x14ac:dyDescent="0.3">
      <c r="F23437" s="1"/>
    </row>
    <row r="23438" spans="6:15" x14ac:dyDescent="0.3">
      <c r="L23438" s="1"/>
      <c r="N23438" s="1"/>
    </row>
    <row r="23439" spans="6:15" x14ac:dyDescent="0.3">
      <c r="F23439" s="1"/>
      <c r="L23439" s="1"/>
      <c r="M23439" s="1"/>
      <c r="O23439" s="1"/>
    </row>
    <row r="23440" spans="6:15" x14ac:dyDescent="0.3">
      <c r="F23440" s="1"/>
    </row>
    <row r="23442" spans="6:13" x14ac:dyDescent="0.3">
      <c r="F23442" s="1"/>
    </row>
    <row r="23443" spans="6:13" x14ac:dyDescent="0.3">
      <c r="F23443" s="1"/>
    </row>
    <row r="23445" spans="6:13" x14ac:dyDescent="0.3">
      <c r="F23445" s="1"/>
    </row>
    <row r="23446" spans="6:13" x14ac:dyDescent="0.3">
      <c r="F23446" s="1"/>
    </row>
    <row r="23447" spans="6:13" x14ac:dyDescent="0.3">
      <c r="F23447" s="1"/>
    </row>
    <row r="23450" spans="6:13" x14ac:dyDescent="0.3">
      <c r="F23450" s="1"/>
    </row>
    <row r="23451" spans="6:13" x14ac:dyDescent="0.3">
      <c r="F23451" s="1"/>
    </row>
    <row r="23452" spans="6:13" x14ac:dyDescent="0.3">
      <c r="F23452" s="1"/>
    </row>
    <row r="23453" spans="6:13" x14ac:dyDescent="0.3">
      <c r="F23453" s="1"/>
    </row>
    <row r="23454" spans="6:13" x14ac:dyDescent="0.3">
      <c r="F23454" s="1"/>
    </row>
    <row r="23455" spans="6:13" x14ac:dyDescent="0.3">
      <c r="F23455" s="1"/>
      <c r="M23455" s="1"/>
    </row>
    <row r="23456" spans="6:13" x14ac:dyDescent="0.3">
      <c r="F23456" s="1"/>
    </row>
    <row r="23457" spans="6:15" x14ac:dyDescent="0.3">
      <c r="F23457" s="1"/>
    </row>
    <row r="23458" spans="6:15" x14ac:dyDescent="0.3">
      <c r="F23458" s="1"/>
    </row>
    <row r="23459" spans="6:15" x14ac:dyDescent="0.3">
      <c r="F23459" s="1"/>
    </row>
    <row r="23460" spans="6:15" x14ac:dyDescent="0.3">
      <c r="F23460" s="1"/>
    </row>
    <row r="23461" spans="6:15" x14ac:dyDescent="0.3">
      <c r="M23461" s="1"/>
      <c r="N23461" s="1"/>
      <c r="O23461" s="1"/>
    </row>
    <row r="23463" spans="6:15" x14ac:dyDescent="0.3">
      <c r="F23463" s="1"/>
    </row>
    <row r="23464" spans="6:15" x14ac:dyDescent="0.3">
      <c r="F23464" s="1"/>
    </row>
    <row r="23465" spans="6:15" x14ac:dyDescent="0.3">
      <c r="F23465" s="1"/>
      <c r="L23465" s="1"/>
    </row>
    <row r="23466" spans="6:15" x14ac:dyDescent="0.3">
      <c r="F23466" s="1"/>
    </row>
    <row r="23467" spans="6:15" x14ac:dyDescent="0.3">
      <c r="F23467" s="1"/>
    </row>
    <row r="23468" spans="6:15" x14ac:dyDescent="0.3">
      <c r="F23468" s="1"/>
    </row>
    <row r="23469" spans="6:15" x14ac:dyDescent="0.3">
      <c r="F23469" s="1"/>
    </row>
    <row r="23470" spans="6:15" x14ac:dyDescent="0.3">
      <c r="F23470" s="1"/>
    </row>
    <row r="23471" spans="6:15" x14ac:dyDescent="0.3">
      <c r="F23471" s="1"/>
      <c r="L23471" s="1"/>
    </row>
    <row r="23472" spans="6:15" x14ac:dyDescent="0.3">
      <c r="F23472" s="1"/>
    </row>
    <row r="23473" spans="6:15" x14ac:dyDescent="0.3">
      <c r="F23473" s="1"/>
    </row>
    <row r="23474" spans="6:15" x14ac:dyDescent="0.3">
      <c r="L23474" s="1"/>
      <c r="M23474" s="1"/>
      <c r="O23474" s="1"/>
    </row>
    <row r="23476" spans="6:15" x14ac:dyDescent="0.3">
      <c r="F23476" s="1"/>
    </row>
    <row r="23477" spans="6:15" x14ac:dyDescent="0.3">
      <c r="F23477" s="1"/>
    </row>
    <row r="23478" spans="6:15" x14ac:dyDescent="0.3">
      <c r="F23478" s="1"/>
    </row>
    <row r="23479" spans="6:15" x14ac:dyDescent="0.3">
      <c r="F23479" s="1"/>
    </row>
    <row r="23480" spans="6:15" x14ac:dyDescent="0.3">
      <c r="F23480" s="1"/>
    </row>
    <row r="23481" spans="6:15" x14ac:dyDescent="0.3">
      <c r="F23481" s="1"/>
    </row>
    <row r="23482" spans="6:15" x14ac:dyDescent="0.3">
      <c r="F23482" s="1"/>
    </row>
    <row r="23483" spans="6:15" x14ac:dyDescent="0.3">
      <c r="F23483" s="1"/>
    </row>
    <row r="23484" spans="6:15" x14ac:dyDescent="0.3">
      <c r="F23484" s="1"/>
    </row>
    <row r="23485" spans="6:15" x14ac:dyDescent="0.3">
      <c r="F23485" s="1"/>
    </row>
    <row r="23486" spans="6:15" x14ac:dyDescent="0.3">
      <c r="F23486" s="1"/>
      <c r="L23486" s="1"/>
      <c r="N23486" s="1"/>
      <c r="O23486" s="1"/>
    </row>
    <row r="23487" spans="6:15" x14ac:dyDescent="0.3">
      <c r="F23487" s="1"/>
    </row>
    <row r="23488" spans="6:15" x14ac:dyDescent="0.3">
      <c r="F23488" s="1"/>
    </row>
    <row r="23489" spans="6:13" x14ac:dyDescent="0.3">
      <c r="F23489" s="1"/>
    </row>
    <row r="23490" spans="6:13" x14ac:dyDescent="0.3">
      <c r="L23490" s="1"/>
      <c r="M23490" s="1"/>
    </row>
    <row r="23491" spans="6:13" x14ac:dyDescent="0.3">
      <c r="F23491" s="1"/>
    </row>
    <row r="23492" spans="6:13" x14ac:dyDescent="0.3">
      <c r="F23492" s="1"/>
    </row>
    <row r="23493" spans="6:13" x14ac:dyDescent="0.3">
      <c r="F23493" s="1"/>
    </row>
    <row r="23494" spans="6:13" x14ac:dyDescent="0.3">
      <c r="F23494" s="1"/>
    </row>
    <row r="23496" spans="6:13" x14ac:dyDescent="0.3">
      <c r="F23496" s="1"/>
    </row>
    <row r="23497" spans="6:13" x14ac:dyDescent="0.3">
      <c r="F23497" s="1"/>
    </row>
    <row r="23499" spans="6:13" x14ac:dyDescent="0.3">
      <c r="F23499" s="1"/>
    </row>
    <row r="23500" spans="6:13" x14ac:dyDescent="0.3">
      <c r="M23500" s="1"/>
    </row>
    <row r="23501" spans="6:13" x14ac:dyDescent="0.3">
      <c r="F23501" s="1"/>
    </row>
    <row r="23502" spans="6:13" x14ac:dyDescent="0.3">
      <c r="F23502" s="1"/>
    </row>
    <row r="23503" spans="6:13" x14ac:dyDescent="0.3">
      <c r="F23503" s="1"/>
    </row>
    <row r="23504" spans="6:13" x14ac:dyDescent="0.3">
      <c r="F23504" s="1"/>
    </row>
    <row r="23505" spans="6:6" x14ac:dyDescent="0.3">
      <c r="F23505" s="1"/>
    </row>
    <row r="23506" spans="6:6" x14ac:dyDescent="0.3">
      <c r="F23506" s="1"/>
    </row>
    <row r="23507" spans="6:6" x14ac:dyDescent="0.3">
      <c r="F23507" s="1"/>
    </row>
    <row r="23508" spans="6:6" x14ac:dyDescent="0.3">
      <c r="F23508" s="1"/>
    </row>
    <row r="23509" spans="6:6" x14ac:dyDescent="0.3">
      <c r="F23509" s="1"/>
    </row>
    <row r="23510" spans="6:6" x14ac:dyDescent="0.3">
      <c r="F23510" s="1"/>
    </row>
    <row r="23511" spans="6:6" x14ac:dyDescent="0.3">
      <c r="F23511" s="1"/>
    </row>
    <row r="23512" spans="6:6" x14ac:dyDescent="0.3">
      <c r="F23512" s="1"/>
    </row>
    <row r="23513" spans="6:6" x14ac:dyDescent="0.3">
      <c r="F23513" s="1"/>
    </row>
    <row r="23514" spans="6:6" x14ac:dyDescent="0.3">
      <c r="F23514" s="1"/>
    </row>
    <row r="23515" spans="6:6" x14ac:dyDescent="0.3">
      <c r="F23515" s="1"/>
    </row>
    <row r="23516" spans="6:6" x14ac:dyDescent="0.3">
      <c r="F23516" s="1"/>
    </row>
    <row r="23517" spans="6:6" x14ac:dyDescent="0.3">
      <c r="F23517" s="1"/>
    </row>
    <row r="23520" spans="6:6" x14ac:dyDescent="0.3">
      <c r="F23520" s="1"/>
    </row>
    <row r="23521" spans="6:15" x14ac:dyDescent="0.3">
      <c r="F23521" s="1"/>
    </row>
    <row r="23522" spans="6:15" x14ac:dyDescent="0.3">
      <c r="F23522" s="1"/>
    </row>
    <row r="23523" spans="6:15" x14ac:dyDescent="0.3">
      <c r="L23523" s="1"/>
      <c r="O23523" s="1"/>
    </row>
    <row r="23524" spans="6:15" x14ac:dyDescent="0.3">
      <c r="F23524" s="1"/>
    </row>
    <row r="23525" spans="6:15" x14ac:dyDescent="0.3">
      <c r="F23525" s="1"/>
    </row>
    <row r="23526" spans="6:15" x14ac:dyDescent="0.3">
      <c r="F23526" s="1"/>
    </row>
    <row r="23528" spans="6:15" x14ac:dyDescent="0.3">
      <c r="F23528" s="1"/>
      <c r="N23528" s="1"/>
    </row>
    <row r="23529" spans="6:15" x14ac:dyDescent="0.3">
      <c r="M23529" s="1"/>
      <c r="O23529" s="1"/>
    </row>
    <row r="23530" spans="6:15" x14ac:dyDescent="0.3">
      <c r="F23530" s="1"/>
    </row>
    <row r="23531" spans="6:15" x14ac:dyDescent="0.3">
      <c r="F23531" s="1"/>
    </row>
    <row r="23532" spans="6:15" x14ac:dyDescent="0.3">
      <c r="F23532" s="1"/>
    </row>
    <row r="23533" spans="6:15" x14ac:dyDescent="0.3">
      <c r="F23533" s="1"/>
    </row>
    <row r="23534" spans="6:15" x14ac:dyDescent="0.3">
      <c r="F23534" s="1"/>
    </row>
    <row r="23536" spans="6:15" x14ac:dyDescent="0.3">
      <c r="F23536" s="1"/>
    </row>
    <row r="23537" spans="6:13" x14ac:dyDescent="0.3">
      <c r="F23537" s="1"/>
    </row>
    <row r="23538" spans="6:13" x14ac:dyDescent="0.3">
      <c r="F23538" s="1"/>
    </row>
    <row r="23540" spans="6:13" x14ac:dyDescent="0.3">
      <c r="F23540" s="1"/>
    </row>
    <row r="23541" spans="6:13" x14ac:dyDescent="0.3">
      <c r="F23541" s="1"/>
    </row>
    <row r="23542" spans="6:13" x14ac:dyDescent="0.3">
      <c r="F23542" s="1"/>
    </row>
    <row r="23544" spans="6:13" x14ac:dyDescent="0.3">
      <c r="F23544" s="1"/>
      <c r="L23544" s="1"/>
    </row>
    <row r="23546" spans="6:13" x14ac:dyDescent="0.3">
      <c r="F23546" s="1"/>
    </row>
    <row r="23547" spans="6:13" x14ac:dyDescent="0.3">
      <c r="F23547" s="1"/>
      <c r="M23547" s="1"/>
    </row>
    <row r="23548" spans="6:13" x14ac:dyDescent="0.3">
      <c r="F23548" s="1"/>
    </row>
    <row r="23549" spans="6:13" x14ac:dyDescent="0.3">
      <c r="F23549" s="1"/>
    </row>
    <row r="23550" spans="6:13" x14ac:dyDescent="0.3">
      <c r="F23550" s="1"/>
    </row>
    <row r="23551" spans="6:13" x14ac:dyDescent="0.3">
      <c r="F23551" s="1"/>
    </row>
    <row r="23552" spans="6:13" x14ac:dyDescent="0.3">
      <c r="F23552" s="1"/>
    </row>
    <row r="23553" spans="6:6" x14ac:dyDescent="0.3">
      <c r="F23553" s="1"/>
    </row>
    <row r="23554" spans="6:6" x14ac:dyDescent="0.3">
      <c r="F23554" s="1"/>
    </row>
    <row r="23555" spans="6:6" x14ac:dyDescent="0.3">
      <c r="F23555" s="1"/>
    </row>
    <row r="23557" spans="6:6" x14ac:dyDescent="0.3">
      <c r="F23557" s="1"/>
    </row>
    <row r="23558" spans="6:6" x14ac:dyDescent="0.3">
      <c r="F23558" s="1"/>
    </row>
    <row r="23559" spans="6:6" x14ac:dyDescent="0.3">
      <c r="F23559" s="1"/>
    </row>
    <row r="23560" spans="6:6" x14ac:dyDescent="0.3">
      <c r="F23560" s="1"/>
    </row>
    <row r="23561" spans="6:6" x14ac:dyDescent="0.3">
      <c r="F23561" s="1"/>
    </row>
    <row r="23563" spans="6:6" x14ac:dyDescent="0.3">
      <c r="F23563" s="1"/>
    </row>
    <row r="23564" spans="6:6" x14ac:dyDescent="0.3">
      <c r="F23564" s="1"/>
    </row>
    <row r="23565" spans="6:6" x14ac:dyDescent="0.3">
      <c r="F23565" s="1"/>
    </row>
    <row r="23566" spans="6:6" x14ac:dyDescent="0.3">
      <c r="F23566" s="1"/>
    </row>
    <row r="23567" spans="6:6" x14ac:dyDescent="0.3">
      <c r="F23567" s="1"/>
    </row>
    <row r="23568" spans="6:6" x14ac:dyDescent="0.3">
      <c r="F23568" s="1"/>
    </row>
    <row r="23569" spans="6:14" x14ac:dyDescent="0.3">
      <c r="F23569" s="1"/>
    </row>
    <row r="23570" spans="6:14" x14ac:dyDescent="0.3">
      <c r="F23570" s="1"/>
    </row>
    <row r="23571" spans="6:14" x14ac:dyDescent="0.3">
      <c r="F23571" s="1"/>
    </row>
    <row r="23573" spans="6:14" x14ac:dyDescent="0.3">
      <c r="M23573" s="1"/>
    </row>
    <row r="23574" spans="6:14" x14ac:dyDescent="0.3">
      <c r="F23574" s="1"/>
    </row>
    <row r="23575" spans="6:14" x14ac:dyDescent="0.3">
      <c r="F23575" s="1"/>
      <c r="L23575" s="1"/>
      <c r="M23575" s="1"/>
    </row>
    <row r="23576" spans="6:14" x14ac:dyDescent="0.3">
      <c r="F23576" s="1"/>
    </row>
    <row r="23577" spans="6:14" x14ac:dyDescent="0.3">
      <c r="F23577" s="1"/>
    </row>
    <row r="23578" spans="6:14" x14ac:dyDescent="0.3">
      <c r="F23578" s="1"/>
    </row>
    <row r="23579" spans="6:14" x14ac:dyDescent="0.3">
      <c r="F23579" s="1"/>
    </row>
    <row r="23580" spans="6:14" x14ac:dyDescent="0.3">
      <c r="F23580" s="1"/>
    </row>
    <row r="23582" spans="6:14" x14ac:dyDescent="0.3">
      <c r="F23582" s="1"/>
    </row>
    <row r="23583" spans="6:14" x14ac:dyDescent="0.3">
      <c r="F23583" s="1"/>
      <c r="N23583" s="1"/>
    </row>
    <row r="23584" spans="6:14" x14ac:dyDescent="0.3">
      <c r="F23584" s="1"/>
    </row>
    <row r="23585" spans="6:14" x14ac:dyDescent="0.3">
      <c r="F23585" s="1"/>
    </row>
    <row r="23586" spans="6:14" x14ac:dyDescent="0.3">
      <c r="F23586" s="1"/>
    </row>
    <row r="23587" spans="6:14" x14ac:dyDescent="0.3">
      <c r="F23587" s="1"/>
    </row>
    <row r="23588" spans="6:14" x14ac:dyDescent="0.3">
      <c r="F23588" s="1"/>
    </row>
    <row r="23589" spans="6:14" x14ac:dyDescent="0.3">
      <c r="F23589" s="1"/>
    </row>
    <row r="23590" spans="6:14" x14ac:dyDescent="0.3">
      <c r="L23590" s="1"/>
      <c r="N23590" s="1"/>
    </row>
    <row r="23592" spans="6:14" x14ac:dyDescent="0.3">
      <c r="F23592" s="1"/>
    </row>
    <row r="23593" spans="6:14" x14ac:dyDescent="0.3">
      <c r="F23593" s="1"/>
    </row>
    <row r="23594" spans="6:14" x14ac:dyDescent="0.3">
      <c r="F23594" s="1"/>
    </row>
    <row r="23595" spans="6:14" x14ac:dyDescent="0.3">
      <c r="F23595" s="1"/>
      <c r="M23595" s="1"/>
    </row>
    <row r="23596" spans="6:14" x14ac:dyDescent="0.3">
      <c r="F23596" s="1"/>
    </row>
    <row r="23597" spans="6:14" x14ac:dyDescent="0.3">
      <c r="M23597" s="1"/>
      <c r="N23597" s="1"/>
    </row>
    <row r="23598" spans="6:14" x14ac:dyDescent="0.3">
      <c r="F23598" s="1"/>
    </row>
    <row r="23599" spans="6:14" x14ac:dyDescent="0.3">
      <c r="F23599" s="1"/>
    </row>
    <row r="23600" spans="6:14" x14ac:dyDescent="0.3">
      <c r="F23600" s="1"/>
    </row>
    <row r="23601" spans="6:14" x14ac:dyDescent="0.3">
      <c r="F23601" s="1"/>
    </row>
    <row r="23602" spans="6:14" x14ac:dyDescent="0.3">
      <c r="F23602" s="1"/>
    </row>
    <row r="23603" spans="6:14" x14ac:dyDescent="0.3">
      <c r="F23603" s="1"/>
    </row>
    <row r="23604" spans="6:14" x14ac:dyDescent="0.3">
      <c r="F23604" s="1"/>
    </row>
    <row r="23605" spans="6:14" x14ac:dyDescent="0.3">
      <c r="F23605" s="1"/>
    </row>
    <row r="23607" spans="6:14" x14ac:dyDescent="0.3">
      <c r="F23607" s="1"/>
      <c r="N23607" s="1"/>
    </row>
    <row r="23608" spans="6:14" x14ac:dyDescent="0.3">
      <c r="F23608" s="1"/>
    </row>
    <row r="23609" spans="6:14" x14ac:dyDescent="0.3">
      <c r="F23609" s="1"/>
    </row>
    <row r="23610" spans="6:14" x14ac:dyDescent="0.3">
      <c r="F23610" s="1"/>
    </row>
    <row r="23611" spans="6:14" x14ac:dyDescent="0.3">
      <c r="F23611" s="1"/>
    </row>
    <row r="23613" spans="6:14" x14ac:dyDescent="0.3">
      <c r="F23613" s="1"/>
    </row>
    <row r="23614" spans="6:14" x14ac:dyDescent="0.3">
      <c r="F23614" s="1"/>
    </row>
    <row r="23616" spans="6:14" x14ac:dyDescent="0.3">
      <c r="F23616" s="1"/>
    </row>
    <row r="23617" spans="6:12" x14ac:dyDescent="0.3">
      <c r="F23617" s="1"/>
    </row>
    <row r="23618" spans="6:12" x14ac:dyDescent="0.3">
      <c r="F23618" s="1"/>
    </row>
    <row r="23620" spans="6:12" x14ac:dyDescent="0.3">
      <c r="F23620" s="1"/>
    </row>
    <row r="23621" spans="6:12" x14ac:dyDescent="0.3">
      <c r="F23621" s="1"/>
    </row>
    <row r="23622" spans="6:12" x14ac:dyDescent="0.3">
      <c r="F23622" s="1"/>
    </row>
    <row r="23623" spans="6:12" x14ac:dyDescent="0.3">
      <c r="F23623" s="1"/>
    </row>
    <row r="23624" spans="6:12" x14ac:dyDescent="0.3">
      <c r="F23624" s="1"/>
    </row>
    <row r="23625" spans="6:12" x14ac:dyDescent="0.3">
      <c r="F23625" s="1"/>
      <c r="L23625" s="1"/>
    </row>
    <row r="23626" spans="6:12" x14ac:dyDescent="0.3">
      <c r="F23626" s="1"/>
    </row>
    <row r="23627" spans="6:12" x14ac:dyDescent="0.3">
      <c r="F23627" s="1"/>
    </row>
    <row r="23628" spans="6:12" x14ac:dyDescent="0.3">
      <c r="F23628" s="1"/>
    </row>
    <row r="23629" spans="6:12" x14ac:dyDescent="0.3">
      <c r="F23629" s="1"/>
    </row>
    <row r="23630" spans="6:12" x14ac:dyDescent="0.3">
      <c r="F23630" s="1"/>
    </row>
    <row r="23631" spans="6:12" x14ac:dyDescent="0.3">
      <c r="F23631" s="1"/>
    </row>
    <row r="23632" spans="6:12" x14ac:dyDescent="0.3">
      <c r="F23632" s="1"/>
    </row>
    <row r="23633" spans="6:15" x14ac:dyDescent="0.3">
      <c r="L23633" s="1"/>
      <c r="O23633" s="1"/>
    </row>
    <row r="23634" spans="6:15" x14ac:dyDescent="0.3">
      <c r="F23634" s="1"/>
    </row>
    <row r="23635" spans="6:15" x14ac:dyDescent="0.3">
      <c r="F23635" s="1"/>
    </row>
    <row r="23636" spans="6:15" x14ac:dyDescent="0.3">
      <c r="F23636" s="1"/>
    </row>
    <row r="23637" spans="6:15" x14ac:dyDescent="0.3">
      <c r="F23637" s="1"/>
    </row>
    <row r="23638" spans="6:15" x14ac:dyDescent="0.3">
      <c r="N23638" s="1"/>
    </row>
    <row r="23639" spans="6:15" x14ac:dyDescent="0.3">
      <c r="F23639" s="1"/>
    </row>
    <row r="23640" spans="6:15" x14ac:dyDescent="0.3">
      <c r="F23640" s="1"/>
      <c r="M23640" s="1"/>
      <c r="N23640" s="1"/>
      <c r="O23640" s="1"/>
    </row>
    <row r="23641" spans="6:15" x14ac:dyDescent="0.3">
      <c r="F23641" s="1"/>
    </row>
    <row r="23642" spans="6:15" x14ac:dyDescent="0.3">
      <c r="F23642" s="1"/>
    </row>
    <row r="23643" spans="6:15" x14ac:dyDescent="0.3">
      <c r="F23643" s="1"/>
    </row>
    <row r="23644" spans="6:15" x14ac:dyDescent="0.3">
      <c r="F23644" s="1"/>
    </row>
    <row r="23645" spans="6:15" x14ac:dyDescent="0.3">
      <c r="L23645" s="1"/>
    </row>
    <row r="23646" spans="6:15" x14ac:dyDescent="0.3">
      <c r="F23646" s="1"/>
    </row>
    <row r="23647" spans="6:15" x14ac:dyDescent="0.3">
      <c r="F23647" s="1"/>
    </row>
    <row r="23648" spans="6:15" x14ac:dyDescent="0.3">
      <c r="F23648" s="1"/>
    </row>
    <row r="23649" spans="6:6" x14ac:dyDescent="0.3">
      <c r="F23649" s="1"/>
    </row>
    <row r="23650" spans="6:6" x14ac:dyDescent="0.3">
      <c r="F23650" s="1"/>
    </row>
    <row r="23651" spans="6:6" x14ac:dyDescent="0.3">
      <c r="F23651" s="1"/>
    </row>
    <row r="23652" spans="6:6" x14ac:dyDescent="0.3">
      <c r="F23652" s="1"/>
    </row>
    <row r="23653" spans="6:6" x14ac:dyDescent="0.3">
      <c r="F23653" s="1"/>
    </row>
    <row r="23654" spans="6:6" x14ac:dyDescent="0.3">
      <c r="F23654" s="1"/>
    </row>
    <row r="23655" spans="6:6" x14ac:dyDescent="0.3">
      <c r="F23655" s="1"/>
    </row>
    <row r="23656" spans="6:6" x14ac:dyDescent="0.3">
      <c r="F23656" s="1"/>
    </row>
    <row r="23657" spans="6:6" x14ac:dyDescent="0.3">
      <c r="F23657" s="1"/>
    </row>
    <row r="23659" spans="6:6" x14ac:dyDescent="0.3">
      <c r="F23659" s="1"/>
    </row>
    <row r="23660" spans="6:6" x14ac:dyDescent="0.3">
      <c r="F23660" s="1"/>
    </row>
    <row r="23661" spans="6:6" x14ac:dyDescent="0.3">
      <c r="F23661" s="1"/>
    </row>
    <row r="23662" spans="6:6" x14ac:dyDescent="0.3">
      <c r="F23662" s="1"/>
    </row>
    <row r="23663" spans="6:6" x14ac:dyDescent="0.3">
      <c r="F23663" s="1"/>
    </row>
    <row r="23664" spans="6:6" x14ac:dyDescent="0.3">
      <c r="F23664" s="1"/>
    </row>
    <row r="23665" spans="6:12" x14ac:dyDescent="0.3">
      <c r="F23665" s="1"/>
    </row>
    <row r="23666" spans="6:12" x14ac:dyDescent="0.3">
      <c r="F23666" s="1"/>
      <c r="L23666" s="1"/>
    </row>
    <row r="23669" spans="6:12" x14ac:dyDescent="0.3">
      <c r="F23669" s="1"/>
    </row>
    <row r="23670" spans="6:12" x14ac:dyDescent="0.3">
      <c r="F23670" s="1"/>
    </row>
    <row r="23671" spans="6:12" x14ac:dyDescent="0.3">
      <c r="F23671" s="1"/>
    </row>
    <row r="23672" spans="6:12" x14ac:dyDescent="0.3">
      <c r="F23672" s="1"/>
    </row>
    <row r="23673" spans="6:12" x14ac:dyDescent="0.3">
      <c r="F23673" s="1"/>
    </row>
    <row r="23674" spans="6:12" x14ac:dyDescent="0.3">
      <c r="F23674" s="1"/>
      <c r="L23674" s="1"/>
    </row>
    <row r="23675" spans="6:12" x14ac:dyDescent="0.3">
      <c r="F23675" s="1"/>
    </row>
    <row r="23676" spans="6:12" x14ac:dyDescent="0.3">
      <c r="F23676" s="1"/>
    </row>
    <row r="23677" spans="6:12" x14ac:dyDescent="0.3">
      <c r="F23677" s="1"/>
    </row>
    <row r="23678" spans="6:12" x14ac:dyDescent="0.3">
      <c r="F23678" s="1"/>
    </row>
    <row r="23679" spans="6:12" x14ac:dyDescent="0.3">
      <c r="F23679" s="1"/>
    </row>
    <row r="23680" spans="6:12" x14ac:dyDescent="0.3">
      <c r="F23680" s="1"/>
    </row>
    <row r="23681" spans="6:14" x14ac:dyDescent="0.3">
      <c r="F23681" s="1"/>
    </row>
    <row r="23683" spans="6:14" x14ac:dyDescent="0.3">
      <c r="F23683" s="1"/>
    </row>
    <row r="23684" spans="6:14" x14ac:dyDescent="0.3">
      <c r="F23684" s="1"/>
    </row>
    <row r="23685" spans="6:14" x14ac:dyDescent="0.3">
      <c r="F23685" s="1"/>
    </row>
    <row r="23686" spans="6:14" x14ac:dyDescent="0.3">
      <c r="F23686" s="1"/>
    </row>
    <row r="23687" spans="6:14" x14ac:dyDescent="0.3">
      <c r="F23687" s="1"/>
    </row>
    <row r="23689" spans="6:14" x14ac:dyDescent="0.3">
      <c r="F23689" s="1"/>
      <c r="N23689" s="1"/>
    </row>
    <row r="23690" spans="6:14" x14ac:dyDescent="0.3">
      <c r="F23690" s="1"/>
    </row>
    <row r="23691" spans="6:14" x14ac:dyDescent="0.3">
      <c r="F23691" s="1"/>
    </row>
    <row r="23693" spans="6:14" x14ac:dyDescent="0.3">
      <c r="F23693" s="1"/>
    </row>
    <row r="23694" spans="6:14" x14ac:dyDescent="0.3">
      <c r="F23694" s="1"/>
    </row>
    <row r="23696" spans="6:14" x14ac:dyDescent="0.3">
      <c r="F23696" s="1"/>
    </row>
    <row r="23697" spans="6:15" x14ac:dyDescent="0.3">
      <c r="F23697" s="1"/>
    </row>
    <row r="23698" spans="6:15" x14ac:dyDescent="0.3">
      <c r="F23698" s="1"/>
    </row>
    <row r="23699" spans="6:15" x14ac:dyDescent="0.3">
      <c r="L23699" s="1"/>
      <c r="M23699" s="1"/>
      <c r="N23699" s="1"/>
      <c r="O23699" s="1"/>
    </row>
    <row r="23700" spans="6:15" x14ac:dyDescent="0.3">
      <c r="F23700" s="1"/>
      <c r="L23700" s="1"/>
      <c r="M23700" s="1"/>
      <c r="N23700" s="1"/>
      <c r="O23700" s="1"/>
    </row>
    <row r="23701" spans="6:15" x14ac:dyDescent="0.3">
      <c r="F23701" s="1"/>
    </row>
    <row r="23702" spans="6:15" x14ac:dyDescent="0.3">
      <c r="F23702" s="1"/>
    </row>
    <row r="23704" spans="6:15" x14ac:dyDescent="0.3">
      <c r="F23704" s="1"/>
    </row>
    <row r="23705" spans="6:15" x14ac:dyDescent="0.3">
      <c r="F23705" s="1"/>
    </row>
    <row r="23707" spans="6:15" x14ac:dyDescent="0.3">
      <c r="N23707" s="1"/>
    </row>
    <row r="23708" spans="6:15" x14ac:dyDescent="0.3">
      <c r="F23708" s="1"/>
    </row>
    <row r="23709" spans="6:15" x14ac:dyDescent="0.3">
      <c r="F23709" s="1"/>
      <c r="L23709" s="1"/>
      <c r="M23709" s="1"/>
      <c r="N23709" s="1"/>
      <c r="O23709" s="1"/>
    </row>
    <row r="23710" spans="6:15" x14ac:dyDescent="0.3">
      <c r="F23710" s="1"/>
    </row>
    <row r="23711" spans="6:15" x14ac:dyDescent="0.3">
      <c r="F23711" s="1"/>
    </row>
    <row r="23712" spans="6:15" x14ac:dyDescent="0.3">
      <c r="F23712" s="1"/>
    </row>
    <row r="23713" spans="6:15" x14ac:dyDescent="0.3">
      <c r="F23713" s="1"/>
    </row>
    <row r="23714" spans="6:15" x14ac:dyDescent="0.3">
      <c r="F23714" s="1"/>
    </row>
    <row r="23715" spans="6:15" x14ac:dyDescent="0.3">
      <c r="F23715" s="1"/>
    </row>
    <row r="23716" spans="6:15" x14ac:dyDescent="0.3">
      <c r="F23716" s="1"/>
    </row>
    <row r="23717" spans="6:15" x14ac:dyDescent="0.3">
      <c r="F23717" s="1"/>
    </row>
    <row r="23718" spans="6:15" x14ac:dyDescent="0.3">
      <c r="F23718" s="1"/>
    </row>
    <row r="23719" spans="6:15" x14ac:dyDescent="0.3">
      <c r="F23719" s="1"/>
      <c r="L23719" s="1"/>
    </row>
    <row r="23721" spans="6:15" x14ac:dyDescent="0.3">
      <c r="F23721" s="1"/>
    </row>
    <row r="23722" spans="6:15" x14ac:dyDescent="0.3">
      <c r="M23722" s="1"/>
      <c r="N23722" s="1"/>
      <c r="O23722" s="1"/>
    </row>
    <row r="23723" spans="6:15" x14ac:dyDescent="0.3">
      <c r="F23723" s="1"/>
    </row>
    <row r="23724" spans="6:15" x14ac:dyDescent="0.3">
      <c r="F23724" s="1"/>
    </row>
    <row r="23725" spans="6:15" x14ac:dyDescent="0.3">
      <c r="F23725" s="1"/>
    </row>
    <row r="23726" spans="6:15" x14ac:dyDescent="0.3">
      <c r="F23726" s="1"/>
    </row>
    <row r="23727" spans="6:15" x14ac:dyDescent="0.3">
      <c r="F23727" s="1"/>
    </row>
    <row r="23728" spans="6:15" x14ac:dyDescent="0.3">
      <c r="F23728" s="1"/>
    </row>
    <row r="23729" spans="6:12" x14ac:dyDescent="0.3">
      <c r="F23729" s="1"/>
    </row>
    <row r="23730" spans="6:12" x14ac:dyDescent="0.3">
      <c r="F23730" s="1"/>
    </row>
    <row r="23731" spans="6:12" x14ac:dyDescent="0.3">
      <c r="F23731" s="1"/>
    </row>
    <row r="23732" spans="6:12" x14ac:dyDescent="0.3">
      <c r="F23732" s="1"/>
    </row>
    <row r="23733" spans="6:12" x14ac:dyDescent="0.3">
      <c r="F23733" s="1"/>
    </row>
    <row r="23734" spans="6:12" x14ac:dyDescent="0.3">
      <c r="F23734" s="1"/>
    </row>
    <row r="23735" spans="6:12" x14ac:dyDescent="0.3">
      <c r="F23735" s="1"/>
    </row>
    <row r="23736" spans="6:12" x14ac:dyDescent="0.3">
      <c r="F23736" s="1"/>
    </row>
    <row r="23737" spans="6:12" x14ac:dyDescent="0.3">
      <c r="L23737" s="1"/>
    </row>
    <row r="23738" spans="6:12" x14ac:dyDescent="0.3">
      <c r="F23738" s="1"/>
    </row>
    <row r="23740" spans="6:12" x14ac:dyDescent="0.3">
      <c r="F23740" s="1"/>
    </row>
    <row r="23741" spans="6:12" x14ac:dyDescent="0.3">
      <c r="F23741" s="1"/>
    </row>
    <row r="23742" spans="6:12" x14ac:dyDescent="0.3">
      <c r="F23742" s="1"/>
    </row>
    <row r="23743" spans="6:12" x14ac:dyDescent="0.3">
      <c r="F23743" s="1"/>
    </row>
    <row r="23744" spans="6:12" x14ac:dyDescent="0.3">
      <c r="F23744" s="1"/>
    </row>
    <row r="23745" spans="6:15" x14ac:dyDescent="0.3">
      <c r="F23745" s="1"/>
    </row>
    <row r="23746" spans="6:15" x14ac:dyDescent="0.3">
      <c r="F23746" s="1"/>
    </row>
    <row r="23747" spans="6:15" x14ac:dyDescent="0.3">
      <c r="F23747" s="1"/>
    </row>
    <row r="23748" spans="6:15" x14ac:dyDescent="0.3">
      <c r="F23748" s="1"/>
    </row>
    <row r="23749" spans="6:15" x14ac:dyDescent="0.3">
      <c r="F23749" s="1"/>
    </row>
    <row r="23750" spans="6:15" x14ac:dyDescent="0.3">
      <c r="F23750" s="1"/>
    </row>
    <row r="23751" spans="6:15" x14ac:dyDescent="0.3">
      <c r="L23751" s="1"/>
      <c r="M23751" s="1"/>
      <c r="N23751" s="1"/>
      <c r="O23751" s="1"/>
    </row>
    <row r="23752" spans="6:15" x14ac:dyDescent="0.3">
      <c r="F23752" s="1"/>
    </row>
    <row r="23753" spans="6:15" x14ac:dyDescent="0.3">
      <c r="F23753" s="1"/>
      <c r="L23753" s="1"/>
      <c r="N23753" s="1"/>
    </row>
    <row r="23754" spans="6:15" x14ac:dyDescent="0.3">
      <c r="F23754" s="1"/>
    </row>
    <row r="23755" spans="6:15" x14ac:dyDescent="0.3">
      <c r="F23755" s="1"/>
    </row>
    <row r="23756" spans="6:15" x14ac:dyDescent="0.3">
      <c r="F23756" s="1"/>
    </row>
    <row r="23757" spans="6:15" x14ac:dyDescent="0.3">
      <c r="F23757" s="1"/>
    </row>
    <row r="23758" spans="6:15" x14ac:dyDescent="0.3">
      <c r="F23758" s="1"/>
    </row>
    <row r="23759" spans="6:15" x14ac:dyDescent="0.3">
      <c r="F23759" s="1"/>
    </row>
    <row r="23760" spans="6:15" x14ac:dyDescent="0.3">
      <c r="F23760" s="1"/>
    </row>
    <row r="23761" spans="6:14" x14ac:dyDescent="0.3">
      <c r="F23761" s="1"/>
    </row>
    <row r="23762" spans="6:14" x14ac:dyDescent="0.3">
      <c r="F23762" s="1"/>
    </row>
    <row r="23763" spans="6:14" x14ac:dyDescent="0.3">
      <c r="F23763" s="1"/>
    </row>
    <row r="23765" spans="6:14" x14ac:dyDescent="0.3">
      <c r="F23765" s="1"/>
    </row>
    <row r="23766" spans="6:14" x14ac:dyDescent="0.3">
      <c r="F23766" s="1"/>
    </row>
    <row r="23768" spans="6:14" x14ac:dyDescent="0.3">
      <c r="F23768" s="1"/>
    </row>
    <row r="23769" spans="6:14" x14ac:dyDescent="0.3">
      <c r="F23769" s="1"/>
    </row>
    <row r="23772" spans="6:14" x14ac:dyDescent="0.3">
      <c r="L23772" s="1"/>
      <c r="M23772" s="1"/>
      <c r="N23772" s="1"/>
    </row>
    <row r="23773" spans="6:14" x14ac:dyDescent="0.3">
      <c r="F23773" s="1"/>
    </row>
    <row r="23774" spans="6:14" x14ac:dyDescent="0.3">
      <c r="F23774" s="1"/>
    </row>
    <row r="23776" spans="6:14" x14ac:dyDescent="0.3">
      <c r="F23776" s="1"/>
    </row>
    <row r="23777" spans="6:15" x14ac:dyDescent="0.3">
      <c r="F23777" s="1"/>
    </row>
    <row r="23778" spans="6:15" x14ac:dyDescent="0.3">
      <c r="M23778" s="1"/>
    </row>
    <row r="23779" spans="6:15" x14ac:dyDescent="0.3">
      <c r="F23779" s="1"/>
    </row>
    <row r="23780" spans="6:15" x14ac:dyDescent="0.3">
      <c r="M23780" s="1"/>
      <c r="N23780" s="1"/>
    </row>
    <row r="23781" spans="6:15" x14ac:dyDescent="0.3">
      <c r="F23781" s="1"/>
    </row>
    <row r="23782" spans="6:15" x14ac:dyDescent="0.3">
      <c r="F23782" s="1"/>
    </row>
    <row r="23783" spans="6:15" x14ac:dyDescent="0.3">
      <c r="F23783" s="1"/>
    </row>
    <row r="23784" spans="6:15" x14ac:dyDescent="0.3">
      <c r="F23784" s="1"/>
    </row>
    <row r="23785" spans="6:15" x14ac:dyDescent="0.3">
      <c r="F23785" s="1"/>
    </row>
    <row r="23786" spans="6:15" x14ac:dyDescent="0.3">
      <c r="F23786" s="1"/>
    </row>
    <row r="23787" spans="6:15" x14ac:dyDescent="0.3">
      <c r="F23787" s="1"/>
    </row>
    <row r="23788" spans="6:15" x14ac:dyDescent="0.3">
      <c r="F23788" s="1"/>
    </row>
    <row r="23789" spans="6:15" x14ac:dyDescent="0.3">
      <c r="F23789" s="1"/>
    </row>
    <row r="23790" spans="6:15" x14ac:dyDescent="0.3">
      <c r="F23790" s="1"/>
    </row>
    <row r="23791" spans="6:15" x14ac:dyDescent="0.3">
      <c r="F23791" s="1"/>
    </row>
    <row r="23792" spans="6:15" x14ac:dyDescent="0.3">
      <c r="L23792" s="1"/>
      <c r="O23792" s="1"/>
    </row>
    <row r="23793" spans="6:14" x14ac:dyDescent="0.3">
      <c r="F23793" s="1"/>
      <c r="N23793" s="1"/>
    </row>
    <row r="23794" spans="6:14" x14ac:dyDescent="0.3">
      <c r="F23794" s="1"/>
    </row>
    <row r="23795" spans="6:14" x14ac:dyDescent="0.3">
      <c r="F23795" s="1"/>
    </row>
    <row r="23796" spans="6:14" x14ac:dyDescent="0.3">
      <c r="M23796" s="1"/>
    </row>
    <row r="23798" spans="6:14" x14ac:dyDescent="0.3">
      <c r="F23798" s="1"/>
    </row>
    <row r="23799" spans="6:14" x14ac:dyDescent="0.3">
      <c r="F23799" s="1"/>
    </row>
    <row r="23800" spans="6:14" x14ac:dyDescent="0.3">
      <c r="F23800" s="1"/>
    </row>
    <row r="23801" spans="6:14" x14ac:dyDescent="0.3">
      <c r="F23801" s="1"/>
    </row>
    <row r="23802" spans="6:14" x14ac:dyDescent="0.3">
      <c r="F23802" s="1"/>
    </row>
    <row r="23803" spans="6:14" x14ac:dyDescent="0.3">
      <c r="F23803" s="1"/>
    </row>
    <row r="23804" spans="6:14" x14ac:dyDescent="0.3">
      <c r="F23804" s="1"/>
    </row>
    <row r="23805" spans="6:14" x14ac:dyDescent="0.3">
      <c r="F23805" s="1"/>
    </row>
    <row r="23806" spans="6:14" x14ac:dyDescent="0.3">
      <c r="F23806" s="1"/>
    </row>
    <row r="23807" spans="6:14" x14ac:dyDescent="0.3">
      <c r="F23807" s="1"/>
      <c r="N23807" s="1"/>
    </row>
    <row r="23808" spans="6:14" x14ac:dyDescent="0.3">
      <c r="F23808" s="1"/>
    </row>
    <row r="23809" spans="6:14" x14ac:dyDescent="0.3">
      <c r="F23809" s="1"/>
    </row>
    <row r="23810" spans="6:14" x14ac:dyDescent="0.3">
      <c r="F23810" s="1"/>
    </row>
    <row r="23811" spans="6:14" x14ac:dyDescent="0.3">
      <c r="F23811" s="1"/>
    </row>
    <row r="23813" spans="6:14" x14ac:dyDescent="0.3">
      <c r="F23813" s="1"/>
    </row>
    <row r="23814" spans="6:14" x14ac:dyDescent="0.3">
      <c r="F23814" s="1"/>
    </row>
    <row r="23815" spans="6:14" x14ac:dyDescent="0.3">
      <c r="F23815" s="1"/>
    </row>
    <row r="23816" spans="6:14" x14ac:dyDescent="0.3">
      <c r="F23816" s="1"/>
    </row>
    <row r="23817" spans="6:14" x14ac:dyDescent="0.3">
      <c r="F23817" s="1"/>
    </row>
    <row r="23818" spans="6:14" x14ac:dyDescent="0.3">
      <c r="F23818" s="1"/>
    </row>
    <row r="23819" spans="6:14" x14ac:dyDescent="0.3">
      <c r="F23819" s="1"/>
    </row>
    <row r="23820" spans="6:14" x14ac:dyDescent="0.3">
      <c r="F23820" s="1"/>
    </row>
    <row r="23821" spans="6:14" x14ac:dyDescent="0.3">
      <c r="F23821" s="1"/>
      <c r="N23821" s="1"/>
    </row>
    <row r="23822" spans="6:14" x14ac:dyDescent="0.3">
      <c r="F23822" s="1"/>
    </row>
    <row r="23823" spans="6:14" x14ac:dyDescent="0.3">
      <c r="F23823" s="1"/>
    </row>
    <row r="23824" spans="6:14" x14ac:dyDescent="0.3">
      <c r="F23824" s="1"/>
    </row>
    <row r="23825" spans="6:15" x14ac:dyDescent="0.3">
      <c r="F23825" s="1"/>
    </row>
    <row r="23826" spans="6:15" x14ac:dyDescent="0.3">
      <c r="F23826" s="1"/>
    </row>
    <row r="23827" spans="6:15" x14ac:dyDescent="0.3">
      <c r="M23827" s="1"/>
      <c r="O23827" s="1"/>
    </row>
    <row r="23828" spans="6:15" x14ac:dyDescent="0.3">
      <c r="F23828" s="1"/>
      <c r="N23828" s="1"/>
    </row>
    <row r="23829" spans="6:15" x14ac:dyDescent="0.3">
      <c r="M23829" s="1"/>
    </row>
    <row r="23830" spans="6:15" x14ac:dyDescent="0.3">
      <c r="F23830" s="1"/>
    </row>
    <row r="23831" spans="6:15" x14ac:dyDescent="0.3">
      <c r="F23831" s="1"/>
    </row>
    <row r="23832" spans="6:15" x14ac:dyDescent="0.3">
      <c r="F23832" s="1"/>
    </row>
    <row r="23833" spans="6:15" x14ac:dyDescent="0.3">
      <c r="F23833" s="1"/>
    </row>
    <row r="23834" spans="6:15" x14ac:dyDescent="0.3">
      <c r="M23834" s="1"/>
      <c r="N23834" s="1"/>
      <c r="O23834" s="1"/>
    </row>
    <row r="23835" spans="6:15" x14ac:dyDescent="0.3">
      <c r="F23835" s="1"/>
    </row>
    <row r="23836" spans="6:15" x14ac:dyDescent="0.3">
      <c r="F23836" s="1"/>
    </row>
    <row r="23837" spans="6:15" x14ac:dyDescent="0.3">
      <c r="F23837" s="1"/>
    </row>
    <row r="23838" spans="6:15" x14ac:dyDescent="0.3">
      <c r="F23838" s="1"/>
    </row>
    <row r="23839" spans="6:15" x14ac:dyDescent="0.3">
      <c r="F23839" s="1"/>
    </row>
    <row r="23840" spans="6:15" x14ac:dyDescent="0.3">
      <c r="F23840" s="1"/>
    </row>
    <row r="23841" spans="6:15" x14ac:dyDescent="0.3">
      <c r="F23841" s="1"/>
    </row>
    <row r="23842" spans="6:15" x14ac:dyDescent="0.3">
      <c r="F23842" s="1"/>
    </row>
    <row r="23843" spans="6:15" x14ac:dyDescent="0.3">
      <c r="F23843" s="1"/>
    </row>
    <row r="23844" spans="6:15" x14ac:dyDescent="0.3">
      <c r="F23844" s="1"/>
    </row>
    <row r="23846" spans="6:15" x14ac:dyDescent="0.3">
      <c r="M23846" s="1"/>
      <c r="N23846" s="1"/>
    </row>
    <row r="23848" spans="6:15" x14ac:dyDescent="0.3">
      <c r="F23848" s="1"/>
    </row>
    <row r="23850" spans="6:15" x14ac:dyDescent="0.3">
      <c r="F23850" s="1"/>
    </row>
    <row r="23851" spans="6:15" x14ac:dyDescent="0.3">
      <c r="F23851" s="1"/>
    </row>
    <row r="23852" spans="6:15" x14ac:dyDescent="0.3">
      <c r="F23852" s="1"/>
    </row>
    <row r="23853" spans="6:15" x14ac:dyDescent="0.3">
      <c r="F23853" s="1"/>
    </row>
    <row r="23854" spans="6:15" x14ac:dyDescent="0.3">
      <c r="M23854" s="1"/>
      <c r="N23854" s="1"/>
      <c r="O23854" s="1"/>
    </row>
    <row r="23855" spans="6:15" x14ac:dyDescent="0.3">
      <c r="F23855" s="1"/>
    </row>
    <row r="23856" spans="6:15" x14ac:dyDescent="0.3">
      <c r="F23856" s="1"/>
    </row>
    <row r="23857" spans="6:15" x14ac:dyDescent="0.3">
      <c r="F23857" s="1"/>
    </row>
    <row r="23858" spans="6:15" x14ac:dyDescent="0.3">
      <c r="F23858" s="1"/>
    </row>
    <row r="23859" spans="6:15" x14ac:dyDescent="0.3">
      <c r="F23859" s="1"/>
      <c r="N23859" s="1"/>
    </row>
    <row r="23860" spans="6:15" x14ac:dyDescent="0.3">
      <c r="F23860" s="1"/>
    </row>
    <row r="23861" spans="6:15" x14ac:dyDescent="0.3">
      <c r="F23861" s="1"/>
    </row>
    <row r="23862" spans="6:15" x14ac:dyDescent="0.3">
      <c r="F23862" s="1"/>
    </row>
    <row r="23863" spans="6:15" x14ac:dyDescent="0.3">
      <c r="F23863" s="1"/>
    </row>
    <row r="23864" spans="6:15" x14ac:dyDescent="0.3">
      <c r="F23864" s="1"/>
    </row>
    <row r="23865" spans="6:15" x14ac:dyDescent="0.3">
      <c r="F23865" s="1"/>
    </row>
    <row r="23866" spans="6:15" x14ac:dyDescent="0.3">
      <c r="F23866" s="1"/>
    </row>
    <row r="23867" spans="6:15" x14ac:dyDescent="0.3">
      <c r="F23867" s="1"/>
    </row>
    <row r="23868" spans="6:15" x14ac:dyDescent="0.3">
      <c r="F23868" s="1"/>
    </row>
    <row r="23869" spans="6:15" x14ac:dyDescent="0.3">
      <c r="F23869" s="1"/>
    </row>
    <row r="23870" spans="6:15" x14ac:dyDescent="0.3">
      <c r="F23870" s="1"/>
    </row>
    <row r="23871" spans="6:15" x14ac:dyDescent="0.3">
      <c r="F23871" s="1"/>
      <c r="N23871" s="1"/>
    </row>
    <row r="23872" spans="6:15" x14ac:dyDescent="0.3">
      <c r="F23872" s="1"/>
      <c r="L23872" s="1"/>
      <c r="N23872" s="1"/>
      <c r="O23872" s="1"/>
    </row>
    <row r="23873" spans="6:6" x14ac:dyDescent="0.3">
      <c r="F23873" s="1"/>
    </row>
    <row r="23874" spans="6:6" x14ac:dyDescent="0.3">
      <c r="F23874" s="1"/>
    </row>
    <row r="23875" spans="6:6" x14ac:dyDescent="0.3">
      <c r="F23875" s="1"/>
    </row>
    <row r="23876" spans="6:6" x14ac:dyDescent="0.3">
      <c r="F23876" s="1"/>
    </row>
    <row r="23878" spans="6:6" x14ac:dyDescent="0.3">
      <c r="F23878" s="1"/>
    </row>
    <row r="23879" spans="6:6" x14ac:dyDescent="0.3">
      <c r="F23879" s="1"/>
    </row>
    <row r="23880" spans="6:6" x14ac:dyDescent="0.3">
      <c r="F23880" s="1"/>
    </row>
    <row r="23881" spans="6:6" x14ac:dyDescent="0.3">
      <c r="F23881" s="1"/>
    </row>
    <row r="23882" spans="6:6" x14ac:dyDescent="0.3">
      <c r="F23882" s="1"/>
    </row>
    <row r="23884" spans="6:6" x14ac:dyDescent="0.3">
      <c r="F23884" s="1"/>
    </row>
    <row r="23885" spans="6:6" x14ac:dyDescent="0.3">
      <c r="F23885" s="1"/>
    </row>
    <row r="23886" spans="6:6" x14ac:dyDescent="0.3">
      <c r="F23886" s="1"/>
    </row>
    <row r="23887" spans="6:6" x14ac:dyDescent="0.3">
      <c r="F23887" s="1"/>
    </row>
    <row r="23888" spans="6:6" x14ac:dyDescent="0.3">
      <c r="F23888" s="1"/>
    </row>
    <row r="23889" spans="6:13" x14ac:dyDescent="0.3">
      <c r="F23889" s="1"/>
    </row>
    <row r="23890" spans="6:13" x14ac:dyDescent="0.3">
      <c r="F23890" s="1"/>
    </row>
    <row r="23893" spans="6:13" x14ac:dyDescent="0.3">
      <c r="F23893" s="1"/>
    </row>
    <row r="23894" spans="6:13" x14ac:dyDescent="0.3">
      <c r="F23894" s="1"/>
    </row>
    <row r="23895" spans="6:13" x14ac:dyDescent="0.3">
      <c r="F23895" s="1"/>
      <c r="L23895" s="1"/>
    </row>
    <row r="23896" spans="6:13" x14ac:dyDescent="0.3">
      <c r="F23896" s="1"/>
    </row>
    <row r="23897" spans="6:13" x14ac:dyDescent="0.3">
      <c r="F23897" s="1"/>
    </row>
    <row r="23898" spans="6:13" x14ac:dyDescent="0.3">
      <c r="F23898" s="1"/>
    </row>
    <row r="23899" spans="6:13" x14ac:dyDescent="0.3">
      <c r="F23899" s="1"/>
    </row>
    <row r="23901" spans="6:13" x14ac:dyDescent="0.3">
      <c r="F23901" s="1"/>
      <c r="M23901" s="1"/>
    </row>
    <row r="23902" spans="6:13" x14ac:dyDescent="0.3">
      <c r="F23902" s="1"/>
    </row>
    <row r="23903" spans="6:13" x14ac:dyDescent="0.3">
      <c r="F23903" s="1"/>
    </row>
    <row r="23904" spans="6:13" x14ac:dyDescent="0.3">
      <c r="F23904" s="1"/>
    </row>
    <row r="23905" spans="6:12" x14ac:dyDescent="0.3">
      <c r="F23905" s="1"/>
    </row>
    <row r="23906" spans="6:12" x14ac:dyDescent="0.3">
      <c r="F23906" s="1"/>
    </row>
    <row r="23908" spans="6:12" x14ac:dyDescent="0.3">
      <c r="F23908" s="1"/>
    </row>
    <row r="23910" spans="6:12" x14ac:dyDescent="0.3">
      <c r="F23910" s="1"/>
    </row>
    <row r="23911" spans="6:12" x14ac:dyDescent="0.3">
      <c r="F23911" s="1"/>
    </row>
    <row r="23912" spans="6:12" x14ac:dyDescent="0.3">
      <c r="F23912" s="1"/>
    </row>
    <row r="23913" spans="6:12" x14ac:dyDescent="0.3">
      <c r="F23913" s="1"/>
    </row>
    <row r="23914" spans="6:12" x14ac:dyDescent="0.3">
      <c r="F23914" s="1"/>
    </row>
    <row r="23916" spans="6:12" x14ac:dyDescent="0.3">
      <c r="F23916" s="1"/>
    </row>
    <row r="23917" spans="6:12" x14ac:dyDescent="0.3">
      <c r="F23917" s="1"/>
    </row>
    <row r="23918" spans="6:12" x14ac:dyDescent="0.3">
      <c r="F23918" s="1"/>
      <c r="L23918" s="1"/>
    </row>
    <row r="23919" spans="6:12" x14ac:dyDescent="0.3">
      <c r="F23919" s="1"/>
    </row>
    <row r="23920" spans="6:12" x14ac:dyDescent="0.3">
      <c r="F23920" s="1"/>
    </row>
    <row r="23921" spans="6:14" x14ac:dyDescent="0.3">
      <c r="F23921" s="1"/>
    </row>
    <row r="23922" spans="6:14" x14ac:dyDescent="0.3">
      <c r="F23922" s="1"/>
    </row>
    <row r="23923" spans="6:14" x14ac:dyDescent="0.3">
      <c r="F23923" s="1"/>
    </row>
    <row r="23925" spans="6:14" x14ac:dyDescent="0.3">
      <c r="F23925" s="1"/>
    </row>
    <row r="23926" spans="6:14" x14ac:dyDescent="0.3">
      <c r="F23926" s="1"/>
    </row>
    <row r="23927" spans="6:14" x14ac:dyDescent="0.3">
      <c r="F23927" s="1"/>
    </row>
    <row r="23928" spans="6:14" x14ac:dyDescent="0.3">
      <c r="F23928" s="1"/>
    </row>
    <row r="23929" spans="6:14" x14ac:dyDescent="0.3">
      <c r="F23929" s="1"/>
    </row>
    <row r="23930" spans="6:14" x14ac:dyDescent="0.3">
      <c r="F23930" s="1"/>
    </row>
    <row r="23931" spans="6:14" x14ac:dyDescent="0.3">
      <c r="F23931" s="1"/>
    </row>
    <row r="23932" spans="6:14" x14ac:dyDescent="0.3">
      <c r="F23932" s="1"/>
    </row>
    <row r="23933" spans="6:14" x14ac:dyDescent="0.3">
      <c r="F23933" s="1"/>
    </row>
    <row r="23934" spans="6:14" x14ac:dyDescent="0.3">
      <c r="F23934" s="1"/>
    </row>
    <row r="23935" spans="6:14" x14ac:dyDescent="0.3">
      <c r="F23935" s="1"/>
    </row>
    <row r="23936" spans="6:14" x14ac:dyDescent="0.3">
      <c r="F23936" s="1"/>
      <c r="N23936" s="1"/>
    </row>
    <row r="23937" spans="6:6" x14ac:dyDescent="0.3">
      <c r="F23937" s="1"/>
    </row>
    <row r="23938" spans="6:6" x14ac:dyDescent="0.3">
      <c r="F23938" s="1"/>
    </row>
    <row r="23939" spans="6:6" x14ac:dyDescent="0.3">
      <c r="F23939" s="1"/>
    </row>
    <row r="23940" spans="6:6" x14ac:dyDescent="0.3">
      <c r="F23940" s="1"/>
    </row>
    <row r="23941" spans="6:6" x14ac:dyDescent="0.3">
      <c r="F23941" s="1"/>
    </row>
    <row r="23942" spans="6:6" x14ac:dyDescent="0.3">
      <c r="F23942" s="1"/>
    </row>
    <row r="23943" spans="6:6" x14ac:dyDescent="0.3">
      <c r="F23943" s="1"/>
    </row>
    <row r="23945" spans="6:6" x14ac:dyDescent="0.3">
      <c r="F23945" s="1"/>
    </row>
    <row r="23946" spans="6:6" x14ac:dyDescent="0.3">
      <c r="F23946" s="1"/>
    </row>
    <row r="23947" spans="6:6" x14ac:dyDescent="0.3">
      <c r="F23947" s="1"/>
    </row>
    <row r="23948" spans="6:6" x14ac:dyDescent="0.3">
      <c r="F23948" s="1"/>
    </row>
    <row r="23949" spans="6:6" x14ac:dyDescent="0.3">
      <c r="F23949" s="1"/>
    </row>
    <row r="23950" spans="6:6" x14ac:dyDescent="0.3">
      <c r="F23950" s="1"/>
    </row>
    <row r="23951" spans="6:6" x14ac:dyDescent="0.3">
      <c r="F23951" s="1"/>
    </row>
    <row r="23952" spans="6:6" x14ac:dyDescent="0.3">
      <c r="F23952" s="1"/>
    </row>
    <row r="23954" spans="6:15" x14ac:dyDescent="0.3">
      <c r="F23954" s="1"/>
    </row>
    <row r="23955" spans="6:15" x14ac:dyDescent="0.3">
      <c r="F23955" s="1"/>
    </row>
    <row r="23956" spans="6:15" x14ac:dyDescent="0.3">
      <c r="F23956" s="1"/>
    </row>
    <row r="23957" spans="6:15" x14ac:dyDescent="0.3">
      <c r="F23957" s="1"/>
    </row>
    <row r="23958" spans="6:15" x14ac:dyDescent="0.3">
      <c r="F23958" s="1"/>
    </row>
    <row r="23959" spans="6:15" x14ac:dyDescent="0.3">
      <c r="F23959" s="1"/>
      <c r="L23959" s="1"/>
      <c r="N23959" s="1"/>
      <c r="O23959" s="1"/>
    </row>
    <row r="23960" spans="6:15" x14ac:dyDescent="0.3">
      <c r="F23960" s="1"/>
    </row>
    <row r="23961" spans="6:15" x14ac:dyDescent="0.3">
      <c r="L23961" s="1"/>
      <c r="M23961" s="1"/>
      <c r="N23961" s="1"/>
      <c r="O23961" s="1"/>
    </row>
    <row r="23962" spans="6:15" x14ac:dyDescent="0.3">
      <c r="F23962" s="1"/>
    </row>
    <row r="23963" spans="6:15" x14ac:dyDescent="0.3">
      <c r="F23963" s="1"/>
    </row>
    <row r="23964" spans="6:15" x14ac:dyDescent="0.3">
      <c r="F23964" s="1"/>
    </row>
    <row r="23965" spans="6:15" x14ac:dyDescent="0.3">
      <c r="F23965" s="1"/>
    </row>
    <row r="23966" spans="6:15" x14ac:dyDescent="0.3">
      <c r="F23966" s="1"/>
    </row>
    <row r="23967" spans="6:15" x14ac:dyDescent="0.3">
      <c r="F23967" s="1"/>
    </row>
    <row r="23968" spans="6:15" x14ac:dyDescent="0.3">
      <c r="L23968" s="1"/>
      <c r="O23968" s="1"/>
    </row>
    <row r="23969" spans="6:13" x14ac:dyDescent="0.3">
      <c r="F23969" s="1"/>
    </row>
    <row r="23970" spans="6:13" x14ac:dyDescent="0.3">
      <c r="M23970" s="1"/>
    </row>
    <row r="23971" spans="6:13" x14ac:dyDescent="0.3">
      <c r="F23971" s="1"/>
    </row>
    <row r="23972" spans="6:13" x14ac:dyDescent="0.3">
      <c r="F23972" s="1"/>
    </row>
    <row r="23973" spans="6:13" x14ac:dyDescent="0.3">
      <c r="F23973" s="1"/>
    </row>
    <row r="23974" spans="6:13" x14ac:dyDescent="0.3">
      <c r="F23974" s="1"/>
    </row>
    <row r="23975" spans="6:13" x14ac:dyDescent="0.3">
      <c r="F23975" s="1"/>
    </row>
    <row r="23976" spans="6:13" x14ac:dyDescent="0.3">
      <c r="F23976" s="1"/>
    </row>
    <row r="23977" spans="6:13" x14ac:dyDescent="0.3">
      <c r="F23977" s="1"/>
    </row>
    <row r="23978" spans="6:13" x14ac:dyDescent="0.3">
      <c r="F23978" s="1"/>
    </row>
    <row r="23979" spans="6:13" x14ac:dyDescent="0.3">
      <c r="F23979" s="1"/>
    </row>
    <row r="23981" spans="6:13" x14ac:dyDescent="0.3">
      <c r="F23981" s="1"/>
    </row>
    <row r="23982" spans="6:13" x14ac:dyDescent="0.3">
      <c r="F23982" s="1"/>
    </row>
    <row r="23983" spans="6:13" x14ac:dyDescent="0.3">
      <c r="F23983" s="1"/>
    </row>
    <row r="23984" spans="6:13" x14ac:dyDescent="0.3">
      <c r="F23984" s="1"/>
    </row>
    <row r="23985" spans="6:13" x14ac:dyDescent="0.3">
      <c r="F23985" s="1"/>
    </row>
    <row r="23986" spans="6:13" x14ac:dyDescent="0.3">
      <c r="F23986" s="1"/>
    </row>
    <row r="23987" spans="6:13" x14ac:dyDescent="0.3">
      <c r="F23987" s="1"/>
    </row>
    <row r="23989" spans="6:13" x14ac:dyDescent="0.3">
      <c r="F23989" s="1"/>
    </row>
    <row r="23990" spans="6:13" x14ac:dyDescent="0.3">
      <c r="M23990" s="1"/>
    </row>
    <row r="23991" spans="6:13" x14ac:dyDescent="0.3">
      <c r="F23991" s="1"/>
    </row>
    <row r="23992" spans="6:13" x14ac:dyDescent="0.3">
      <c r="F23992" s="1"/>
    </row>
    <row r="23993" spans="6:13" x14ac:dyDescent="0.3">
      <c r="F23993" s="1"/>
    </row>
    <row r="23994" spans="6:13" x14ac:dyDescent="0.3">
      <c r="F23994" s="1"/>
    </row>
    <row r="23996" spans="6:13" x14ac:dyDescent="0.3">
      <c r="F23996" s="1"/>
    </row>
    <row r="23997" spans="6:13" x14ac:dyDescent="0.3">
      <c r="F23997" s="1"/>
    </row>
    <row r="24000" spans="6:13" x14ac:dyDescent="0.3">
      <c r="F24000" s="1"/>
    </row>
    <row r="24001" spans="6:14" x14ac:dyDescent="0.3">
      <c r="F24001" s="1"/>
    </row>
    <row r="24002" spans="6:14" x14ac:dyDescent="0.3">
      <c r="F24002" s="1"/>
    </row>
    <row r="24003" spans="6:14" x14ac:dyDescent="0.3">
      <c r="F24003" s="1"/>
      <c r="M24003" s="1"/>
    </row>
    <row r="24004" spans="6:14" x14ac:dyDescent="0.3">
      <c r="L24004" s="1"/>
      <c r="M24004" s="1"/>
      <c r="N24004" s="1"/>
    </row>
    <row r="24005" spans="6:14" x14ac:dyDescent="0.3">
      <c r="F24005" s="1"/>
    </row>
    <row r="24007" spans="6:14" x14ac:dyDescent="0.3">
      <c r="F24007" s="1"/>
    </row>
    <row r="24009" spans="6:14" x14ac:dyDescent="0.3">
      <c r="F24009" s="1"/>
    </row>
    <row r="24010" spans="6:14" x14ac:dyDescent="0.3">
      <c r="F24010" s="1"/>
    </row>
    <row r="24011" spans="6:14" x14ac:dyDescent="0.3">
      <c r="F24011" s="1"/>
    </row>
    <row r="24012" spans="6:14" x14ac:dyDescent="0.3">
      <c r="F24012" s="1"/>
    </row>
    <row r="24013" spans="6:14" x14ac:dyDescent="0.3">
      <c r="F24013" s="1"/>
    </row>
    <row r="24014" spans="6:14" x14ac:dyDescent="0.3">
      <c r="F24014" s="1"/>
    </row>
    <row r="24015" spans="6:14" x14ac:dyDescent="0.3">
      <c r="F24015" s="1"/>
    </row>
    <row r="24016" spans="6:14" x14ac:dyDescent="0.3">
      <c r="F24016" s="1"/>
    </row>
    <row r="24017" spans="6:14" x14ac:dyDescent="0.3">
      <c r="F24017" s="1"/>
    </row>
    <row r="24018" spans="6:14" x14ac:dyDescent="0.3">
      <c r="F24018" s="1"/>
    </row>
    <row r="24019" spans="6:14" x14ac:dyDescent="0.3">
      <c r="F24019" s="1"/>
    </row>
    <row r="24020" spans="6:14" x14ac:dyDescent="0.3">
      <c r="F24020" s="1"/>
    </row>
    <row r="24022" spans="6:14" x14ac:dyDescent="0.3">
      <c r="F24022" s="1"/>
    </row>
    <row r="24023" spans="6:14" x14ac:dyDescent="0.3">
      <c r="F24023" s="1"/>
    </row>
    <row r="24024" spans="6:14" x14ac:dyDescent="0.3">
      <c r="F24024" s="1"/>
    </row>
    <row r="24025" spans="6:14" x14ac:dyDescent="0.3">
      <c r="F24025" s="1"/>
    </row>
    <row r="24026" spans="6:14" x14ac:dyDescent="0.3">
      <c r="F24026" s="1"/>
    </row>
    <row r="24027" spans="6:14" x14ac:dyDescent="0.3">
      <c r="F24027" s="1"/>
      <c r="N24027" s="1"/>
    </row>
    <row r="24028" spans="6:14" x14ac:dyDescent="0.3">
      <c r="F24028" s="1"/>
    </row>
    <row r="24029" spans="6:14" x14ac:dyDescent="0.3">
      <c r="F24029" s="1"/>
      <c r="N24029" s="1"/>
    </row>
    <row r="24030" spans="6:14" x14ac:dyDescent="0.3">
      <c r="F24030" s="1"/>
    </row>
    <row r="24032" spans="6:14" x14ac:dyDescent="0.3">
      <c r="F24032" s="1"/>
    </row>
    <row r="24033" spans="6:15" x14ac:dyDescent="0.3">
      <c r="F24033" s="1"/>
    </row>
    <row r="24034" spans="6:15" x14ac:dyDescent="0.3">
      <c r="L24034" s="1"/>
      <c r="O24034" s="1"/>
    </row>
    <row r="24035" spans="6:15" x14ac:dyDescent="0.3">
      <c r="F24035" s="1"/>
    </row>
    <row r="24036" spans="6:15" x14ac:dyDescent="0.3">
      <c r="F24036" s="1"/>
    </row>
    <row r="24037" spans="6:15" x14ac:dyDescent="0.3">
      <c r="F24037" s="1"/>
    </row>
    <row r="24038" spans="6:15" x14ac:dyDescent="0.3">
      <c r="F24038" s="1"/>
    </row>
    <row r="24039" spans="6:15" x14ac:dyDescent="0.3">
      <c r="F24039" s="1"/>
    </row>
    <row r="24040" spans="6:15" x14ac:dyDescent="0.3">
      <c r="F24040" s="1"/>
      <c r="M24040" s="1"/>
      <c r="O24040" s="1"/>
    </row>
    <row r="24041" spans="6:15" x14ac:dyDescent="0.3">
      <c r="F24041" s="1"/>
    </row>
    <row r="24042" spans="6:15" x14ac:dyDescent="0.3">
      <c r="F24042" s="1"/>
    </row>
    <row r="24044" spans="6:15" x14ac:dyDescent="0.3">
      <c r="F24044" s="1"/>
    </row>
    <row r="24045" spans="6:15" x14ac:dyDescent="0.3">
      <c r="F24045" s="1"/>
    </row>
    <row r="24046" spans="6:15" x14ac:dyDescent="0.3">
      <c r="F24046" s="1"/>
    </row>
    <row r="24047" spans="6:15" x14ac:dyDescent="0.3">
      <c r="F24047" s="1"/>
    </row>
    <row r="24048" spans="6:15" x14ac:dyDescent="0.3">
      <c r="F24048" s="1"/>
    </row>
    <row r="24050" spans="6:14" x14ac:dyDescent="0.3">
      <c r="F24050" s="1"/>
    </row>
    <row r="24051" spans="6:14" x14ac:dyDescent="0.3">
      <c r="F24051" s="1"/>
      <c r="N24051" s="1"/>
    </row>
    <row r="24052" spans="6:14" x14ac:dyDescent="0.3">
      <c r="M24052" s="1"/>
    </row>
    <row r="24053" spans="6:14" x14ac:dyDescent="0.3">
      <c r="F24053" s="1"/>
    </row>
    <row r="24054" spans="6:14" x14ac:dyDescent="0.3">
      <c r="F24054" s="1"/>
    </row>
    <row r="24056" spans="6:14" x14ac:dyDescent="0.3">
      <c r="F24056" s="1"/>
    </row>
    <row r="24057" spans="6:14" x14ac:dyDescent="0.3">
      <c r="F24057" s="1"/>
    </row>
    <row r="24058" spans="6:14" x14ac:dyDescent="0.3">
      <c r="F24058" s="1"/>
    </row>
    <row r="24059" spans="6:14" x14ac:dyDescent="0.3">
      <c r="F24059" s="1"/>
      <c r="L24059" s="1"/>
      <c r="N24059" s="1"/>
    </row>
    <row r="24060" spans="6:14" x14ac:dyDescent="0.3">
      <c r="F24060" s="1"/>
    </row>
    <row r="24061" spans="6:14" x14ac:dyDescent="0.3">
      <c r="F24061" s="1"/>
      <c r="L24061" s="1"/>
      <c r="M24061" s="1"/>
      <c r="N24061" s="1"/>
    </row>
    <row r="24062" spans="6:14" x14ac:dyDescent="0.3">
      <c r="F24062" s="1"/>
    </row>
    <row r="24063" spans="6:14" x14ac:dyDescent="0.3">
      <c r="F24063" s="1"/>
    </row>
    <row r="24064" spans="6:14" x14ac:dyDescent="0.3">
      <c r="F24064" s="1"/>
    </row>
    <row r="24065" spans="6:6" x14ac:dyDescent="0.3">
      <c r="F24065" s="1"/>
    </row>
    <row r="24066" spans="6:6" x14ac:dyDescent="0.3">
      <c r="F24066" s="1"/>
    </row>
    <row r="24067" spans="6:6" x14ac:dyDescent="0.3">
      <c r="F24067" s="1"/>
    </row>
    <row r="24069" spans="6:6" x14ac:dyDescent="0.3">
      <c r="F24069" s="1"/>
    </row>
    <row r="24070" spans="6:6" x14ac:dyDescent="0.3">
      <c r="F24070" s="1"/>
    </row>
    <row r="24071" spans="6:6" x14ac:dyDescent="0.3">
      <c r="F24071" s="1"/>
    </row>
    <row r="24072" spans="6:6" x14ac:dyDescent="0.3">
      <c r="F24072" s="1"/>
    </row>
    <row r="24074" spans="6:6" x14ac:dyDescent="0.3">
      <c r="F24074" s="1"/>
    </row>
    <row r="24075" spans="6:6" x14ac:dyDescent="0.3">
      <c r="F24075" s="1"/>
    </row>
    <row r="24076" spans="6:6" x14ac:dyDescent="0.3">
      <c r="F24076" s="1"/>
    </row>
    <row r="24077" spans="6:6" x14ac:dyDescent="0.3">
      <c r="F24077" s="1"/>
    </row>
    <row r="24078" spans="6:6" x14ac:dyDescent="0.3">
      <c r="F24078" s="1"/>
    </row>
    <row r="24079" spans="6:6" x14ac:dyDescent="0.3">
      <c r="F24079" s="1"/>
    </row>
    <row r="24080" spans="6:6" x14ac:dyDescent="0.3">
      <c r="F24080" s="1"/>
    </row>
    <row r="24081" spans="6:14" x14ac:dyDescent="0.3">
      <c r="F24081" s="1"/>
    </row>
    <row r="24082" spans="6:14" x14ac:dyDescent="0.3">
      <c r="F24082" s="1"/>
    </row>
    <row r="24083" spans="6:14" x14ac:dyDescent="0.3">
      <c r="F24083" s="1"/>
    </row>
    <row r="24084" spans="6:14" x14ac:dyDescent="0.3">
      <c r="F24084" s="1"/>
    </row>
    <row r="24085" spans="6:14" x14ac:dyDescent="0.3">
      <c r="F24085" s="1"/>
    </row>
    <row r="24086" spans="6:14" x14ac:dyDescent="0.3">
      <c r="F24086" s="1"/>
    </row>
    <row r="24087" spans="6:14" x14ac:dyDescent="0.3">
      <c r="F24087" s="1"/>
    </row>
    <row r="24088" spans="6:14" x14ac:dyDescent="0.3">
      <c r="F24088" s="1"/>
    </row>
    <row r="24089" spans="6:14" x14ac:dyDescent="0.3">
      <c r="F24089" s="1"/>
    </row>
    <row r="24090" spans="6:14" x14ac:dyDescent="0.3">
      <c r="F24090" s="1"/>
    </row>
    <row r="24091" spans="6:14" x14ac:dyDescent="0.3">
      <c r="F24091" s="1"/>
    </row>
    <row r="24092" spans="6:14" x14ac:dyDescent="0.3">
      <c r="F24092" s="1"/>
    </row>
    <row r="24093" spans="6:14" x14ac:dyDescent="0.3">
      <c r="F24093" s="1"/>
      <c r="N24093" s="1"/>
    </row>
    <row r="24094" spans="6:14" x14ac:dyDescent="0.3">
      <c r="F24094" s="1"/>
    </row>
    <row r="24095" spans="6:14" x14ac:dyDescent="0.3">
      <c r="F24095" s="1"/>
    </row>
    <row r="24096" spans="6:14" x14ac:dyDescent="0.3">
      <c r="F24096" s="1"/>
    </row>
    <row r="24097" spans="6:15" x14ac:dyDescent="0.3">
      <c r="F24097" s="1"/>
    </row>
    <row r="24098" spans="6:15" x14ac:dyDescent="0.3">
      <c r="F24098" s="1"/>
    </row>
    <row r="24099" spans="6:15" x14ac:dyDescent="0.3">
      <c r="F24099" s="1"/>
    </row>
    <row r="24100" spans="6:15" x14ac:dyDescent="0.3">
      <c r="F24100" s="1"/>
    </row>
    <row r="24101" spans="6:15" x14ac:dyDescent="0.3">
      <c r="F24101" s="1"/>
    </row>
    <row r="24102" spans="6:15" x14ac:dyDescent="0.3">
      <c r="F24102" s="1"/>
      <c r="L24102" s="1"/>
      <c r="M24102" s="1"/>
      <c r="O24102" s="1"/>
    </row>
    <row r="24103" spans="6:15" x14ac:dyDescent="0.3">
      <c r="F24103" s="1"/>
      <c r="M24103" s="1"/>
    </row>
    <row r="24104" spans="6:15" x14ac:dyDescent="0.3">
      <c r="F24104" s="1"/>
    </row>
    <row r="24105" spans="6:15" x14ac:dyDescent="0.3">
      <c r="F24105" s="1"/>
    </row>
    <row r="24106" spans="6:15" x14ac:dyDescent="0.3">
      <c r="F24106" s="1"/>
    </row>
    <row r="24109" spans="6:15" x14ac:dyDescent="0.3">
      <c r="F24109" s="1"/>
    </row>
    <row r="24110" spans="6:15" x14ac:dyDescent="0.3">
      <c r="F24110" s="1"/>
    </row>
    <row r="24111" spans="6:15" x14ac:dyDescent="0.3">
      <c r="F24111" s="1"/>
    </row>
    <row r="24112" spans="6:15" x14ac:dyDescent="0.3">
      <c r="F24112" s="1"/>
    </row>
    <row r="24113" spans="6:6" x14ac:dyDescent="0.3">
      <c r="F24113" s="1"/>
    </row>
    <row r="24114" spans="6:6" x14ac:dyDescent="0.3">
      <c r="F24114" s="1"/>
    </row>
    <row r="24116" spans="6:6" x14ac:dyDescent="0.3">
      <c r="F24116" s="1"/>
    </row>
    <row r="24117" spans="6:6" x14ac:dyDescent="0.3">
      <c r="F24117" s="1"/>
    </row>
    <row r="24118" spans="6:6" x14ac:dyDescent="0.3">
      <c r="F24118" s="1"/>
    </row>
    <row r="24119" spans="6:6" x14ac:dyDescent="0.3">
      <c r="F24119" s="1"/>
    </row>
    <row r="24120" spans="6:6" x14ac:dyDescent="0.3">
      <c r="F24120" s="1"/>
    </row>
    <row r="24121" spans="6:6" x14ac:dyDescent="0.3">
      <c r="F24121" s="1"/>
    </row>
    <row r="24122" spans="6:6" x14ac:dyDescent="0.3">
      <c r="F24122" s="1"/>
    </row>
    <row r="24124" spans="6:6" x14ac:dyDescent="0.3">
      <c r="F24124" s="1"/>
    </row>
    <row r="24126" spans="6:6" x14ac:dyDescent="0.3">
      <c r="F24126" s="1"/>
    </row>
    <row r="24128" spans="6:6" x14ac:dyDescent="0.3">
      <c r="F24128" s="1"/>
    </row>
    <row r="24130" spans="6:15" x14ac:dyDescent="0.3">
      <c r="F24130" s="1"/>
    </row>
    <row r="24131" spans="6:15" x14ac:dyDescent="0.3">
      <c r="F24131" s="1"/>
    </row>
    <row r="24132" spans="6:15" x14ac:dyDescent="0.3">
      <c r="F24132" s="1"/>
    </row>
    <row r="24133" spans="6:15" x14ac:dyDescent="0.3">
      <c r="F24133" s="1"/>
    </row>
    <row r="24134" spans="6:15" x14ac:dyDescent="0.3">
      <c r="F24134" s="1"/>
    </row>
    <row r="24135" spans="6:15" x14ac:dyDescent="0.3">
      <c r="F24135" s="1"/>
    </row>
    <row r="24136" spans="6:15" x14ac:dyDescent="0.3">
      <c r="L24136" s="1"/>
    </row>
    <row r="24138" spans="6:15" x14ac:dyDescent="0.3">
      <c r="F24138" s="1"/>
    </row>
    <row r="24139" spans="6:15" x14ac:dyDescent="0.3">
      <c r="F24139" s="1"/>
    </row>
    <row r="24140" spans="6:15" x14ac:dyDescent="0.3">
      <c r="F24140" s="1"/>
    </row>
    <row r="24141" spans="6:15" x14ac:dyDescent="0.3">
      <c r="F24141" s="1"/>
    </row>
    <row r="24143" spans="6:15" x14ac:dyDescent="0.3">
      <c r="N24143" s="1"/>
      <c r="O24143" s="1"/>
    </row>
    <row r="24144" spans="6:15" x14ac:dyDescent="0.3">
      <c r="F24144" s="1"/>
    </row>
    <row r="24145" spans="6:6" x14ac:dyDescent="0.3">
      <c r="F24145" s="1"/>
    </row>
    <row r="24146" spans="6:6" x14ac:dyDescent="0.3">
      <c r="F24146" s="1"/>
    </row>
    <row r="24147" spans="6:6" x14ac:dyDescent="0.3">
      <c r="F24147" s="1"/>
    </row>
    <row r="24148" spans="6:6" x14ac:dyDescent="0.3">
      <c r="F24148" s="1"/>
    </row>
    <row r="24149" spans="6:6" x14ac:dyDescent="0.3">
      <c r="F24149" s="1"/>
    </row>
    <row r="24150" spans="6:6" x14ac:dyDescent="0.3">
      <c r="F24150" s="1"/>
    </row>
    <row r="24151" spans="6:6" x14ac:dyDescent="0.3">
      <c r="F24151" s="1"/>
    </row>
    <row r="24152" spans="6:6" x14ac:dyDescent="0.3">
      <c r="F24152" s="1"/>
    </row>
    <row r="24153" spans="6:6" x14ac:dyDescent="0.3">
      <c r="F24153" s="1"/>
    </row>
    <row r="24157" spans="6:6" x14ac:dyDescent="0.3">
      <c r="F24157" s="1"/>
    </row>
    <row r="24158" spans="6:6" x14ac:dyDescent="0.3">
      <c r="F24158" s="1"/>
    </row>
    <row r="24160" spans="6:6" x14ac:dyDescent="0.3">
      <c r="F24160" s="1"/>
    </row>
    <row r="24161" spans="6:14" x14ac:dyDescent="0.3">
      <c r="F24161" s="1"/>
    </row>
    <row r="24162" spans="6:14" x14ac:dyDescent="0.3">
      <c r="F24162" s="1"/>
    </row>
    <row r="24163" spans="6:14" x14ac:dyDescent="0.3">
      <c r="F24163" s="1"/>
      <c r="L24163" s="1"/>
      <c r="N24163" s="1"/>
    </row>
    <row r="24164" spans="6:14" x14ac:dyDescent="0.3">
      <c r="F24164" s="1"/>
      <c r="M24164" s="1"/>
    </row>
    <row r="24165" spans="6:14" x14ac:dyDescent="0.3">
      <c r="F24165" s="1"/>
    </row>
    <row r="24167" spans="6:14" x14ac:dyDescent="0.3">
      <c r="F24167" s="1"/>
    </row>
    <row r="24168" spans="6:14" x14ac:dyDescent="0.3">
      <c r="F24168" s="1"/>
    </row>
    <row r="24170" spans="6:14" x14ac:dyDescent="0.3">
      <c r="F24170" s="1"/>
    </row>
    <row r="24172" spans="6:14" x14ac:dyDescent="0.3">
      <c r="F24172" s="1"/>
    </row>
    <row r="24173" spans="6:14" x14ac:dyDescent="0.3">
      <c r="F24173" s="1"/>
    </row>
    <row r="24174" spans="6:14" x14ac:dyDescent="0.3">
      <c r="F24174" s="1"/>
    </row>
    <row r="24175" spans="6:14" x14ac:dyDescent="0.3">
      <c r="F24175" s="1"/>
    </row>
    <row r="24176" spans="6:14" x14ac:dyDescent="0.3">
      <c r="F24176" s="1"/>
    </row>
    <row r="24177" spans="6:12" x14ac:dyDescent="0.3">
      <c r="F24177" s="1"/>
    </row>
    <row r="24178" spans="6:12" x14ac:dyDescent="0.3">
      <c r="F24178" s="1"/>
    </row>
    <row r="24179" spans="6:12" x14ac:dyDescent="0.3">
      <c r="F24179" s="1"/>
    </row>
    <row r="24180" spans="6:12" x14ac:dyDescent="0.3">
      <c r="F24180" s="1"/>
    </row>
    <row r="24181" spans="6:12" x14ac:dyDescent="0.3">
      <c r="F24181" s="1"/>
    </row>
    <row r="24182" spans="6:12" x14ac:dyDescent="0.3">
      <c r="F24182" s="1"/>
    </row>
    <row r="24183" spans="6:12" x14ac:dyDescent="0.3">
      <c r="F24183" s="1"/>
    </row>
    <row r="24184" spans="6:12" x14ac:dyDescent="0.3">
      <c r="F24184" s="1"/>
    </row>
    <row r="24185" spans="6:12" x14ac:dyDescent="0.3">
      <c r="F24185" s="1"/>
    </row>
    <row r="24186" spans="6:12" x14ac:dyDescent="0.3">
      <c r="F24186" s="1"/>
    </row>
    <row r="24187" spans="6:12" x14ac:dyDescent="0.3">
      <c r="F24187" s="1"/>
    </row>
    <row r="24188" spans="6:12" x14ac:dyDescent="0.3">
      <c r="L24188" s="1"/>
    </row>
    <row r="24189" spans="6:12" x14ac:dyDescent="0.3">
      <c r="F24189" s="1"/>
    </row>
    <row r="24190" spans="6:12" x14ac:dyDescent="0.3">
      <c r="F24190" s="1"/>
    </row>
    <row r="24191" spans="6:12" x14ac:dyDescent="0.3">
      <c r="F24191" s="1"/>
    </row>
    <row r="24192" spans="6:12" x14ac:dyDescent="0.3">
      <c r="F24192" s="1"/>
    </row>
    <row r="24193" spans="6:14" x14ac:dyDescent="0.3">
      <c r="F24193" s="1"/>
    </row>
    <row r="24194" spans="6:14" x14ac:dyDescent="0.3">
      <c r="F24194" s="1"/>
    </row>
    <row r="24195" spans="6:14" x14ac:dyDescent="0.3">
      <c r="F24195" s="1"/>
      <c r="N24195" s="1"/>
    </row>
    <row r="24196" spans="6:14" x14ac:dyDescent="0.3">
      <c r="F24196" s="1"/>
    </row>
    <row r="24197" spans="6:14" x14ac:dyDescent="0.3">
      <c r="F24197" s="1"/>
    </row>
    <row r="24199" spans="6:14" x14ac:dyDescent="0.3">
      <c r="F24199" s="1"/>
    </row>
    <row r="24200" spans="6:14" x14ac:dyDescent="0.3">
      <c r="F24200" s="1"/>
    </row>
    <row r="24201" spans="6:14" x14ac:dyDescent="0.3">
      <c r="F24201" s="1"/>
    </row>
    <row r="24203" spans="6:14" x14ac:dyDescent="0.3">
      <c r="F24203" s="1"/>
    </row>
    <row r="24204" spans="6:14" x14ac:dyDescent="0.3">
      <c r="F24204" s="1"/>
    </row>
    <row r="24205" spans="6:14" x14ac:dyDescent="0.3">
      <c r="F24205" s="1"/>
    </row>
    <row r="24206" spans="6:14" x14ac:dyDescent="0.3">
      <c r="F24206" s="1"/>
    </row>
    <row r="24207" spans="6:14" x14ac:dyDescent="0.3">
      <c r="F24207" s="1"/>
    </row>
    <row r="24209" spans="6:15" x14ac:dyDescent="0.3">
      <c r="F24209" s="1"/>
    </row>
    <row r="24210" spans="6:15" x14ac:dyDescent="0.3">
      <c r="F24210" s="1"/>
    </row>
    <row r="24211" spans="6:15" x14ac:dyDescent="0.3">
      <c r="F24211" s="1"/>
    </row>
    <row r="24212" spans="6:15" x14ac:dyDescent="0.3">
      <c r="F24212" s="1"/>
    </row>
    <row r="24213" spans="6:15" x14ac:dyDescent="0.3">
      <c r="F24213" s="1"/>
    </row>
    <row r="24214" spans="6:15" x14ac:dyDescent="0.3">
      <c r="F24214" s="1"/>
    </row>
    <row r="24215" spans="6:15" x14ac:dyDescent="0.3">
      <c r="M24215" s="1"/>
      <c r="N24215" s="1"/>
    </row>
    <row r="24216" spans="6:15" x14ac:dyDescent="0.3">
      <c r="F24216" s="1"/>
    </row>
    <row r="24217" spans="6:15" x14ac:dyDescent="0.3">
      <c r="F24217" s="1"/>
      <c r="L24217" s="1"/>
      <c r="M24217" s="1"/>
      <c r="N24217" s="1"/>
      <c r="O24217" s="1"/>
    </row>
    <row r="24218" spans="6:15" x14ac:dyDescent="0.3">
      <c r="F24218" s="1"/>
    </row>
    <row r="24220" spans="6:15" x14ac:dyDescent="0.3">
      <c r="F24220" s="1"/>
    </row>
    <row r="24221" spans="6:15" x14ac:dyDescent="0.3">
      <c r="F24221" s="1"/>
    </row>
    <row r="24222" spans="6:15" x14ac:dyDescent="0.3">
      <c r="F24222" s="1"/>
    </row>
    <row r="24223" spans="6:15" x14ac:dyDescent="0.3">
      <c r="F24223" s="1"/>
      <c r="L24223" s="1"/>
    </row>
    <row r="24224" spans="6:15" x14ac:dyDescent="0.3">
      <c r="F24224" s="1"/>
    </row>
    <row r="24225" spans="6:14" x14ac:dyDescent="0.3">
      <c r="F24225" s="1"/>
    </row>
    <row r="24226" spans="6:14" x14ac:dyDescent="0.3">
      <c r="F24226" s="1"/>
    </row>
    <row r="24227" spans="6:14" x14ac:dyDescent="0.3">
      <c r="F24227" s="1"/>
    </row>
    <row r="24228" spans="6:14" x14ac:dyDescent="0.3">
      <c r="F24228" s="1"/>
    </row>
    <row r="24229" spans="6:14" x14ac:dyDescent="0.3">
      <c r="F24229" s="1"/>
    </row>
    <row r="24230" spans="6:14" x14ac:dyDescent="0.3">
      <c r="F24230" s="1"/>
    </row>
    <row r="24231" spans="6:14" x14ac:dyDescent="0.3">
      <c r="F24231" s="1"/>
    </row>
    <row r="24232" spans="6:14" x14ac:dyDescent="0.3">
      <c r="F24232" s="1"/>
    </row>
    <row r="24234" spans="6:14" x14ac:dyDescent="0.3">
      <c r="F24234" s="1"/>
    </row>
    <row r="24235" spans="6:14" x14ac:dyDescent="0.3">
      <c r="F24235" s="1"/>
      <c r="L24235" s="1"/>
      <c r="M24235" s="1"/>
      <c r="N24235" s="1"/>
    </row>
    <row r="24236" spans="6:14" x14ac:dyDescent="0.3">
      <c r="F24236" s="1"/>
    </row>
    <row r="24237" spans="6:14" x14ac:dyDescent="0.3">
      <c r="F24237" s="1"/>
    </row>
    <row r="24238" spans="6:14" x14ac:dyDescent="0.3">
      <c r="F24238" s="1"/>
    </row>
    <row r="24239" spans="6:14" x14ac:dyDescent="0.3">
      <c r="F24239" s="1"/>
    </row>
    <row r="24240" spans="6:14" x14ac:dyDescent="0.3">
      <c r="F24240" s="1"/>
    </row>
    <row r="24241" spans="6:14" x14ac:dyDescent="0.3">
      <c r="F24241" s="1"/>
    </row>
    <row r="24242" spans="6:14" x14ac:dyDescent="0.3">
      <c r="F24242" s="1"/>
    </row>
    <row r="24244" spans="6:14" x14ac:dyDescent="0.3">
      <c r="F24244" s="1"/>
    </row>
    <row r="24245" spans="6:14" x14ac:dyDescent="0.3">
      <c r="F24245" s="1"/>
    </row>
    <row r="24246" spans="6:14" x14ac:dyDescent="0.3">
      <c r="F24246" s="1"/>
    </row>
    <row r="24247" spans="6:14" x14ac:dyDescent="0.3">
      <c r="F24247" s="1"/>
    </row>
    <row r="24248" spans="6:14" x14ac:dyDescent="0.3">
      <c r="F24248" s="1"/>
    </row>
    <row r="24249" spans="6:14" x14ac:dyDescent="0.3">
      <c r="F24249" s="1"/>
    </row>
    <row r="24250" spans="6:14" x14ac:dyDescent="0.3">
      <c r="F24250" s="1"/>
      <c r="M24250" s="1"/>
      <c r="N24250" s="1"/>
    </row>
    <row r="24252" spans="6:14" x14ac:dyDescent="0.3">
      <c r="F24252" s="1"/>
    </row>
    <row r="24253" spans="6:14" x14ac:dyDescent="0.3">
      <c r="F24253" s="1"/>
    </row>
    <row r="24254" spans="6:14" x14ac:dyDescent="0.3">
      <c r="F24254" s="1"/>
    </row>
    <row r="24255" spans="6:14" x14ac:dyDescent="0.3">
      <c r="F24255" s="1"/>
    </row>
    <row r="24256" spans="6:14" x14ac:dyDescent="0.3">
      <c r="F24256" s="1"/>
    </row>
    <row r="24257" spans="6:15" x14ac:dyDescent="0.3">
      <c r="L24257" s="1"/>
      <c r="N24257" s="1"/>
      <c r="O24257" s="1"/>
    </row>
    <row r="24258" spans="6:15" x14ac:dyDescent="0.3">
      <c r="F24258" s="1"/>
    </row>
    <row r="24261" spans="6:15" x14ac:dyDescent="0.3">
      <c r="F24261" s="1"/>
    </row>
    <row r="24262" spans="6:15" x14ac:dyDescent="0.3">
      <c r="F24262" s="1"/>
    </row>
    <row r="24263" spans="6:15" x14ac:dyDescent="0.3">
      <c r="F24263" s="1"/>
    </row>
    <row r="24264" spans="6:15" x14ac:dyDescent="0.3">
      <c r="F24264" s="1"/>
    </row>
    <row r="24265" spans="6:15" x14ac:dyDescent="0.3">
      <c r="F24265" s="1"/>
    </row>
    <row r="24266" spans="6:15" x14ac:dyDescent="0.3">
      <c r="M24266" s="1"/>
    </row>
    <row r="24267" spans="6:15" x14ac:dyDescent="0.3">
      <c r="F24267" s="1"/>
    </row>
    <row r="24268" spans="6:15" x14ac:dyDescent="0.3">
      <c r="F24268" s="1"/>
    </row>
    <row r="24269" spans="6:15" x14ac:dyDescent="0.3">
      <c r="F24269" s="1"/>
    </row>
    <row r="24270" spans="6:15" x14ac:dyDescent="0.3">
      <c r="F24270" s="1"/>
    </row>
    <row r="24271" spans="6:15" x14ac:dyDescent="0.3">
      <c r="F24271" s="1"/>
    </row>
    <row r="24272" spans="6:15" x14ac:dyDescent="0.3">
      <c r="F24272" s="1"/>
    </row>
    <row r="24273" spans="6:6" x14ac:dyDescent="0.3">
      <c r="F24273" s="1"/>
    </row>
    <row r="24274" spans="6:6" x14ac:dyDescent="0.3">
      <c r="F24274" s="1"/>
    </row>
    <row r="24275" spans="6:6" x14ac:dyDescent="0.3">
      <c r="F24275" s="1"/>
    </row>
    <row r="24276" spans="6:6" x14ac:dyDescent="0.3">
      <c r="F24276" s="1"/>
    </row>
    <row r="24277" spans="6:6" x14ac:dyDescent="0.3">
      <c r="F24277" s="1"/>
    </row>
    <row r="24278" spans="6:6" x14ac:dyDescent="0.3">
      <c r="F24278" s="1"/>
    </row>
    <row r="24279" spans="6:6" x14ac:dyDescent="0.3">
      <c r="F24279" s="1"/>
    </row>
    <row r="24281" spans="6:6" x14ac:dyDescent="0.3">
      <c r="F24281" s="1"/>
    </row>
    <row r="24282" spans="6:6" x14ac:dyDescent="0.3">
      <c r="F24282" s="1"/>
    </row>
    <row r="24283" spans="6:6" x14ac:dyDescent="0.3">
      <c r="F24283" s="1"/>
    </row>
    <row r="24284" spans="6:6" x14ac:dyDescent="0.3">
      <c r="F24284" s="1"/>
    </row>
    <row r="24285" spans="6:6" x14ac:dyDescent="0.3">
      <c r="F24285" s="1"/>
    </row>
    <row r="24287" spans="6:6" x14ac:dyDescent="0.3">
      <c r="F24287" s="1"/>
    </row>
    <row r="24288" spans="6:6" x14ac:dyDescent="0.3">
      <c r="F24288" s="1"/>
    </row>
    <row r="24289" spans="6:14" x14ac:dyDescent="0.3">
      <c r="F24289" s="1"/>
    </row>
    <row r="24290" spans="6:14" x14ac:dyDescent="0.3">
      <c r="F24290" s="1"/>
    </row>
    <row r="24291" spans="6:14" x14ac:dyDescent="0.3">
      <c r="F24291" s="1"/>
    </row>
    <row r="24292" spans="6:14" x14ac:dyDescent="0.3">
      <c r="F24292" s="1"/>
    </row>
    <row r="24293" spans="6:14" x14ac:dyDescent="0.3">
      <c r="F24293" s="1"/>
      <c r="L24293" s="1"/>
      <c r="N24293" s="1"/>
    </row>
    <row r="24294" spans="6:14" x14ac:dyDescent="0.3">
      <c r="L24294" s="1"/>
      <c r="M24294" s="1"/>
    </row>
    <row r="24296" spans="6:14" x14ac:dyDescent="0.3">
      <c r="F24296" s="1"/>
    </row>
    <row r="24297" spans="6:14" x14ac:dyDescent="0.3">
      <c r="F24297" s="1"/>
    </row>
    <row r="24298" spans="6:14" x14ac:dyDescent="0.3">
      <c r="F24298" s="1"/>
    </row>
    <row r="24299" spans="6:14" x14ac:dyDescent="0.3">
      <c r="F24299" s="1"/>
    </row>
    <row r="24300" spans="6:14" x14ac:dyDescent="0.3">
      <c r="F24300" s="1"/>
    </row>
    <row r="24301" spans="6:14" x14ac:dyDescent="0.3">
      <c r="F24301" s="1"/>
    </row>
    <row r="24302" spans="6:14" x14ac:dyDescent="0.3">
      <c r="F24302" s="1"/>
    </row>
    <row r="24303" spans="6:14" x14ac:dyDescent="0.3">
      <c r="F24303" s="1"/>
    </row>
    <row r="24304" spans="6:14" x14ac:dyDescent="0.3">
      <c r="F24304" s="1"/>
    </row>
    <row r="24305" spans="6:15" x14ac:dyDescent="0.3">
      <c r="F24305" s="1"/>
    </row>
    <row r="24306" spans="6:15" x14ac:dyDescent="0.3">
      <c r="F24306" s="1"/>
    </row>
    <row r="24307" spans="6:15" x14ac:dyDescent="0.3">
      <c r="F24307" s="1"/>
    </row>
    <row r="24309" spans="6:15" x14ac:dyDescent="0.3">
      <c r="M24309" s="1"/>
    </row>
    <row r="24310" spans="6:15" x14ac:dyDescent="0.3">
      <c r="F24310" s="1"/>
    </row>
    <row r="24311" spans="6:15" x14ac:dyDescent="0.3">
      <c r="L24311" s="1"/>
      <c r="M24311" s="1"/>
      <c r="N24311" s="1"/>
      <c r="O24311" s="1"/>
    </row>
    <row r="24312" spans="6:15" x14ac:dyDescent="0.3">
      <c r="F24312" s="1"/>
    </row>
    <row r="24313" spans="6:15" x14ac:dyDescent="0.3">
      <c r="F24313" s="1"/>
    </row>
    <row r="24314" spans="6:15" x14ac:dyDescent="0.3">
      <c r="F24314" s="1"/>
    </row>
    <row r="24315" spans="6:15" x14ac:dyDescent="0.3">
      <c r="F24315" s="1"/>
    </row>
    <row r="24316" spans="6:15" x14ac:dyDescent="0.3">
      <c r="F24316" s="1"/>
    </row>
    <row r="24317" spans="6:15" x14ac:dyDescent="0.3">
      <c r="F24317" s="1"/>
    </row>
    <row r="24318" spans="6:15" x14ac:dyDescent="0.3">
      <c r="F24318" s="1"/>
      <c r="L24318" s="1"/>
    </row>
    <row r="24319" spans="6:15" x14ac:dyDescent="0.3">
      <c r="F24319" s="1"/>
    </row>
    <row r="24320" spans="6:15" x14ac:dyDescent="0.3">
      <c r="F24320" s="1"/>
    </row>
    <row r="24321" spans="6:6" x14ac:dyDescent="0.3">
      <c r="F24321" s="1"/>
    </row>
    <row r="24322" spans="6:6" x14ac:dyDescent="0.3">
      <c r="F24322" s="1"/>
    </row>
    <row r="24323" spans="6:6" x14ac:dyDescent="0.3">
      <c r="F24323" s="1"/>
    </row>
    <row r="24324" spans="6:6" x14ac:dyDescent="0.3">
      <c r="F24324" s="1"/>
    </row>
    <row r="24326" spans="6:6" x14ac:dyDescent="0.3">
      <c r="F24326" s="1"/>
    </row>
    <row r="24327" spans="6:6" x14ac:dyDescent="0.3">
      <c r="F24327" s="1"/>
    </row>
    <row r="24328" spans="6:6" x14ac:dyDescent="0.3">
      <c r="F24328" s="1"/>
    </row>
    <row r="24329" spans="6:6" x14ac:dyDescent="0.3">
      <c r="F24329" s="1"/>
    </row>
    <row r="24330" spans="6:6" x14ac:dyDescent="0.3">
      <c r="F24330" s="1"/>
    </row>
    <row r="24331" spans="6:6" x14ac:dyDescent="0.3">
      <c r="F24331" s="1"/>
    </row>
    <row r="24332" spans="6:6" x14ac:dyDescent="0.3">
      <c r="F24332" s="1"/>
    </row>
    <row r="24333" spans="6:6" x14ac:dyDescent="0.3">
      <c r="F24333" s="1"/>
    </row>
    <row r="24334" spans="6:6" x14ac:dyDescent="0.3">
      <c r="F24334" s="1"/>
    </row>
    <row r="24335" spans="6:6" x14ac:dyDescent="0.3">
      <c r="F24335" s="1"/>
    </row>
    <row r="24336" spans="6:6" x14ac:dyDescent="0.3">
      <c r="F24336" s="1"/>
    </row>
    <row r="24337" spans="6:15" x14ac:dyDescent="0.3">
      <c r="F24337" s="1"/>
    </row>
    <row r="24338" spans="6:15" x14ac:dyDescent="0.3">
      <c r="F24338" s="1"/>
    </row>
    <row r="24339" spans="6:15" x14ac:dyDescent="0.3">
      <c r="F24339" s="1"/>
    </row>
    <row r="24340" spans="6:15" x14ac:dyDescent="0.3">
      <c r="F24340" s="1"/>
    </row>
    <row r="24341" spans="6:15" x14ac:dyDescent="0.3">
      <c r="F24341" s="1"/>
    </row>
    <row r="24342" spans="6:15" x14ac:dyDescent="0.3">
      <c r="L24342" s="1"/>
      <c r="M24342" s="1"/>
      <c r="N24342" s="1"/>
    </row>
    <row r="24343" spans="6:15" x14ac:dyDescent="0.3">
      <c r="F24343" s="1"/>
      <c r="L24343" s="1"/>
    </row>
    <row r="24344" spans="6:15" x14ac:dyDescent="0.3">
      <c r="F24344" s="1"/>
    </row>
    <row r="24345" spans="6:15" x14ac:dyDescent="0.3">
      <c r="F24345" s="1"/>
      <c r="L24345" s="1"/>
    </row>
    <row r="24347" spans="6:15" x14ac:dyDescent="0.3">
      <c r="F24347" s="1"/>
    </row>
    <row r="24348" spans="6:15" x14ac:dyDescent="0.3">
      <c r="F24348" s="1"/>
    </row>
    <row r="24349" spans="6:15" x14ac:dyDescent="0.3">
      <c r="L24349" s="1"/>
      <c r="O24349" s="1"/>
    </row>
    <row r="24350" spans="6:15" x14ac:dyDescent="0.3">
      <c r="F24350" s="1"/>
      <c r="N24350" s="1"/>
    </row>
    <row r="24351" spans="6:15" x14ac:dyDescent="0.3">
      <c r="F24351" s="1"/>
    </row>
    <row r="24352" spans="6:15" x14ac:dyDescent="0.3">
      <c r="F24352" s="1"/>
    </row>
    <row r="24353" spans="6:12" x14ac:dyDescent="0.3">
      <c r="F24353" s="1"/>
    </row>
    <row r="24354" spans="6:12" x14ac:dyDescent="0.3">
      <c r="F24354" s="1"/>
    </row>
    <row r="24355" spans="6:12" x14ac:dyDescent="0.3">
      <c r="F24355" s="1"/>
    </row>
    <row r="24356" spans="6:12" x14ac:dyDescent="0.3">
      <c r="F24356" s="1"/>
    </row>
    <row r="24358" spans="6:12" x14ac:dyDescent="0.3">
      <c r="F24358" s="1"/>
    </row>
    <row r="24359" spans="6:12" x14ac:dyDescent="0.3">
      <c r="F24359" s="1"/>
    </row>
    <row r="24360" spans="6:12" x14ac:dyDescent="0.3">
      <c r="F24360" s="1"/>
    </row>
    <row r="24361" spans="6:12" x14ac:dyDescent="0.3">
      <c r="F24361" s="1"/>
    </row>
    <row r="24362" spans="6:12" x14ac:dyDescent="0.3">
      <c r="F24362" s="1"/>
    </row>
    <row r="24363" spans="6:12" x14ac:dyDescent="0.3">
      <c r="F24363" s="1"/>
    </row>
    <row r="24364" spans="6:12" x14ac:dyDescent="0.3">
      <c r="F24364" s="1"/>
    </row>
    <row r="24365" spans="6:12" x14ac:dyDescent="0.3">
      <c r="F24365" s="1"/>
    </row>
    <row r="24366" spans="6:12" x14ac:dyDescent="0.3">
      <c r="F24366" s="1"/>
    </row>
    <row r="24367" spans="6:12" x14ac:dyDescent="0.3">
      <c r="L24367" s="1"/>
    </row>
    <row r="24368" spans="6:12" x14ac:dyDescent="0.3">
      <c r="F24368" s="1"/>
      <c r="L24368" s="1"/>
    </row>
    <row r="24369" spans="6:15" x14ac:dyDescent="0.3">
      <c r="F24369" s="1"/>
    </row>
    <row r="24370" spans="6:15" x14ac:dyDescent="0.3">
      <c r="F24370" s="1"/>
      <c r="L24370" s="1"/>
      <c r="N24370" s="1"/>
      <c r="O24370" s="1"/>
    </row>
    <row r="24371" spans="6:15" x14ac:dyDescent="0.3">
      <c r="F24371" s="1"/>
    </row>
    <row r="24372" spans="6:15" x14ac:dyDescent="0.3">
      <c r="F24372" s="1"/>
    </row>
    <row r="24373" spans="6:15" x14ac:dyDescent="0.3">
      <c r="F24373" s="1"/>
    </row>
    <row r="24374" spans="6:15" x14ac:dyDescent="0.3">
      <c r="F24374" s="1"/>
      <c r="M24374" s="1"/>
    </row>
    <row r="24376" spans="6:15" x14ac:dyDescent="0.3">
      <c r="F24376" s="1"/>
    </row>
    <row r="24377" spans="6:15" x14ac:dyDescent="0.3">
      <c r="F24377" s="1"/>
    </row>
    <row r="24378" spans="6:15" x14ac:dyDescent="0.3">
      <c r="F24378" s="1"/>
    </row>
    <row r="24379" spans="6:15" x14ac:dyDescent="0.3">
      <c r="F24379" s="1"/>
    </row>
    <row r="24380" spans="6:15" x14ac:dyDescent="0.3">
      <c r="F24380" s="1"/>
    </row>
    <row r="24381" spans="6:15" x14ac:dyDescent="0.3">
      <c r="F24381" s="1"/>
    </row>
    <row r="24382" spans="6:15" x14ac:dyDescent="0.3">
      <c r="L24382" s="1"/>
      <c r="M24382" s="1"/>
    </row>
    <row r="24383" spans="6:15" x14ac:dyDescent="0.3">
      <c r="F24383" s="1"/>
    </row>
    <row r="24385" spans="6:14" x14ac:dyDescent="0.3">
      <c r="F24385" s="1"/>
    </row>
    <row r="24386" spans="6:14" x14ac:dyDescent="0.3">
      <c r="F24386" s="1"/>
      <c r="N24386" s="1"/>
    </row>
    <row r="24387" spans="6:14" x14ac:dyDescent="0.3">
      <c r="F24387" s="1"/>
    </row>
    <row r="24389" spans="6:14" x14ac:dyDescent="0.3">
      <c r="F24389" s="1"/>
    </row>
    <row r="24390" spans="6:14" x14ac:dyDescent="0.3">
      <c r="F24390" s="1"/>
    </row>
    <row r="24391" spans="6:14" x14ac:dyDescent="0.3">
      <c r="F24391" s="1"/>
      <c r="L24391" s="1"/>
      <c r="M24391" s="1"/>
    </row>
    <row r="24392" spans="6:14" x14ac:dyDescent="0.3">
      <c r="F24392" s="1"/>
    </row>
    <row r="24393" spans="6:14" x14ac:dyDescent="0.3">
      <c r="F24393" s="1"/>
    </row>
    <row r="24394" spans="6:14" x14ac:dyDescent="0.3">
      <c r="F24394" s="1"/>
      <c r="N24394" s="1"/>
    </row>
    <row r="24395" spans="6:14" x14ac:dyDescent="0.3">
      <c r="F24395" s="1"/>
    </row>
    <row r="24396" spans="6:14" x14ac:dyDescent="0.3">
      <c r="F24396" s="1"/>
    </row>
    <row r="24398" spans="6:14" x14ac:dyDescent="0.3">
      <c r="F24398" s="1"/>
    </row>
    <row r="24400" spans="6:14" x14ac:dyDescent="0.3">
      <c r="F24400" s="1"/>
    </row>
    <row r="24401" spans="6:14" x14ac:dyDescent="0.3">
      <c r="F24401" s="1"/>
    </row>
    <row r="24403" spans="6:14" x14ac:dyDescent="0.3">
      <c r="L24403" s="1"/>
      <c r="N24403" s="1"/>
    </row>
    <row r="24404" spans="6:14" x14ac:dyDescent="0.3">
      <c r="F24404" s="1"/>
    </row>
    <row r="24405" spans="6:14" x14ac:dyDescent="0.3">
      <c r="F24405" s="1"/>
    </row>
    <row r="24406" spans="6:14" x14ac:dyDescent="0.3">
      <c r="F24406" s="1"/>
    </row>
    <row r="24408" spans="6:14" x14ac:dyDescent="0.3">
      <c r="F24408" s="1"/>
    </row>
    <row r="24409" spans="6:14" x14ac:dyDescent="0.3">
      <c r="F24409" s="1"/>
    </row>
    <row r="24410" spans="6:14" x14ac:dyDescent="0.3">
      <c r="F24410" s="1"/>
    </row>
    <row r="24411" spans="6:14" x14ac:dyDescent="0.3">
      <c r="F24411" s="1"/>
    </row>
    <row r="24412" spans="6:14" x14ac:dyDescent="0.3">
      <c r="F24412" s="1"/>
    </row>
    <row r="24414" spans="6:14" x14ac:dyDescent="0.3">
      <c r="F24414" s="1"/>
    </row>
    <row r="24415" spans="6:14" x14ac:dyDescent="0.3">
      <c r="M24415" s="1"/>
    </row>
    <row r="24416" spans="6:14" x14ac:dyDescent="0.3">
      <c r="F24416" s="1"/>
    </row>
    <row r="24417" spans="6:15" x14ac:dyDescent="0.3">
      <c r="F24417" s="1"/>
    </row>
    <row r="24418" spans="6:15" x14ac:dyDescent="0.3">
      <c r="F24418" s="1"/>
    </row>
    <row r="24419" spans="6:15" x14ac:dyDescent="0.3">
      <c r="F24419" s="1"/>
    </row>
    <row r="24420" spans="6:15" x14ac:dyDescent="0.3">
      <c r="F24420" s="1"/>
    </row>
    <row r="24421" spans="6:15" x14ac:dyDescent="0.3">
      <c r="F24421" s="1"/>
    </row>
    <row r="24422" spans="6:15" x14ac:dyDescent="0.3">
      <c r="F24422" s="1"/>
    </row>
    <row r="24424" spans="6:15" x14ac:dyDescent="0.3">
      <c r="F24424" s="1"/>
      <c r="L24424" s="1"/>
      <c r="O24424" s="1"/>
    </row>
    <row r="24425" spans="6:15" x14ac:dyDescent="0.3">
      <c r="F24425" s="1"/>
    </row>
    <row r="24426" spans="6:15" x14ac:dyDescent="0.3">
      <c r="F24426" s="1"/>
    </row>
    <row r="24428" spans="6:15" x14ac:dyDescent="0.3">
      <c r="F24428" s="1"/>
    </row>
    <row r="24429" spans="6:15" x14ac:dyDescent="0.3">
      <c r="F24429" s="1"/>
    </row>
    <row r="24430" spans="6:15" x14ac:dyDescent="0.3">
      <c r="F24430" s="1"/>
      <c r="M24430" s="1"/>
    </row>
    <row r="24431" spans="6:15" x14ac:dyDescent="0.3">
      <c r="F24431" s="1"/>
    </row>
    <row r="24432" spans="6:15" x14ac:dyDescent="0.3">
      <c r="F24432" s="1"/>
    </row>
    <row r="24433" spans="6:14" x14ac:dyDescent="0.3">
      <c r="F24433" s="1"/>
    </row>
    <row r="24434" spans="6:14" x14ac:dyDescent="0.3">
      <c r="F24434" s="1"/>
    </row>
    <row r="24435" spans="6:14" x14ac:dyDescent="0.3">
      <c r="F24435" s="1"/>
    </row>
    <row r="24436" spans="6:14" x14ac:dyDescent="0.3">
      <c r="F24436" s="1"/>
    </row>
    <row r="24437" spans="6:14" x14ac:dyDescent="0.3">
      <c r="F24437" s="1"/>
    </row>
    <row r="24438" spans="6:14" x14ac:dyDescent="0.3">
      <c r="F24438" s="1"/>
    </row>
    <row r="24439" spans="6:14" x14ac:dyDescent="0.3">
      <c r="N24439" s="1"/>
    </row>
    <row r="24440" spans="6:14" x14ac:dyDescent="0.3">
      <c r="F24440" s="1"/>
    </row>
    <row r="24441" spans="6:14" x14ac:dyDescent="0.3">
      <c r="F24441" s="1"/>
    </row>
    <row r="24442" spans="6:14" x14ac:dyDescent="0.3">
      <c r="F24442" s="1"/>
    </row>
    <row r="24443" spans="6:14" x14ac:dyDescent="0.3">
      <c r="F24443" s="1"/>
    </row>
    <row r="24444" spans="6:14" x14ac:dyDescent="0.3">
      <c r="F24444" s="1"/>
    </row>
    <row r="24445" spans="6:14" x14ac:dyDescent="0.3">
      <c r="F24445" s="1"/>
    </row>
    <row r="24446" spans="6:14" x14ac:dyDescent="0.3">
      <c r="F24446" s="1"/>
    </row>
    <row r="24447" spans="6:14" x14ac:dyDescent="0.3">
      <c r="F24447" s="1"/>
    </row>
    <row r="24448" spans="6:14" x14ac:dyDescent="0.3">
      <c r="F24448" s="1"/>
    </row>
    <row r="24449" spans="6:14" x14ac:dyDescent="0.3">
      <c r="F24449" s="1"/>
    </row>
    <row r="24450" spans="6:14" x14ac:dyDescent="0.3">
      <c r="F24450" s="1"/>
    </row>
    <row r="24451" spans="6:14" x14ac:dyDescent="0.3">
      <c r="F24451" s="1"/>
    </row>
    <row r="24452" spans="6:14" x14ac:dyDescent="0.3">
      <c r="F24452" s="1"/>
      <c r="M24452" s="1"/>
      <c r="N24452" s="1"/>
    </row>
    <row r="24453" spans="6:14" x14ac:dyDescent="0.3">
      <c r="F24453" s="1"/>
    </row>
    <row r="24454" spans="6:14" x14ac:dyDescent="0.3">
      <c r="F24454" s="1"/>
    </row>
    <row r="24455" spans="6:14" x14ac:dyDescent="0.3">
      <c r="F24455" s="1"/>
    </row>
    <row r="24456" spans="6:14" x14ac:dyDescent="0.3">
      <c r="F24456" s="1"/>
    </row>
    <row r="24457" spans="6:14" x14ac:dyDescent="0.3">
      <c r="F24457" s="1"/>
    </row>
    <row r="24458" spans="6:14" x14ac:dyDescent="0.3">
      <c r="F24458" s="1"/>
    </row>
    <row r="24459" spans="6:14" x14ac:dyDescent="0.3">
      <c r="F24459" s="1"/>
    </row>
    <row r="24460" spans="6:14" x14ac:dyDescent="0.3">
      <c r="F24460" s="1"/>
    </row>
    <row r="24461" spans="6:14" x14ac:dyDescent="0.3">
      <c r="F24461" s="1"/>
    </row>
    <row r="24462" spans="6:14" x14ac:dyDescent="0.3">
      <c r="F24462" s="1"/>
    </row>
    <row r="24463" spans="6:14" x14ac:dyDescent="0.3">
      <c r="F24463" s="1"/>
      <c r="L24463" s="1"/>
    </row>
    <row r="24464" spans="6:14" x14ac:dyDescent="0.3">
      <c r="F24464" s="1"/>
    </row>
    <row r="24465" spans="6:14" x14ac:dyDescent="0.3">
      <c r="F24465" s="1"/>
      <c r="L24465" s="1"/>
      <c r="M24465" s="1"/>
      <c r="N24465" s="1"/>
    </row>
    <row r="24466" spans="6:14" x14ac:dyDescent="0.3">
      <c r="F24466" s="1"/>
    </row>
    <row r="24467" spans="6:14" x14ac:dyDescent="0.3">
      <c r="F24467" s="1"/>
    </row>
    <row r="24468" spans="6:14" x14ac:dyDescent="0.3">
      <c r="F24468" s="1"/>
      <c r="L24468" s="1"/>
    </row>
    <row r="24469" spans="6:14" x14ac:dyDescent="0.3">
      <c r="F24469" s="1"/>
    </row>
    <row r="24470" spans="6:14" x14ac:dyDescent="0.3">
      <c r="F24470" s="1"/>
    </row>
    <row r="24472" spans="6:14" x14ac:dyDescent="0.3">
      <c r="F24472" s="1"/>
    </row>
    <row r="24473" spans="6:14" x14ac:dyDescent="0.3">
      <c r="F24473" s="1"/>
      <c r="L24473" s="1"/>
    </row>
    <row r="24474" spans="6:14" x14ac:dyDescent="0.3">
      <c r="F24474" s="1"/>
    </row>
    <row r="24475" spans="6:14" x14ac:dyDescent="0.3">
      <c r="F24475" s="1"/>
    </row>
    <row r="24476" spans="6:14" x14ac:dyDescent="0.3">
      <c r="F24476" s="1"/>
    </row>
    <row r="24477" spans="6:14" x14ac:dyDescent="0.3">
      <c r="F24477" s="1"/>
    </row>
    <row r="24478" spans="6:14" x14ac:dyDescent="0.3">
      <c r="F24478" s="1"/>
    </row>
    <row r="24479" spans="6:14" x14ac:dyDescent="0.3">
      <c r="F24479" s="1"/>
    </row>
    <row r="24480" spans="6:14" x14ac:dyDescent="0.3">
      <c r="F24480" s="1"/>
    </row>
    <row r="24481" spans="6:14" x14ac:dyDescent="0.3">
      <c r="F24481" s="1"/>
    </row>
    <row r="24482" spans="6:14" x14ac:dyDescent="0.3">
      <c r="F24482" s="1"/>
    </row>
    <row r="24483" spans="6:14" x14ac:dyDescent="0.3">
      <c r="F24483" s="1"/>
    </row>
    <row r="24484" spans="6:14" x14ac:dyDescent="0.3">
      <c r="F24484" s="1"/>
    </row>
    <row r="24485" spans="6:14" x14ac:dyDescent="0.3">
      <c r="F24485" s="1"/>
    </row>
    <row r="24486" spans="6:14" x14ac:dyDescent="0.3">
      <c r="F24486" s="1"/>
    </row>
    <row r="24487" spans="6:14" x14ac:dyDescent="0.3">
      <c r="F24487" s="1"/>
    </row>
    <row r="24488" spans="6:14" x14ac:dyDescent="0.3">
      <c r="F24488" s="1"/>
    </row>
    <row r="24489" spans="6:14" x14ac:dyDescent="0.3">
      <c r="F24489" s="1"/>
    </row>
    <row r="24490" spans="6:14" x14ac:dyDescent="0.3">
      <c r="F24490" s="1"/>
    </row>
    <row r="24491" spans="6:14" x14ac:dyDescent="0.3">
      <c r="F24491" s="1"/>
    </row>
    <row r="24492" spans="6:14" x14ac:dyDescent="0.3">
      <c r="F24492" s="1"/>
    </row>
    <row r="24493" spans="6:14" x14ac:dyDescent="0.3">
      <c r="F24493" s="1"/>
    </row>
    <row r="24494" spans="6:14" x14ac:dyDescent="0.3">
      <c r="F24494" s="1"/>
    </row>
    <row r="24495" spans="6:14" x14ac:dyDescent="0.3">
      <c r="F24495" s="1"/>
      <c r="N24495" s="1"/>
    </row>
    <row r="24496" spans="6:14" x14ac:dyDescent="0.3">
      <c r="F24496" s="1"/>
    </row>
    <row r="24497" spans="6:15" x14ac:dyDescent="0.3">
      <c r="F24497" s="1"/>
    </row>
    <row r="24498" spans="6:15" x14ac:dyDescent="0.3">
      <c r="F24498" s="1"/>
    </row>
    <row r="24499" spans="6:15" x14ac:dyDescent="0.3">
      <c r="F24499" s="1"/>
    </row>
    <row r="24500" spans="6:15" x14ac:dyDescent="0.3">
      <c r="F24500" s="1"/>
    </row>
    <row r="24501" spans="6:15" x14ac:dyDescent="0.3">
      <c r="F24501" s="1"/>
    </row>
    <row r="24502" spans="6:15" x14ac:dyDescent="0.3">
      <c r="M24502" s="1"/>
      <c r="N24502" s="1"/>
      <c r="O24502" s="1"/>
    </row>
    <row r="24503" spans="6:15" x14ac:dyDescent="0.3">
      <c r="F24503" s="1"/>
    </row>
    <row r="24504" spans="6:15" x14ac:dyDescent="0.3">
      <c r="F24504" s="1"/>
    </row>
    <row r="24505" spans="6:15" x14ac:dyDescent="0.3">
      <c r="F24505" s="1"/>
    </row>
    <row r="24506" spans="6:15" x14ac:dyDescent="0.3">
      <c r="F24506" s="1"/>
    </row>
    <row r="24507" spans="6:15" x14ac:dyDescent="0.3">
      <c r="F24507" s="1"/>
    </row>
    <row r="24509" spans="6:15" x14ac:dyDescent="0.3">
      <c r="F24509" s="1"/>
    </row>
    <row r="24510" spans="6:15" x14ac:dyDescent="0.3">
      <c r="F24510" s="1"/>
      <c r="N24510" s="1"/>
    </row>
    <row r="24511" spans="6:15" x14ac:dyDescent="0.3">
      <c r="F24511" s="1"/>
    </row>
    <row r="24512" spans="6:15" x14ac:dyDescent="0.3">
      <c r="F24512" s="1"/>
    </row>
    <row r="24513" spans="6:15" x14ac:dyDescent="0.3">
      <c r="F24513" s="1"/>
    </row>
    <row r="24514" spans="6:15" x14ac:dyDescent="0.3">
      <c r="F24514" s="1"/>
      <c r="L24514" s="1"/>
      <c r="M24514" s="1"/>
    </row>
    <row r="24515" spans="6:15" x14ac:dyDescent="0.3">
      <c r="F24515" s="1"/>
    </row>
    <row r="24517" spans="6:15" x14ac:dyDescent="0.3">
      <c r="F24517" s="1"/>
    </row>
    <row r="24518" spans="6:15" x14ac:dyDescent="0.3">
      <c r="F24518" s="1"/>
    </row>
    <row r="24519" spans="6:15" x14ac:dyDescent="0.3">
      <c r="F24519" s="1"/>
    </row>
    <row r="24520" spans="6:15" x14ac:dyDescent="0.3">
      <c r="F24520" s="1"/>
    </row>
    <row r="24521" spans="6:15" x14ac:dyDescent="0.3">
      <c r="F24521" s="1"/>
      <c r="L24521" s="1"/>
      <c r="M24521" s="1"/>
      <c r="N24521" s="1"/>
      <c r="O24521" s="1"/>
    </row>
    <row r="24522" spans="6:15" x14ac:dyDescent="0.3">
      <c r="F24522" s="1"/>
    </row>
    <row r="24523" spans="6:15" x14ac:dyDescent="0.3">
      <c r="F24523" s="1"/>
    </row>
    <row r="24524" spans="6:15" x14ac:dyDescent="0.3">
      <c r="F24524" s="1"/>
    </row>
    <row r="24525" spans="6:15" x14ac:dyDescent="0.3">
      <c r="F24525" s="1"/>
    </row>
    <row r="24526" spans="6:15" x14ac:dyDescent="0.3">
      <c r="F24526" s="1"/>
    </row>
    <row r="24528" spans="6:15" x14ac:dyDescent="0.3">
      <c r="F24528" s="1"/>
      <c r="M24528" s="1"/>
    </row>
    <row r="24529" spans="6:13" x14ac:dyDescent="0.3">
      <c r="F24529" s="1"/>
    </row>
    <row r="24530" spans="6:13" x14ac:dyDescent="0.3">
      <c r="F24530" s="1"/>
    </row>
    <row r="24531" spans="6:13" x14ac:dyDescent="0.3">
      <c r="F24531" s="1"/>
    </row>
    <row r="24532" spans="6:13" x14ac:dyDescent="0.3">
      <c r="F24532" s="1"/>
    </row>
    <row r="24533" spans="6:13" x14ac:dyDescent="0.3">
      <c r="F24533" s="1"/>
    </row>
    <row r="24534" spans="6:13" x14ac:dyDescent="0.3">
      <c r="F24534" s="1"/>
      <c r="M24534" s="1"/>
    </row>
    <row r="24535" spans="6:13" x14ac:dyDescent="0.3">
      <c r="F24535" s="1"/>
    </row>
    <row r="24536" spans="6:13" x14ac:dyDescent="0.3">
      <c r="F24536" s="1"/>
    </row>
    <row r="24537" spans="6:13" x14ac:dyDescent="0.3">
      <c r="F24537" s="1"/>
    </row>
    <row r="24538" spans="6:13" x14ac:dyDescent="0.3">
      <c r="F24538" s="1"/>
      <c r="M24538" s="1"/>
    </row>
    <row r="24539" spans="6:13" x14ac:dyDescent="0.3">
      <c r="F24539" s="1"/>
    </row>
    <row r="24540" spans="6:13" x14ac:dyDescent="0.3">
      <c r="F24540" s="1"/>
    </row>
    <row r="24542" spans="6:13" x14ac:dyDescent="0.3">
      <c r="L24542" s="1"/>
    </row>
    <row r="24543" spans="6:13" x14ac:dyDescent="0.3">
      <c r="F24543" s="1"/>
    </row>
    <row r="24544" spans="6:13" x14ac:dyDescent="0.3">
      <c r="F24544" s="1"/>
    </row>
    <row r="24545" spans="6:15" x14ac:dyDescent="0.3">
      <c r="F24545" s="1"/>
    </row>
    <row r="24546" spans="6:15" x14ac:dyDescent="0.3">
      <c r="F24546" s="1"/>
    </row>
    <row r="24547" spans="6:15" x14ac:dyDescent="0.3">
      <c r="F24547" s="1"/>
    </row>
    <row r="24548" spans="6:15" x14ac:dyDescent="0.3">
      <c r="F24548" s="1"/>
    </row>
    <row r="24549" spans="6:15" x14ac:dyDescent="0.3">
      <c r="F24549" s="1"/>
    </row>
    <row r="24550" spans="6:15" x14ac:dyDescent="0.3">
      <c r="M24550" s="1"/>
      <c r="N24550" s="1"/>
    </row>
    <row r="24551" spans="6:15" x14ac:dyDescent="0.3">
      <c r="F24551" s="1"/>
    </row>
    <row r="24552" spans="6:15" x14ac:dyDescent="0.3">
      <c r="F24552" s="1"/>
    </row>
    <row r="24553" spans="6:15" x14ac:dyDescent="0.3">
      <c r="F24553" s="1"/>
    </row>
    <row r="24554" spans="6:15" x14ac:dyDescent="0.3">
      <c r="F24554" s="1"/>
    </row>
    <row r="24555" spans="6:15" x14ac:dyDescent="0.3">
      <c r="F24555" s="1"/>
    </row>
    <row r="24556" spans="6:15" x14ac:dyDescent="0.3">
      <c r="F24556" s="1"/>
    </row>
    <row r="24557" spans="6:15" x14ac:dyDescent="0.3">
      <c r="L24557" s="1"/>
      <c r="O24557" s="1"/>
    </row>
    <row r="24558" spans="6:15" x14ac:dyDescent="0.3">
      <c r="F24558" s="1"/>
    </row>
    <row r="24559" spans="6:15" x14ac:dyDescent="0.3">
      <c r="F24559" s="1"/>
    </row>
    <row r="24560" spans="6:15" x14ac:dyDescent="0.3">
      <c r="F24560" s="1"/>
    </row>
    <row r="24561" spans="6:15" x14ac:dyDescent="0.3">
      <c r="F24561" s="1"/>
    </row>
    <row r="24562" spans="6:15" x14ac:dyDescent="0.3">
      <c r="F24562" s="1"/>
    </row>
    <row r="24563" spans="6:15" x14ac:dyDescent="0.3">
      <c r="F24563" s="1"/>
    </row>
    <row r="24564" spans="6:15" x14ac:dyDescent="0.3">
      <c r="F24564" s="1"/>
    </row>
    <row r="24565" spans="6:15" x14ac:dyDescent="0.3">
      <c r="F24565" s="1"/>
    </row>
    <row r="24566" spans="6:15" x14ac:dyDescent="0.3">
      <c r="F24566" s="1"/>
      <c r="M24566" s="1"/>
      <c r="O24566" s="1"/>
    </row>
    <row r="24567" spans="6:15" x14ac:dyDescent="0.3">
      <c r="F24567" s="1"/>
    </row>
    <row r="24568" spans="6:15" x14ac:dyDescent="0.3">
      <c r="F24568" s="1"/>
    </row>
    <row r="24569" spans="6:15" x14ac:dyDescent="0.3">
      <c r="F24569" s="1"/>
    </row>
    <row r="24570" spans="6:15" x14ac:dyDescent="0.3">
      <c r="F24570" s="1"/>
    </row>
    <row r="24571" spans="6:15" x14ac:dyDescent="0.3">
      <c r="F24571" s="1"/>
    </row>
    <row r="24572" spans="6:15" x14ac:dyDescent="0.3">
      <c r="F24572" s="1"/>
    </row>
    <row r="24573" spans="6:15" x14ac:dyDescent="0.3">
      <c r="F24573" s="1"/>
    </row>
    <row r="24574" spans="6:15" x14ac:dyDescent="0.3">
      <c r="L24574" s="1"/>
      <c r="M24574" s="1"/>
      <c r="O24574" s="1"/>
    </row>
    <row r="24577" spans="6:13" x14ac:dyDescent="0.3">
      <c r="F24577" s="1"/>
    </row>
    <row r="24578" spans="6:13" x14ac:dyDescent="0.3">
      <c r="F24578" s="1"/>
    </row>
    <row r="24579" spans="6:13" x14ac:dyDescent="0.3">
      <c r="F24579" s="1"/>
    </row>
    <row r="24580" spans="6:13" x14ac:dyDescent="0.3">
      <c r="F24580" s="1"/>
    </row>
    <row r="24581" spans="6:13" x14ac:dyDescent="0.3">
      <c r="F24581" s="1"/>
    </row>
    <row r="24582" spans="6:13" x14ac:dyDescent="0.3">
      <c r="F24582" s="1"/>
    </row>
    <row r="24583" spans="6:13" x14ac:dyDescent="0.3">
      <c r="F24583" s="1"/>
    </row>
    <row r="24584" spans="6:13" x14ac:dyDescent="0.3">
      <c r="F24584" s="1"/>
    </row>
    <row r="24585" spans="6:13" x14ac:dyDescent="0.3">
      <c r="F24585" s="1"/>
    </row>
    <row r="24586" spans="6:13" x14ac:dyDescent="0.3">
      <c r="F24586" s="1"/>
    </row>
    <row r="24587" spans="6:13" x14ac:dyDescent="0.3">
      <c r="F24587" s="1"/>
    </row>
    <row r="24588" spans="6:13" x14ac:dyDescent="0.3">
      <c r="F24588" s="1"/>
    </row>
    <row r="24589" spans="6:13" x14ac:dyDescent="0.3">
      <c r="F24589" s="1"/>
    </row>
    <row r="24590" spans="6:13" x14ac:dyDescent="0.3">
      <c r="F24590" s="1"/>
    </row>
    <row r="24591" spans="6:13" x14ac:dyDescent="0.3">
      <c r="F24591" s="1"/>
      <c r="M24591" s="1"/>
    </row>
    <row r="24592" spans="6:13" x14ac:dyDescent="0.3">
      <c r="F24592" s="1"/>
    </row>
    <row r="24593" spans="6:15" x14ac:dyDescent="0.3">
      <c r="F24593" s="1"/>
    </row>
    <row r="24595" spans="6:15" x14ac:dyDescent="0.3">
      <c r="F24595" s="1"/>
    </row>
    <row r="24596" spans="6:15" x14ac:dyDescent="0.3">
      <c r="F24596" s="1"/>
      <c r="N24596" s="1"/>
    </row>
    <row r="24598" spans="6:15" x14ac:dyDescent="0.3">
      <c r="F24598" s="1"/>
    </row>
    <row r="24599" spans="6:15" x14ac:dyDescent="0.3">
      <c r="F24599" s="1"/>
    </row>
    <row r="24600" spans="6:15" x14ac:dyDescent="0.3">
      <c r="F24600" s="1"/>
    </row>
    <row r="24601" spans="6:15" x14ac:dyDescent="0.3">
      <c r="L24601" s="1"/>
      <c r="N24601" s="1"/>
      <c r="O24601" s="1"/>
    </row>
    <row r="24602" spans="6:15" x14ac:dyDescent="0.3">
      <c r="F24602" s="1"/>
    </row>
    <row r="24604" spans="6:15" x14ac:dyDescent="0.3">
      <c r="F24604" s="1"/>
    </row>
    <row r="24605" spans="6:15" x14ac:dyDescent="0.3">
      <c r="F24605" s="1"/>
    </row>
    <row r="24606" spans="6:15" x14ac:dyDescent="0.3">
      <c r="F24606" s="1"/>
    </row>
    <row r="24607" spans="6:15" x14ac:dyDescent="0.3">
      <c r="F24607" s="1"/>
    </row>
    <row r="24608" spans="6:15" x14ac:dyDescent="0.3">
      <c r="F24608" s="1"/>
    </row>
    <row r="24609" spans="6:14" x14ac:dyDescent="0.3">
      <c r="F24609" s="1"/>
      <c r="M24609" s="1"/>
      <c r="N24609" s="1"/>
    </row>
    <row r="24610" spans="6:14" x14ac:dyDescent="0.3">
      <c r="L24610" s="1"/>
      <c r="N24610" s="1"/>
    </row>
    <row r="24611" spans="6:14" x14ac:dyDescent="0.3">
      <c r="F24611" s="1"/>
    </row>
    <row r="24612" spans="6:14" x14ac:dyDescent="0.3">
      <c r="F24612" s="1"/>
    </row>
    <row r="24613" spans="6:14" x14ac:dyDescent="0.3">
      <c r="F24613" s="1"/>
    </row>
    <row r="24615" spans="6:14" x14ac:dyDescent="0.3">
      <c r="F24615" s="1"/>
    </row>
    <row r="24616" spans="6:14" x14ac:dyDescent="0.3">
      <c r="F24616" s="1"/>
      <c r="M24616" s="1"/>
    </row>
    <row r="24617" spans="6:14" x14ac:dyDescent="0.3">
      <c r="F24617" s="1"/>
    </row>
    <row r="24618" spans="6:14" x14ac:dyDescent="0.3">
      <c r="F24618" s="1"/>
      <c r="N24618" s="1"/>
    </row>
    <row r="24619" spans="6:14" x14ac:dyDescent="0.3">
      <c r="F24619" s="1"/>
    </row>
    <row r="24620" spans="6:14" x14ac:dyDescent="0.3">
      <c r="N24620" s="1"/>
    </row>
    <row r="24621" spans="6:14" x14ac:dyDescent="0.3">
      <c r="F24621" s="1"/>
    </row>
    <row r="24622" spans="6:14" x14ac:dyDescent="0.3">
      <c r="F24622" s="1"/>
    </row>
    <row r="24623" spans="6:14" x14ac:dyDescent="0.3">
      <c r="F24623" s="1"/>
    </row>
    <row r="24624" spans="6:14" x14ac:dyDescent="0.3">
      <c r="F24624" s="1"/>
    </row>
    <row r="24626" spans="6:6" x14ac:dyDescent="0.3">
      <c r="F24626" s="1"/>
    </row>
    <row r="24627" spans="6:6" x14ac:dyDescent="0.3">
      <c r="F24627" s="1"/>
    </row>
    <row r="24628" spans="6:6" x14ac:dyDescent="0.3">
      <c r="F24628" s="1"/>
    </row>
    <row r="24629" spans="6:6" x14ac:dyDescent="0.3">
      <c r="F24629" s="1"/>
    </row>
    <row r="24630" spans="6:6" x14ac:dyDescent="0.3">
      <c r="F24630" s="1"/>
    </row>
    <row r="24631" spans="6:6" x14ac:dyDescent="0.3">
      <c r="F24631" s="1"/>
    </row>
    <row r="24632" spans="6:6" x14ac:dyDescent="0.3">
      <c r="F24632" s="1"/>
    </row>
    <row r="24633" spans="6:6" x14ac:dyDescent="0.3">
      <c r="F24633" s="1"/>
    </row>
    <row r="24634" spans="6:6" x14ac:dyDescent="0.3">
      <c r="F24634" s="1"/>
    </row>
    <row r="24635" spans="6:6" x14ac:dyDescent="0.3">
      <c r="F24635" s="1"/>
    </row>
    <row r="24636" spans="6:6" x14ac:dyDescent="0.3">
      <c r="F24636" s="1"/>
    </row>
    <row r="24637" spans="6:6" x14ac:dyDescent="0.3">
      <c r="F24637" s="1"/>
    </row>
    <row r="24638" spans="6:6" x14ac:dyDescent="0.3">
      <c r="F24638" s="1"/>
    </row>
    <row r="24639" spans="6:6" x14ac:dyDescent="0.3">
      <c r="F24639" s="1"/>
    </row>
    <row r="24640" spans="6:6" x14ac:dyDescent="0.3">
      <c r="F24640" s="1"/>
    </row>
    <row r="24641" spans="6:14" x14ac:dyDescent="0.3">
      <c r="F24641" s="1"/>
    </row>
    <row r="24642" spans="6:14" x14ac:dyDescent="0.3">
      <c r="F24642" s="1"/>
    </row>
    <row r="24643" spans="6:14" x14ac:dyDescent="0.3">
      <c r="F24643" s="1"/>
    </row>
    <row r="24644" spans="6:14" x14ac:dyDescent="0.3">
      <c r="F24644" s="1"/>
      <c r="L24644" s="1"/>
      <c r="N24644" s="1"/>
    </row>
    <row r="24645" spans="6:14" x14ac:dyDescent="0.3">
      <c r="F24645" s="1"/>
    </row>
    <row r="24646" spans="6:14" x14ac:dyDescent="0.3">
      <c r="F24646" s="1"/>
    </row>
    <row r="24648" spans="6:14" x14ac:dyDescent="0.3">
      <c r="F24648" s="1"/>
    </row>
    <row r="24649" spans="6:14" x14ac:dyDescent="0.3">
      <c r="F24649" s="1"/>
    </row>
    <row r="24650" spans="6:14" x14ac:dyDescent="0.3">
      <c r="F24650" s="1"/>
    </row>
    <row r="24652" spans="6:14" x14ac:dyDescent="0.3">
      <c r="F24652" s="1"/>
    </row>
    <row r="24653" spans="6:14" x14ac:dyDescent="0.3">
      <c r="F24653" s="1"/>
      <c r="L24653" s="1"/>
    </row>
    <row r="24654" spans="6:14" x14ac:dyDescent="0.3">
      <c r="F24654" s="1"/>
    </row>
    <row r="24655" spans="6:14" x14ac:dyDescent="0.3">
      <c r="F24655" s="1"/>
    </row>
    <row r="24656" spans="6:14" x14ac:dyDescent="0.3">
      <c r="L24656" s="1"/>
      <c r="M24656" s="1"/>
    </row>
    <row r="24657" spans="6:15" x14ac:dyDescent="0.3">
      <c r="F24657" s="1"/>
    </row>
    <row r="24658" spans="6:15" x14ac:dyDescent="0.3">
      <c r="F24658" s="1"/>
    </row>
    <row r="24659" spans="6:15" x14ac:dyDescent="0.3">
      <c r="F24659" s="1"/>
    </row>
    <row r="24661" spans="6:15" x14ac:dyDescent="0.3">
      <c r="F24661" s="1"/>
    </row>
    <row r="24662" spans="6:15" x14ac:dyDescent="0.3">
      <c r="F24662" s="1"/>
    </row>
    <row r="24663" spans="6:15" x14ac:dyDescent="0.3">
      <c r="F24663" s="1"/>
    </row>
    <row r="24664" spans="6:15" x14ac:dyDescent="0.3">
      <c r="F24664" s="1"/>
    </row>
    <row r="24665" spans="6:15" x14ac:dyDescent="0.3">
      <c r="F24665" s="1"/>
    </row>
    <row r="24666" spans="6:15" x14ac:dyDescent="0.3">
      <c r="F24666" s="1"/>
    </row>
    <row r="24667" spans="6:15" x14ac:dyDescent="0.3">
      <c r="F24667" s="1"/>
    </row>
    <row r="24668" spans="6:15" x14ac:dyDescent="0.3">
      <c r="F24668" s="1"/>
    </row>
    <row r="24669" spans="6:15" x14ac:dyDescent="0.3">
      <c r="F24669" s="1"/>
    </row>
    <row r="24670" spans="6:15" x14ac:dyDescent="0.3">
      <c r="M24670" s="1"/>
      <c r="N24670" s="1"/>
      <c r="O24670" s="1"/>
    </row>
    <row r="24673" spans="6:6" x14ac:dyDescent="0.3">
      <c r="F24673" s="1"/>
    </row>
    <row r="24674" spans="6:6" x14ac:dyDescent="0.3">
      <c r="F24674" s="1"/>
    </row>
    <row r="24675" spans="6:6" x14ac:dyDescent="0.3">
      <c r="F24675" s="1"/>
    </row>
    <row r="24676" spans="6:6" x14ac:dyDescent="0.3">
      <c r="F24676" s="1"/>
    </row>
    <row r="24677" spans="6:6" x14ac:dyDescent="0.3">
      <c r="F24677" s="1"/>
    </row>
    <row r="24678" spans="6:6" x14ac:dyDescent="0.3">
      <c r="F24678" s="1"/>
    </row>
    <row r="24679" spans="6:6" x14ac:dyDescent="0.3">
      <c r="F24679" s="1"/>
    </row>
    <row r="24680" spans="6:6" x14ac:dyDescent="0.3">
      <c r="F24680" s="1"/>
    </row>
    <row r="24681" spans="6:6" x14ac:dyDescent="0.3">
      <c r="F24681" s="1"/>
    </row>
    <row r="24683" spans="6:6" x14ac:dyDescent="0.3">
      <c r="F24683" s="1"/>
    </row>
    <row r="24684" spans="6:6" x14ac:dyDescent="0.3">
      <c r="F24684" s="1"/>
    </row>
    <row r="24685" spans="6:6" x14ac:dyDescent="0.3">
      <c r="F24685" s="1"/>
    </row>
    <row r="24687" spans="6:6" x14ac:dyDescent="0.3">
      <c r="F24687" s="1"/>
    </row>
    <row r="24688" spans="6:6" x14ac:dyDescent="0.3">
      <c r="F24688" s="1"/>
    </row>
    <row r="24690" spans="6:14" x14ac:dyDescent="0.3">
      <c r="F24690" s="1"/>
    </row>
    <row r="24691" spans="6:14" x14ac:dyDescent="0.3">
      <c r="F24691" s="1"/>
      <c r="N24691" s="1"/>
    </row>
    <row r="24692" spans="6:14" x14ac:dyDescent="0.3">
      <c r="N24692" s="1"/>
    </row>
    <row r="24693" spans="6:14" x14ac:dyDescent="0.3">
      <c r="F24693" s="1"/>
    </row>
    <row r="24694" spans="6:14" x14ac:dyDescent="0.3">
      <c r="F24694" s="1"/>
    </row>
    <row r="24695" spans="6:14" x14ac:dyDescent="0.3">
      <c r="F24695" s="1"/>
    </row>
    <row r="24696" spans="6:14" x14ac:dyDescent="0.3">
      <c r="F24696" s="1"/>
    </row>
    <row r="24698" spans="6:14" x14ac:dyDescent="0.3">
      <c r="F24698" s="1"/>
    </row>
    <row r="24699" spans="6:14" x14ac:dyDescent="0.3">
      <c r="F24699" s="1"/>
    </row>
    <row r="24700" spans="6:14" x14ac:dyDescent="0.3">
      <c r="F24700" s="1"/>
    </row>
    <row r="24701" spans="6:14" x14ac:dyDescent="0.3">
      <c r="F24701" s="1"/>
      <c r="L24701" s="1"/>
      <c r="M24701" s="1"/>
    </row>
    <row r="24705" spans="6:15" x14ac:dyDescent="0.3">
      <c r="F24705" s="1"/>
    </row>
    <row r="24706" spans="6:15" x14ac:dyDescent="0.3">
      <c r="F24706" s="1"/>
      <c r="M24706" s="1"/>
      <c r="O24706" s="1"/>
    </row>
    <row r="24707" spans="6:15" x14ac:dyDescent="0.3">
      <c r="F24707" s="1"/>
    </row>
    <row r="24709" spans="6:15" x14ac:dyDescent="0.3">
      <c r="F24709" s="1"/>
    </row>
    <row r="24710" spans="6:15" x14ac:dyDescent="0.3">
      <c r="F24710" s="1"/>
    </row>
    <row r="24711" spans="6:15" x14ac:dyDescent="0.3">
      <c r="F24711" s="1"/>
    </row>
    <row r="24712" spans="6:15" x14ac:dyDescent="0.3">
      <c r="F24712" s="1"/>
    </row>
    <row r="24713" spans="6:15" x14ac:dyDescent="0.3">
      <c r="F24713" s="1"/>
    </row>
    <row r="24714" spans="6:15" x14ac:dyDescent="0.3">
      <c r="F24714" s="1"/>
    </row>
    <row r="24715" spans="6:15" x14ac:dyDescent="0.3">
      <c r="F24715" s="1"/>
    </row>
    <row r="24716" spans="6:15" x14ac:dyDescent="0.3">
      <c r="F24716" s="1"/>
    </row>
    <row r="24717" spans="6:15" x14ac:dyDescent="0.3">
      <c r="F24717" s="1"/>
    </row>
    <row r="24718" spans="6:15" x14ac:dyDescent="0.3">
      <c r="F24718" s="1"/>
    </row>
    <row r="24719" spans="6:15" x14ac:dyDescent="0.3">
      <c r="F24719" s="1"/>
    </row>
    <row r="24720" spans="6:15" x14ac:dyDescent="0.3">
      <c r="F24720" s="1"/>
    </row>
    <row r="24721" spans="6:14" x14ac:dyDescent="0.3">
      <c r="F24721" s="1"/>
      <c r="N24721" s="1"/>
    </row>
    <row r="24722" spans="6:14" x14ac:dyDescent="0.3">
      <c r="F24722" s="1"/>
      <c r="N24722" s="1"/>
    </row>
    <row r="24723" spans="6:14" x14ac:dyDescent="0.3">
      <c r="F24723" s="1"/>
    </row>
    <row r="24724" spans="6:14" x14ac:dyDescent="0.3">
      <c r="F24724" s="1"/>
    </row>
    <row r="24725" spans="6:14" x14ac:dyDescent="0.3">
      <c r="F24725" s="1"/>
    </row>
    <row r="24726" spans="6:14" x14ac:dyDescent="0.3">
      <c r="F24726" s="1"/>
    </row>
    <row r="24727" spans="6:14" x14ac:dyDescent="0.3">
      <c r="F24727" s="1"/>
    </row>
    <row r="24728" spans="6:14" x14ac:dyDescent="0.3">
      <c r="F24728" s="1"/>
      <c r="M24728" s="1"/>
    </row>
    <row r="24729" spans="6:14" x14ac:dyDescent="0.3">
      <c r="F24729" s="1"/>
    </row>
    <row r="24730" spans="6:14" x14ac:dyDescent="0.3">
      <c r="F24730" s="1"/>
    </row>
    <row r="24731" spans="6:14" x14ac:dyDescent="0.3">
      <c r="F24731" s="1"/>
    </row>
    <row r="24732" spans="6:14" x14ac:dyDescent="0.3">
      <c r="F24732" s="1"/>
    </row>
    <row r="24733" spans="6:14" x14ac:dyDescent="0.3">
      <c r="F24733" s="1"/>
    </row>
    <row r="24734" spans="6:14" x14ac:dyDescent="0.3">
      <c r="F24734" s="1"/>
    </row>
    <row r="24735" spans="6:14" x14ac:dyDescent="0.3">
      <c r="F24735" s="1"/>
    </row>
    <row r="24736" spans="6:14" x14ac:dyDescent="0.3">
      <c r="F24736" s="1"/>
    </row>
    <row r="24737" spans="6:13" x14ac:dyDescent="0.3">
      <c r="F24737" s="1"/>
    </row>
    <row r="24739" spans="6:13" x14ac:dyDescent="0.3">
      <c r="F24739" s="1"/>
    </row>
    <row r="24740" spans="6:13" x14ac:dyDescent="0.3">
      <c r="F24740" s="1"/>
      <c r="M24740" s="1"/>
    </row>
    <row r="24741" spans="6:13" x14ac:dyDescent="0.3">
      <c r="F24741" s="1"/>
    </row>
    <row r="24742" spans="6:13" x14ac:dyDescent="0.3">
      <c r="F24742" s="1"/>
    </row>
    <row r="24743" spans="6:13" x14ac:dyDescent="0.3">
      <c r="F24743" s="1"/>
    </row>
    <row r="24744" spans="6:13" x14ac:dyDescent="0.3">
      <c r="F24744" s="1"/>
    </row>
    <row r="24745" spans="6:13" x14ac:dyDescent="0.3">
      <c r="F24745" s="1"/>
    </row>
    <row r="24746" spans="6:13" x14ac:dyDescent="0.3">
      <c r="F24746" s="1"/>
    </row>
    <row r="24747" spans="6:13" x14ac:dyDescent="0.3">
      <c r="F24747" s="1"/>
    </row>
    <row r="24748" spans="6:13" x14ac:dyDescent="0.3">
      <c r="F24748" s="1"/>
    </row>
    <row r="24749" spans="6:13" x14ac:dyDescent="0.3">
      <c r="F24749" s="1"/>
    </row>
    <row r="24750" spans="6:13" x14ac:dyDescent="0.3">
      <c r="F24750" s="1"/>
    </row>
    <row r="24751" spans="6:13" x14ac:dyDescent="0.3">
      <c r="F24751" s="1"/>
    </row>
    <row r="24752" spans="6:13" x14ac:dyDescent="0.3">
      <c r="F24752" s="1"/>
    </row>
    <row r="24753" spans="6:15" x14ac:dyDescent="0.3">
      <c r="F24753" s="1"/>
    </row>
    <row r="24754" spans="6:15" x14ac:dyDescent="0.3">
      <c r="F24754" s="1"/>
    </row>
    <row r="24755" spans="6:15" x14ac:dyDescent="0.3">
      <c r="O24755" s="1"/>
    </row>
    <row r="24756" spans="6:15" x14ac:dyDescent="0.3">
      <c r="M24756" s="1"/>
      <c r="N24756" s="1"/>
    </row>
    <row r="24757" spans="6:15" x14ac:dyDescent="0.3">
      <c r="F24757" s="1"/>
    </row>
    <row r="24758" spans="6:15" x14ac:dyDescent="0.3">
      <c r="F24758" s="1"/>
    </row>
    <row r="24759" spans="6:15" x14ac:dyDescent="0.3">
      <c r="F24759" s="1"/>
    </row>
    <row r="24762" spans="6:15" x14ac:dyDescent="0.3">
      <c r="F24762" s="1"/>
    </row>
    <row r="24763" spans="6:15" x14ac:dyDescent="0.3">
      <c r="F24763" s="1"/>
    </row>
    <row r="24764" spans="6:15" x14ac:dyDescent="0.3">
      <c r="F24764" s="1"/>
    </row>
    <row r="24765" spans="6:15" x14ac:dyDescent="0.3">
      <c r="F24765" s="1"/>
    </row>
    <row r="24766" spans="6:15" x14ac:dyDescent="0.3">
      <c r="F24766" s="1"/>
    </row>
    <row r="24767" spans="6:15" x14ac:dyDescent="0.3">
      <c r="F24767" s="1"/>
    </row>
    <row r="24768" spans="6:15" x14ac:dyDescent="0.3">
      <c r="F24768" s="1"/>
    </row>
    <row r="24769" spans="6:15" x14ac:dyDescent="0.3">
      <c r="F24769" s="1"/>
    </row>
    <row r="24770" spans="6:15" x14ac:dyDescent="0.3">
      <c r="F24770" s="1"/>
      <c r="N24770" s="1"/>
    </row>
    <row r="24771" spans="6:15" x14ac:dyDescent="0.3">
      <c r="F24771" s="1"/>
    </row>
    <row r="24772" spans="6:15" x14ac:dyDescent="0.3">
      <c r="F24772" s="1"/>
    </row>
    <row r="24773" spans="6:15" x14ac:dyDescent="0.3">
      <c r="O24773" s="1"/>
    </row>
    <row r="24774" spans="6:15" x14ac:dyDescent="0.3">
      <c r="F24774" s="1"/>
    </row>
    <row r="24775" spans="6:15" x14ac:dyDescent="0.3">
      <c r="F24775" s="1"/>
    </row>
    <row r="24776" spans="6:15" x14ac:dyDescent="0.3">
      <c r="F24776" s="1"/>
    </row>
    <row r="24777" spans="6:15" x14ac:dyDescent="0.3">
      <c r="F24777" s="1"/>
    </row>
    <row r="24778" spans="6:15" x14ac:dyDescent="0.3">
      <c r="F24778" s="1"/>
    </row>
    <row r="24780" spans="6:15" x14ac:dyDescent="0.3">
      <c r="F24780" s="1"/>
    </row>
    <row r="24782" spans="6:15" x14ac:dyDescent="0.3">
      <c r="F24782" s="1"/>
    </row>
    <row r="24783" spans="6:15" x14ac:dyDescent="0.3">
      <c r="F24783" s="1"/>
    </row>
    <row r="24784" spans="6:15" x14ac:dyDescent="0.3">
      <c r="F24784" s="1"/>
      <c r="N24784" s="1"/>
    </row>
    <row r="24785" spans="6:6" x14ac:dyDescent="0.3">
      <c r="F24785" s="1"/>
    </row>
    <row r="24788" spans="6:6" x14ac:dyDescent="0.3">
      <c r="F24788" s="1"/>
    </row>
    <row r="24789" spans="6:6" x14ac:dyDescent="0.3">
      <c r="F24789" s="1"/>
    </row>
    <row r="24790" spans="6:6" x14ac:dyDescent="0.3">
      <c r="F24790" s="1"/>
    </row>
    <row r="24791" spans="6:6" x14ac:dyDescent="0.3">
      <c r="F24791" s="1"/>
    </row>
    <row r="24792" spans="6:6" x14ac:dyDescent="0.3">
      <c r="F24792" s="1"/>
    </row>
    <row r="24793" spans="6:6" x14ac:dyDescent="0.3">
      <c r="F24793" s="1"/>
    </row>
    <row r="24797" spans="6:6" x14ac:dyDescent="0.3">
      <c r="F24797" s="1"/>
    </row>
    <row r="24798" spans="6:6" x14ac:dyDescent="0.3">
      <c r="F24798" s="1"/>
    </row>
    <row r="24800" spans="6:6" x14ac:dyDescent="0.3">
      <c r="F24800" s="1"/>
    </row>
    <row r="24801" spans="6:13" x14ac:dyDescent="0.3">
      <c r="F24801" s="1"/>
    </row>
    <row r="24802" spans="6:13" x14ac:dyDescent="0.3">
      <c r="F24802" s="1"/>
    </row>
    <row r="24804" spans="6:13" x14ac:dyDescent="0.3">
      <c r="F24804" s="1"/>
    </row>
    <row r="24806" spans="6:13" x14ac:dyDescent="0.3">
      <c r="F24806" s="1"/>
    </row>
    <row r="24807" spans="6:13" x14ac:dyDescent="0.3">
      <c r="F24807" s="1"/>
    </row>
    <row r="24808" spans="6:13" x14ac:dyDescent="0.3">
      <c r="F24808" s="1"/>
    </row>
    <row r="24809" spans="6:13" x14ac:dyDescent="0.3">
      <c r="F24809" s="1"/>
    </row>
    <row r="24811" spans="6:13" x14ac:dyDescent="0.3">
      <c r="F24811" s="1"/>
      <c r="M24811" s="1"/>
    </row>
    <row r="24812" spans="6:13" x14ac:dyDescent="0.3">
      <c r="F24812" s="1"/>
    </row>
    <row r="24813" spans="6:13" x14ac:dyDescent="0.3">
      <c r="F24813" s="1"/>
    </row>
    <row r="24814" spans="6:13" x14ac:dyDescent="0.3">
      <c r="F24814" s="1"/>
    </row>
    <row r="24815" spans="6:13" x14ac:dyDescent="0.3">
      <c r="F24815" s="1"/>
    </row>
    <row r="24816" spans="6:13" x14ac:dyDescent="0.3">
      <c r="F24816" s="1"/>
    </row>
    <row r="24817" spans="6:15" x14ac:dyDescent="0.3">
      <c r="F24817" s="1"/>
    </row>
    <row r="24818" spans="6:15" x14ac:dyDescent="0.3">
      <c r="M24818" s="1"/>
    </row>
    <row r="24819" spans="6:15" x14ac:dyDescent="0.3">
      <c r="F24819" s="1"/>
    </row>
    <row r="24820" spans="6:15" x14ac:dyDescent="0.3">
      <c r="F24820" s="1"/>
    </row>
    <row r="24821" spans="6:15" x14ac:dyDescent="0.3">
      <c r="F24821" s="1"/>
    </row>
    <row r="24822" spans="6:15" x14ac:dyDescent="0.3">
      <c r="F24822" s="1"/>
    </row>
    <row r="24823" spans="6:15" x14ac:dyDescent="0.3">
      <c r="F24823" s="1"/>
    </row>
    <row r="24824" spans="6:15" x14ac:dyDescent="0.3">
      <c r="F24824" s="1"/>
    </row>
    <row r="24826" spans="6:15" x14ac:dyDescent="0.3">
      <c r="F24826" s="1"/>
    </row>
    <row r="24827" spans="6:15" x14ac:dyDescent="0.3">
      <c r="M24827" s="1"/>
    </row>
    <row r="24828" spans="6:15" x14ac:dyDescent="0.3">
      <c r="F24828" s="1"/>
      <c r="M24828" s="1"/>
      <c r="N24828" s="1"/>
    </row>
    <row r="24829" spans="6:15" x14ac:dyDescent="0.3">
      <c r="F24829" s="1"/>
    </row>
    <row r="24830" spans="6:15" x14ac:dyDescent="0.3">
      <c r="F24830" s="1"/>
    </row>
    <row r="24832" spans="6:15" x14ac:dyDescent="0.3">
      <c r="L24832" s="1"/>
      <c r="O24832" s="1"/>
    </row>
    <row r="24833" spans="6:15" x14ac:dyDescent="0.3">
      <c r="F24833" s="1"/>
    </row>
    <row r="24834" spans="6:15" x14ac:dyDescent="0.3">
      <c r="F24834" s="1"/>
    </row>
    <row r="24835" spans="6:15" x14ac:dyDescent="0.3">
      <c r="F24835" s="1"/>
      <c r="N24835" s="1"/>
    </row>
    <row r="24836" spans="6:15" x14ac:dyDescent="0.3">
      <c r="F24836" s="1"/>
    </row>
    <row r="24837" spans="6:15" x14ac:dyDescent="0.3">
      <c r="F24837" s="1"/>
    </row>
    <row r="24838" spans="6:15" x14ac:dyDescent="0.3">
      <c r="F24838" s="1"/>
    </row>
    <row r="24839" spans="6:15" x14ac:dyDescent="0.3">
      <c r="F24839" s="1"/>
    </row>
    <row r="24840" spans="6:15" x14ac:dyDescent="0.3">
      <c r="F24840" s="1"/>
    </row>
    <row r="24841" spans="6:15" x14ac:dyDescent="0.3">
      <c r="F24841" s="1"/>
      <c r="L24841" s="1"/>
    </row>
    <row r="24842" spans="6:15" x14ac:dyDescent="0.3">
      <c r="F24842" s="1"/>
    </row>
    <row r="24843" spans="6:15" x14ac:dyDescent="0.3">
      <c r="F24843" s="1"/>
    </row>
    <row r="24844" spans="6:15" x14ac:dyDescent="0.3">
      <c r="F24844" s="1"/>
      <c r="M24844" s="1"/>
    </row>
    <row r="24845" spans="6:15" x14ac:dyDescent="0.3">
      <c r="F24845" s="1"/>
      <c r="M24845" s="1"/>
    </row>
    <row r="24846" spans="6:15" x14ac:dyDescent="0.3">
      <c r="F24846" s="1"/>
    </row>
    <row r="24847" spans="6:15" x14ac:dyDescent="0.3">
      <c r="F24847" s="1"/>
    </row>
    <row r="24848" spans="6:15" x14ac:dyDescent="0.3">
      <c r="L24848" s="1"/>
      <c r="M24848" s="1"/>
      <c r="O24848" s="1"/>
    </row>
    <row r="24850" spans="6:15" x14ac:dyDescent="0.3">
      <c r="F24850" s="1"/>
    </row>
    <row r="24851" spans="6:15" x14ac:dyDescent="0.3">
      <c r="F24851" s="1"/>
    </row>
    <row r="24852" spans="6:15" x14ac:dyDescent="0.3">
      <c r="F24852" s="1"/>
    </row>
    <row r="24853" spans="6:15" x14ac:dyDescent="0.3">
      <c r="F24853" s="1"/>
    </row>
    <row r="24854" spans="6:15" x14ac:dyDescent="0.3">
      <c r="F24854" s="1"/>
    </row>
    <row r="24855" spans="6:15" x14ac:dyDescent="0.3">
      <c r="F24855" s="1"/>
    </row>
    <row r="24856" spans="6:15" x14ac:dyDescent="0.3">
      <c r="O24856" s="1"/>
    </row>
    <row r="24857" spans="6:15" x14ac:dyDescent="0.3">
      <c r="F24857" s="1"/>
    </row>
    <row r="24859" spans="6:15" x14ac:dyDescent="0.3">
      <c r="F24859" s="1"/>
    </row>
    <row r="24860" spans="6:15" x14ac:dyDescent="0.3">
      <c r="F24860" s="1"/>
      <c r="N24860" s="1"/>
    </row>
    <row r="24861" spans="6:15" x14ac:dyDescent="0.3">
      <c r="F24861" s="1"/>
    </row>
    <row r="24862" spans="6:15" x14ac:dyDescent="0.3">
      <c r="F24862" s="1"/>
      <c r="M24862" s="1"/>
      <c r="O24862" s="1"/>
    </row>
    <row r="24864" spans="6:15" x14ac:dyDescent="0.3">
      <c r="F24864" s="1"/>
    </row>
    <row r="24865" spans="6:12" x14ac:dyDescent="0.3">
      <c r="F24865" s="1"/>
    </row>
    <row r="24866" spans="6:12" x14ac:dyDescent="0.3">
      <c r="F24866" s="1"/>
    </row>
    <row r="24867" spans="6:12" x14ac:dyDescent="0.3">
      <c r="F24867" s="1"/>
    </row>
    <row r="24869" spans="6:12" x14ac:dyDescent="0.3">
      <c r="F24869" s="1"/>
    </row>
    <row r="24870" spans="6:12" x14ac:dyDescent="0.3">
      <c r="F24870" s="1"/>
      <c r="L24870" s="1"/>
    </row>
    <row r="24873" spans="6:12" x14ac:dyDescent="0.3">
      <c r="F24873" s="1"/>
    </row>
    <row r="24874" spans="6:12" x14ac:dyDescent="0.3">
      <c r="F24874" s="1"/>
    </row>
    <row r="24875" spans="6:12" x14ac:dyDescent="0.3">
      <c r="F24875" s="1"/>
    </row>
    <row r="24877" spans="6:12" x14ac:dyDescent="0.3">
      <c r="F24877" s="1"/>
    </row>
    <row r="24878" spans="6:12" x14ac:dyDescent="0.3">
      <c r="F24878" s="1"/>
    </row>
    <row r="24879" spans="6:12" x14ac:dyDescent="0.3">
      <c r="F24879" s="1"/>
    </row>
    <row r="24880" spans="6:12" x14ac:dyDescent="0.3">
      <c r="F24880" s="1"/>
    </row>
    <row r="24881" spans="6:12" x14ac:dyDescent="0.3">
      <c r="F24881" s="1"/>
    </row>
    <row r="24882" spans="6:12" x14ac:dyDescent="0.3">
      <c r="F24882" s="1"/>
    </row>
    <row r="24883" spans="6:12" x14ac:dyDescent="0.3">
      <c r="F24883" s="1"/>
      <c r="L24883" s="1"/>
    </row>
    <row r="24884" spans="6:12" x14ac:dyDescent="0.3">
      <c r="F24884" s="1"/>
    </row>
    <row r="24885" spans="6:12" x14ac:dyDescent="0.3">
      <c r="F24885" s="1"/>
    </row>
    <row r="24887" spans="6:12" x14ac:dyDescent="0.3">
      <c r="F24887" s="1"/>
    </row>
    <row r="24888" spans="6:12" x14ac:dyDescent="0.3">
      <c r="F24888" s="1"/>
    </row>
    <row r="24889" spans="6:12" x14ac:dyDescent="0.3">
      <c r="F24889" s="1"/>
    </row>
    <row r="24890" spans="6:12" x14ac:dyDescent="0.3">
      <c r="F24890" s="1"/>
    </row>
    <row r="24891" spans="6:12" x14ac:dyDescent="0.3">
      <c r="F24891" s="1"/>
    </row>
    <row r="24892" spans="6:12" x14ac:dyDescent="0.3">
      <c r="F24892" s="1"/>
    </row>
    <row r="24893" spans="6:12" x14ac:dyDescent="0.3">
      <c r="F24893" s="1"/>
    </row>
    <row r="24895" spans="6:12" x14ac:dyDescent="0.3">
      <c r="F24895" s="1"/>
    </row>
    <row r="24896" spans="6:12" x14ac:dyDescent="0.3">
      <c r="F24896" s="1"/>
    </row>
    <row r="24897" spans="6:14" x14ac:dyDescent="0.3">
      <c r="F24897" s="1"/>
      <c r="M24897" s="1"/>
      <c r="N24897" s="1"/>
    </row>
    <row r="24898" spans="6:14" x14ac:dyDescent="0.3">
      <c r="F24898" s="1"/>
    </row>
    <row r="24899" spans="6:14" x14ac:dyDescent="0.3">
      <c r="F24899" s="1"/>
    </row>
    <row r="24900" spans="6:14" x14ac:dyDescent="0.3">
      <c r="F24900" s="1"/>
    </row>
    <row r="24901" spans="6:14" x14ac:dyDescent="0.3">
      <c r="F24901" s="1"/>
    </row>
    <row r="24902" spans="6:14" x14ac:dyDescent="0.3">
      <c r="F24902" s="1"/>
    </row>
    <row r="24903" spans="6:14" x14ac:dyDescent="0.3">
      <c r="F24903" s="1"/>
    </row>
    <row r="24904" spans="6:14" x14ac:dyDescent="0.3">
      <c r="F24904" s="1"/>
    </row>
    <row r="24905" spans="6:14" x14ac:dyDescent="0.3">
      <c r="F24905" s="1"/>
    </row>
    <row r="24906" spans="6:14" x14ac:dyDescent="0.3">
      <c r="F24906" s="1"/>
    </row>
    <row r="24907" spans="6:14" x14ac:dyDescent="0.3">
      <c r="F24907" s="1"/>
    </row>
    <row r="24908" spans="6:14" x14ac:dyDescent="0.3">
      <c r="F24908" s="1"/>
    </row>
    <row r="24909" spans="6:14" x14ac:dyDescent="0.3">
      <c r="F24909" s="1"/>
    </row>
    <row r="24910" spans="6:14" x14ac:dyDescent="0.3">
      <c r="F24910" s="1"/>
    </row>
    <row r="24911" spans="6:14" x14ac:dyDescent="0.3">
      <c r="F24911" s="1"/>
    </row>
    <row r="24912" spans="6:14" x14ac:dyDescent="0.3">
      <c r="F24912" s="1"/>
    </row>
    <row r="24913" spans="6:14" x14ac:dyDescent="0.3">
      <c r="F24913" s="1"/>
    </row>
    <row r="24914" spans="6:14" x14ac:dyDescent="0.3">
      <c r="F24914" s="1"/>
    </row>
    <row r="24915" spans="6:14" x14ac:dyDescent="0.3">
      <c r="F24915" s="1"/>
    </row>
    <row r="24916" spans="6:14" x14ac:dyDescent="0.3">
      <c r="F24916" s="1"/>
      <c r="M24916" s="1"/>
      <c r="N24916" s="1"/>
    </row>
    <row r="24917" spans="6:14" x14ac:dyDescent="0.3">
      <c r="F24917" s="1"/>
    </row>
    <row r="24918" spans="6:14" x14ac:dyDescent="0.3">
      <c r="F24918" s="1"/>
    </row>
    <row r="24919" spans="6:14" x14ac:dyDescent="0.3">
      <c r="F24919" s="1"/>
      <c r="N24919" s="1"/>
    </row>
    <row r="24920" spans="6:14" x14ac:dyDescent="0.3">
      <c r="L24920" s="1"/>
      <c r="M24920" s="1"/>
    </row>
    <row r="24921" spans="6:14" x14ac:dyDescent="0.3">
      <c r="F24921" s="1"/>
    </row>
    <row r="24922" spans="6:14" x14ac:dyDescent="0.3">
      <c r="F24922" s="1"/>
    </row>
    <row r="24923" spans="6:14" x14ac:dyDescent="0.3">
      <c r="F24923" s="1"/>
    </row>
    <row r="24924" spans="6:14" x14ac:dyDescent="0.3">
      <c r="F24924" s="1"/>
    </row>
    <row r="24925" spans="6:14" x14ac:dyDescent="0.3">
      <c r="F24925" s="1"/>
    </row>
    <row r="24927" spans="6:14" x14ac:dyDescent="0.3">
      <c r="F24927" s="1"/>
    </row>
    <row r="24928" spans="6:14" x14ac:dyDescent="0.3">
      <c r="F24928" s="1"/>
    </row>
    <row r="24929" spans="6:15" x14ac:dyDescent="0.3">
      <c r="F24929" s="1"/>
    </row>
    <row r="24930" spans="6:15" x14ac:dyDescent="0.3">
      <c r="F24930" s="1"/>
    </row>
    <row r="24931" spans="6:15" x14ac:dyDescent="0.3">
      <c r="L24931" s="1"/>
      <c r="M24931" s="1"/>
      <c r="N24931" s="1"/>
      <c r="O24931" s="1"/>
    </row>
    <row r="24932" spans="6:15" x14ac:dyDescent="0.3">
      <c r="N24932" s="1"/>
      <c r="O24932" s="1"/>
    </row>
    <row r="24933" spans="6:15" x14ac:dyDescent="0.3">
      <c r="F24933" s="1"/>
    </row>
    <row r="24934" spans="6:15" x14ac:dyDescent="0.3">
      <c r="F24934" s="1"/>
    </row>
    <row r="24935" spans="6:15" x14ac:dyDescent="0.3">
      <c r="F24935" s="1"/>
    </row>
    <row r="24936" spans="6:15" x14ac:dyDescent="0.3">
      <c r="F24936" s="1"/>
    </row>
    <row r="24937" spans="6:15" x14ac:dyDescent="0.3">
      <c r="L24937" s="1"/>
      <c r="M24937" s="1"/>
      <c r="N24937" s="1"/>
      <c r="O24937" s="1"/>
    </row>
    <row r="24940" spans="6:15" x14ac:dyDescent="0.3">
      <c r="F24940" s="1"/>
    </row>
    <row r="24941" spans="6:15" x14ac:dyDescent="0.3">
      <c r="F24941" s="1"/>
    </row>
    <row r="24944" spans="6:15" x14ac:dyDescent="0.3">
      <c r="F24944" s="1"/>
    </row>
    <row r="24945" spans="6:6" x14ac:dyDescent="0.3">
      <c r="F24945" s="1"/>
    </row>
    <row r="24946" spans="6:6" x14ac:dyDescent="0.3">
      <c r="F24946" s="1"/>
    </row>
    <row r="24947" spans="6:6" x14ac:dyDescent="0.3">
      <c r="F24947" s="1"/>
    </row>
    <row r="24948" spans="6:6" x14ac:dyDescent="0.3">
      <c r="F24948" s="1"/>
    </row>
    <row r="24949" spans="6:6" x14ac:dyDescent="0.3">
      <c r="F24949" s="1"/>
    </row>
    <row r="24951" spans="6:6" x14ac:dyDescent="0.3">
      <c r="F24951" s="1"/>
    </row>
    <row r="24952" spans="6:6" x14ac:dyDescent="0.3">
      <c r="F24952" s="1"/>
    </row>
    <row r="24953" spans="6:6" x14ac:dyDescent="0.3">
      <c r="F24953" s="1"/>
    </row>
    <row r="24954" spans="6:6" x14ac:dyDescent="0.3">
      <c r="F24954" s="1"/>
    </row>
    <row r="24955" spans="6:6" x14ac:dyDescent="0.3">
      <c r="F24955" s="1"/>
    </row>
    <row r="24956" spans="6:6" x14ac:dyDescent="0.3">
      <c r="F24956" s="1"/>
    </row>
    <row r="24957" spans="6:6" x14ac:dyDescent="0.3">
      <c r="F24957" s="1"/>
    </row>
    <row r="24958" spans="6:6" x14ac:dyDescent="0.3">
      <c r="F24958" s="1"/>
    </row>
    <row r="24959" spans="6:6" x14ac:dyDescent="0.3">
      <c r="F24959" s="1"/>
    </row>
    <row r="24960" spans="6:6" x14ac:dyDescent="0.3">
      <c r="F24960" s="1"/>
    </row>
    <row r="24961" spans="6:12" x14ac:dyDescent="0.3">
      <c r="F24961" s="1"/>
    </row>
    <row r="24962" spans="6:12" x14ac:dyDescent="0.3">
      <c r="F24962" s="1"/>
    </row>
    <row r="24963" spans="6:12" x14ac:dyDescent="0.3">
      <c r="F24963" s="1"/>
    </row>
    <row r="24964" spans="6:12" x14ac:dyDescent="0.3">
      <c r="F24964" s="1"/>
    </row>
    <row r="24966" spans="6:12" x14ac:dyDescent="0.3">
      <c r="F24966" s="1"/>
    </row>
    <row r="24967" spans="6:12" x14ac:dyDescent="0.3">
      <c r="F24967" s="1"/>
      <c r="L24967" s="1"/>
    </row>
    <row r="24968" spans="6:12" x14ac:dyDescent="0.3">
      <c r="F24968" s="1"/>
    </row>
    <row r="24969" spans="6:12" x14ac:dyDescent="0.3">
      <c r="F24969" s="1"/>
    </row>
    <row r="24970" spans="6:12" x14ac:dyDescent="0.3">
      <c r="F24970" s="1"/>
    </row>
    <row r="24971" spans="6:12" x14ac:dyDescent="0.3">
      <c r="F24971" s="1"/>
    </row>
    <row r="24972" spans="6:12" x14ac:dyDescent="0.3">
      <c r="F24972" s="1"/>
    </row>
    <row r="24973" spans="6:12" x14ac:dyDescent="0.3">
      <c r="F24973" s="1"/>
    </row>
    <row r="24974" spans="6:12" x14ac:dyDescent="0.3">
      <c r="F24974" s="1"/>
    </row>
    <row r="24975" spans="6:12" x14ac:dyDescent="0.3">
      <c r="F24975" s="1"/>
    </row>
    <row r="24976" spans="6:12" x14ac:dyDescent="0.3">
      <c r="F24976" s="1"/>
    </row>
    <row r="24977" spans="6:6" x14ac:dyDescent="0.3">
      <c r="F24977" s="1"/>
    </row>
    <row r="24978" spans="6:6" x14ac:dyDescent="0.3">
      <c r="F24978" s="1"/>
    </row>
    <row r="24980" spans="6:6" x14ac:dyDescent="0.3">
      <c r="F24980" s="1"/>
    </row>
    <row r="24981" spans="6:6" x14ac:dyDescent="0.3">
      <c r="F24981" s="1"/>
    </row>
    <row r="24982" spans="6:6" x14ac:dyDescent="0.3">
      <c r="F24982" s="1"/>
    </row>
    <row r="24983" spans="6:6" x14ac:dyDescent="0.3">
      <c r="F24983" s="1"/>
    </row>
    <row r="24984" spans="6:6" x14ac:dyDescent="0.3">
      <c r="F24984" s="1"/>
    </row>
    <row r="24985" spans="6:6" x14ac:dyDescent="0.3">
      <c r="F24985" s="1"/>
    </row>
    <row r="24986" spans="6:6" x14ac:dyDescent="0.3">
      <c r="F24986" s="1"/>
    </row>
    <row r="24987" spans="6:6" x14ac:dyDescent="0.3">
      <c r="F24987" s="1"/>
    </row>
    <row r="24989" spans="6:6" x14ac:dyDescent="0.3">
      <c r="F24989" s="1"/>
    </row>
    <row r="24990" spans="6:6" x14ac:dyDescent="0.3">
      <c r="F24990" s="1"/>
    </row>
    <row r="24991" spans="6:6" x14ac:dyDescent="0.3">
      <c r="F24991" s="1"/>
    </row>
    <row r="24992" spans="6:6" x14ac:dyDescent="0.3">
      <c r="F24992" s="1"/>
    </row>
    <row r="24993" spans="6:14" x14ac:dyDescent="0.3">
      <c r="F24993" s="1"/>
    </row>
    <row r="24994" spans="6:14" x14ac:dyDescent="0.3">
      <c r="F24994" s="1"/>
    </row>
    <row r="24995" spans="6:14" x14ac:dyDescent="0.3">
      <c r="F24995" s="1"/>
    </row>
    <row r="24996" spans="6:14" x14ac:dyDescent="0.3">
      <c r="F24996" s="1"/>
    </row>
    <row r="24997" spans="6:14" x14ac:dyDescent="0.3">
      <c r="F24997" s="1"/>
    </row>
    <row r="24998" spans="6:14" x14ac:dyDescent="0.3">
      <c r="F24998" s="1"/>
    </row>
    <row r="24999" spans="6:14" x14ac:dyDescent="0.3">
      <c r="M24999" s="1"/>
    </row>
    <row r="25000" spans="6:14" x14ac:dyDescent="0.3">
      <c r="N25000" s="1"/>
    </row>
    <row r="25001" spans="6:14" x14ac:dyDescent="0.3">
      <c r="N25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001"/>
  <sheetViews>
    <sheetView tabSelected="1" zoomScale="79" zoomScaleNormal="85" workbookViewId="0">
      <selection activeCell="Q2" sqref="Q2"/>
    </sheetView>
  </sheetViews>
  <sheetFormatPr defaultRowHeight="14.4" x14ac:dyDescent="0.3"/>
  <cols>
    <col min="1" max="1" width="9.88671875" customWidth="1"/>
    <col min="4" max="4" width="14.21875" customWidth="1"/>
    <col min="5" max="5" width="22.6640625" customWidth="1"/>
    <col min="6" max="6" width="17.44140625" customWidth="1"/>
    <col min="7" max="7" width="14.44140625" customWidth="1"/>
    <col min="8" max="8" width="15" customWidth="1"/>
    <col min="9" max="9" width="21" customWidth="1"/>
    <col min="10" max="10" width="11.33203125" customWidth="1"/>
    <col min="11" max="11" width="15.33203125" customWidth="1"/>
    <col min="12" max="12" width="15.21875" customWidth="1"/>
    <col min="14" max="14" width="12.33203125" customWidth="1"/>
    <col min="16" max="16" width="12.77734375" customWidth="1"/>
    <col min="17" max="17" width="14.6640625" customWidth="1"/>
  </cols>
  <sheetData>
    <row r="1" spans="1:17" x14ac:dyDescent="0.3">
      <c r="A1" s="2" t="s">
        <v>691</v>
      </c>
      <c r="B1" s="2" t="s">
        <v>690</v>
      </c>
      <c r="C1" s="2" t="s">
        <v>658</v>
      </c>
      <c r="D1" s="2" t="s">
        <v>662</v>
      </c>
      <c r="E1" s="2" t="s">
        <v>689</v>
      </c>
      <c r="F1" s="2" t="s">
        <v>671</v>
      </c>
      <c r="G1" s="2" t="s">
        <v>672</v>
      </c>
      <c r="H1" s="2" t="s">
        <v>673</v>
      </c>
      <c r="I1" s="2" t="s">
        <v>688</v>
      </c>
      <c r="J1" s="2" t="s">
        <v>676</v>
      </c>
      <c r="K1" s="2" t="s">
        <v>692</v>
      </c>
      <c r="L1" s="2" t="s">
        <v>683</v>
      </c>
      <c r="M1" s="2" t="s">
        <v>684</v>
      </c>
      <c r="N1" s="2" t="s">
        <v>685</v>
      </c>
      <c r="O1" s="2" t="s">
        <v>686</v>
      </c>
      <c r="P1" s="2" t="s">
        <v>687</v>
      </c>
      <c r="Q1" s="2" t="s">
        <v>722</v>
      </c>
    </row>
    <row r="2" spans="1:17" x14ac:dyDescent="0.3">
      <c r="A2">
        <v>1</v>
      </c>
      <c r="B2">
        <v>14</v>
      </c>
      <c r="C2" t="s">
        <v>659</v>
      </c>
      <c r="D2" t="s">
        <v>663</v>
      </c>
      <c r="E2" t="s">
        <v>665</v>
      </c>
      <c r="F2">
        <v>7</v>
      </c>
      <c r="G2">
        <v>84</v>
      </c>
      <c r="H2" t="s">
        <v>674</v>
      </c>
      <c r="I2">
        <v>10</v>
      </c>
      <c r="J2" t="s">
        <v>674</v>
      </c>
      <c r="K2" t="s">
        <v>677</v>
      </c>
      <c r="L2">
        <v>44</v>
      </c>
      <c r="M2">
        <v>40</v>
      </c>
      <c r="N2">
        <v>75</v>
      </c>
      <c r="O2">
        <v>53</v>
      </c>
      <c r="P2" t="str">
        <f t="shared" ref="P2:P65" si="0">IF(O2&gt;=90,"A",
IF(O2&gt;=80,"B",
IF(O2&gt;=60,"C",
IF(O2&gt;=40,"D","F"))))</f>
        <v>D</v>
      </c>
      <c r="Q2" t="str">
        <f>IF(L2&lt;O2,"Evet","Hayır")</f>
        <v>Evet</v>
      </c>
    </row>
    <row r="3" spans="1:17" x14ac:dyDescent="0.3">
      <c r="A3">
        <v>2</v>
      </c>
      <c r="B3">
        <v>18</v>
      </c>
      <c r="C3" t="s">
        <v>660</v>
      </c>
      <c r="D3" t="s">
        <v>663</v>
      </c>
      <c r="E3" t="s">
        <v>666</v>
      </c>
      <c r="F3">
        <v>4</v>
      </c>
      <c r="G3">
        <v>88</v>
      </c>
      <c r="H3" t="s">
        <v>674</v>
      </c>
      <c r="I3">
        <v>75</v>
      </c>
      <c r="J3" t="s">
        <v>675</v>
      </c>
      <c r="K3" t="s">
        <v>678</v>
      </c>
      <c r="L3">
        <v>38</v>
      </c>
      <c r="M3">
        <v>39</v>
      </c>
      <c r="N3">
        <v>64</v>
      </c>
      <c r="O3">
        <v>47</v>
      </c>
      <c r="P3" t="str">
        <f t="shared" si="0"/>
        <v>D</v>
      </c>
      <c r="Q3" t="str">
        <f t="shared" ref="Q3:Q66" si="1">IF(L3&lt;O3,"Evet","Hayır")</f>
        <v>Evet</v>
      </c>
    </row>
    <row r="4" spans="1:17" x14ac:dyDescent="0.3">
      <c r="A4">
        <v>3</v>
      </c>
      <c r="B4">
        <v>17</v>
      </c>
      <c r="C4" t="s">
        <v>660</v>
      </c>
      <c r="D4" t="s">
        <v>664</v>
      </c>
      <c r="E4" t="s">
        <v>665</v>
      </c>
      <c r="F4">
        <v>7</v>
      </c>
      <c r="G4">
        <v>66</v>
      </c>
      <c r="H4" t="s">
        <v>675</v>
      </c>
      <c r="I4">
        <v>10</v>
      </c>
      <c r="J4" t="s">
        <v>675</v>
      </c>
      <c r="K4" t="s">
        <v>677</v>
      </c>
      <c r="L4">
        <v>91</v>
      </c>
      <c r="M4">
        <v>84</v>
      </c>
      <c r="N4">
        <v>57</v>
      </c>
      <c r="O4" s="4">
        <v>77.333333333333329</v>
      </c>
      <c r="P4" t="str">
        <f t="shared" si="0"/>
        <v>C</v>
      </c>
      <c r="Q4" t="str">
        <f t="shared" si="1"/>
        <v>Hayır</v>
      </c>
    </row>
    <row r="5" spans="1:17" x14ac:dyDescent="0.3">
      <c r="A5">
        <v>4</v>
      </c>
      <c r="B5">
        <v>16</v>
      </c>
      <c r="C5" t="s">
        <v>661</v>
      </c>
      <c r="D5" t="s">
        <v>663</v>
      </c>
      <c r="E5" t="s">
        <v>667</v>
      </c>
      <c r="F5">
        <v>1</v>
      </c>
      <c r="G5">
        <v>58</v>
      </c>
      <c r="H5" t="s">
        <v>675</v>
      </c>
      <c r="I5">
        <v>20</v>
      </c>
      <c r="J5" t="s">
        <v>675</v>
      </c>
      <c r="K5" t="s">
        <v>677</v>
      </c>
      <c r="L5">
        <v>66</v>
      </c>
      <c r="M5">
        <v>30</v>
      </c>
      <c r="N5">
        <v>88</v>
      </c>
      <c r="O5" s="4">
        <v>61.333333333333336</v>
      </c>
      <c r="P5" t="str">
        <f t="shared" si="0"/>
        <v>C</v>
      </c>
      <c r="Q5" t="str">
        <f t="shared" si="1"/>
        <v>Hayır</v>
      </c>
    </row>
    <row r="6" spans="1:17" x14ac:dyDescent="0.3">
      <c r="A6">
        <v>5</v>
      </c>
      <c r="B6">
        <v>16</v>
      </c>
      <c r="C6" t="s">
        <v>660</v>
      </c>
      <c r="D6" t="s">
        <v>663</v>
      </c>
      <c r="E6" t="s">
        <v>667</v>
      </c>
      <c r="F6">
        <v>5</v>
      </c>
      <c r="G6">
        <v>61</v>
      </c>
      <c r="H6" t="s">
        <v>674</v>
      </c>
      <c r="I6">
        <v>45</v>
      </c>
      <c r="J6" t="s">
        <v>674</v>
      </c>
      <c r="K6" t="s">
        <v>679</v>
      </c>
      <c r="L6">
        <v>74</v>
      </c>
      <c r="M6">
        <v>68</v>
      </c>
      <c r="N6">
        <v>53</v>
      </c>
      <c r="O6">
        <v>65</v>
      </c>
      <c r="P6" t="str">
        <f t="shared" si="0"/>
        <v>C</v>
      </c>
      <c r="Q6" t="str">
        <f t="shared" si="1"/>
        <v>Hayır</v>
      </c>
    </row>
    <row r="7" spans="1:17" x14ac:dyDescent="0.3">
      <c r="A7">
        <v>6</v>
      </c>
      <c r="B7">
        <v>19</v>
      </c>
      <c r="C7" t="s">
        <v>659</v>
      </c>
      <c r="D7" t="s">
        <v>663</v>
      </c>
      <c r="E7" t="s">
        <v>668</v>
      </c>
      <c r="F7">
        <v>5</v>
      </c>
      <c r="G7">
        <v>70</v>
      </c>
      <c r="H7" t="s">
        <v>674</v>
      </c>
      <c r="I7">
        <v>75</v>
      </c>
      <c r="J7" t="s">
        <v>674</v>
      </c>
      <c r="K7" t="s">
        <v>680</v>
      </c>
      <c r="L7">
        <v>98</v>
      </c>
      <c r="M7">
        <v>95</v>
      </c>
      <c r="N7">
        <v>64</v>
      </c>
      <c r="O7" s="4">
        <v>85.666666666666671</v>
      </c>
      <c r="P7" t="str">
        <f t="shared" si="0"/>
        <v>B</v>
      </c>
      <c r="Q7" t="str">
        <f t="shared" si="1"/>
        <v>Hayır</v>
      </c>
    </row>
    <row r="8" spans="1:17" x14ac:dyDescent="0.3">
      <c r="A8">
        <v>7</v>
      </c>
      <c r="B8">
        <v>14</v>
      </c>
      <c r="C8" t="s">
        <v>660</v>
      </c>
      <c r="D8" t="s">
        <v>664</v>
      </c>
      <c r="E8" t="s">
        <v>665</v>
      </c>
      <c r="F8">
        <v>2</v>
      </c>
      <c r="G8">
        <v>82</v>
      </c>
      <c r="H8" t="s">
        <v>674</v>
      </c>
      <c r="I8">
        <v>45</v>
      </c>
      <c r="J8" t="s">
        <v>675</v>
      </c>
      <c r="K8" t="s">
        <v>678</v>
      </c>
      <c r="L8">
        <v>50</v>
      </c>
      <c r="M8">
        <v>99</v>
      </c>
      <c r="N8">
        <v>72</v>
      </c>
      <c r="O8" s="4">
        <v>73.666666666666671</v>
      </c>
      <c r="P8" t="str">
        <f t="shared" si="0"/>
        <v>C</v>
      </c>
      <c r="Q8" t="str">
        <f t="shared" si="1"/>
        <v>Evet</v>
      </c>
    </row>
    <row r="9" spans="1:17" x14ac:dyDescent="0.3">
      <c r="A9">
        <v>8</v>
      </c>
      <c r="B9">
        <v>18</v>
      </c>
      <c r="C9" t="s">
        <v>660</v>
      </c>
      <c r="D9" t="s">
        <v>664</v>
      </c>
      <c r="E9" t="s">
        <v>665</v>
      </c>
      <c r="F9">
        <v>7</v>
      </c>
      <c r="G9">
        <v>59</v>
      </c>
      <c r="H9" t="s">
        <v>674</v>
      </c>
      <c r="I9">
        <v>75</v>
      </c>
      <c r="J9" t="s">
        <v>674</v>
      </c>
      <c r="K9" t="s">
        <v>679</v>
      </c>
      <c r="L9">
        <v>75</v>
      </c>
      <c r="M9">
        <v>81</v>
      </c>
      <c r="N9">
        <v>74</v>
      </c>
      <c r="O9" s="4">
        <v>76.666666666666671</v>
      </c>
      <c r="P9" t="str">
        <f t="shared" si="0"/>
        <v>C</v>
      </c>
      <c r="Q9" t="str">
        <f t="shared" si="1"/>
        <v>Evet</v>
      </c>
    </row>
    <row r="10" spans="1:17" x14ac:dyDescent="0.3">
      <c r="A10">
        <v>9</v>
      </c>
      <c r="B10">
        <v>15</v>
      </c>
      <c r="C10" t="s">
        <v>661</v>
      </c>
      <c r="D10" t="s">
        <v>664</v>
      </c>
      <c r="E10" t="s">
        <v>667</v>
      </c>
      <c r="F10">
        <v>5</v>
      </c>
      <c r="G10">
        <v>90</v>
      </c>
      <c r="H10" t="s">
        <v>674</v>
      </c>
      <c r="I10">
        <v>20</v>
      </c>
      <c r="J10" t="s">
        <v>674</v>
      </c>
      <c r="K10" t="s">
        <v>681</v>
      </c>
      <c r="L10">
        <v>65</v>
      </c>
      <c r="M10">
        <v>37</v>
      </c>
      <c r="N10">
        <v>53</v>
      </c>
      <c r="O10" s="4">
        <v>51.666666666666664</v>
      </c>
      <c r="P10" t="str">
        <f t="shared" si="0"/>
        <v>D</v>
      </c>
      <c r="Q10" t="str">
        <f t="shared" si="1"/>
        <v>Hayır</v>
      </c>
    </row>
    <row r="11" spans="1:17" x14ac:dyDescent="0.3">
      <c r="A11">
        <v>10</v>
      </c>
      <c r="B11">
        <v>14</v>
      </c>
      <c r="C11" t="s">
        <v>660</v>
      </c>
      <c r="D11" t="s">
        <v>663</v>
      </c>
      <c r="E11" t="s">
        <v>669</v>
      </c>
      <c r="F11">
        <v>2</v>
      </c>
      <c r="G11">
        <v>62</v>
      </c>
      <c r="H11" t="s">
        <v>674</v>
      </c>
      <c r="I11">
        <v>75</v>
      </c>
      <c r="J11" t="s">
        <v>675</v>
      </c>
      <c r="K11" t="s">
        <v>681</v>
      </c>
      <c r="L11">
        <v>89</v>
      </c>
      <c r="M11">
        <v>71</v>
      </c>
      <c r="N11">
        <v>89</v>
      </c>
      <c r="O11" s="5">
        <v>83</v>
      </c>
      <c r="P11" t="str">
        <f t="shared" si="0"/>
        <v>B</v>
      </c>
      <c r="Q11" t="str">
        <f t="shared" si="1"/>
        <v>Hayır</v>
      </c>
    </row>
    <row r="12" spans="1:17" x14ac:dyDescent="0.3">
      <c r="A12">
        <v>11</v>
      </c>
      <c r="B12">
        <v>17</v>
      </c>
      <c r="C12" t="s">
        <v>660</v>
      </c>
      <c r="D12" t="s">
        <v>664</v>
      </c>
      <c r="E12" t="s">
        <v>666</v>
      </c>
      <c r="F12">
        <v>5</v>
      </c>
      <c r="G12">
        <v>91</v>
      </c>
      <c r="H12" t="s">
        <v>674</v>
      </c>
      <c r="I12">
        <v>20</v>
      </c>
      <c r="J12" t="s">
        <v>675</v>
      </c>
      <c r="K12" t="s">
        <v>677</v>
      </c>
      <c r="L12">
        <v>79</v>
      </c>
      <c r="M12">
        <v>39</v>
      </c>
      <c r="N12">
        <v>93</v>
      </c>
      <c r="O12" s="4">
        <v>70.333333333333329</v>
      </c>
      <c r="P12" t="str">
        <f t="shared" si="0"/>
        <v>C</v>
      </c>
      <c r="Q12" t="str">
        <f t="shared" si="1"/>
        <v>Hayır</v>
      </c>
    </row>
    <row r="13" spans="1:17" x14ac:dyDescent="0.3">
      <c r="A13">
        <v>12</v>
      </c>
      <c r="B13">
        <v>19</v>
      </c>
      <c r="C13" t="s">
        <v>661</v>
      </c>
      <c r="D13" t="s">
        <v>663</v>
      </c>
      <c r="E13" t="s">
        <v>665</v>
      </c>
      <c r="F13">
        <v>3</v>
      </c>
      <c r="G13">
        <v>96</v>
      </c>
      <c r="H13" t="s">
        <v>674</v>
      </c>
      <c r="I13">
        <v>10</v>
      </c>
      <c r="J13" t="s">
        <v>674</v>
      </c>
      <c r="K13" t="s">
        <v>677</v>
      </c>
      <c r="L13">
        <v>35</v>
      </c>
      <c r="M13">
        <v>73</v>
      </c>
      <c r="N13">
        <v>49</v>
      </c>
      <c r="O13" s="4">
        <v>52.333333333333336</v>
      </c>
      <c r="P13" t="str">
        <f t="shared" si="0"/>
        <v>D</v>
      </c>
      <c r="Q13" t="str">
        <f t="shared" si="1"/>
        <v>Evet</v>
      </c>
    </row>
    <row r="14" spans="1:17" x14ac:dyDescent="0.3">
      <c r="A14">
        <v>13</v>
      </c>
      <c r="B14">
        <v>18</v>
      </c>
      <c r="C14" t="s">
        <v>660</v>
      </c>
      <c r="D14" t="s">
        <v>664</v>
      </c>
      <c r="E14" t="s">
        <v>667</v>
      </c>
      <c r="F14">
        <v>2</v>
      </c>
      <c r="G14">
        <v>58</v>
      </c>
      <c r="H14" t="s">
        <v>674</v>
      </c>
      <c r="I14">
        <v>75</v>
      </c>
      <c r="J14" t="s">
        <v>675</v>
      </c>
      <c r="K14" t="s">
        <v>681</v>
      </c>
      <c r="L14">
        <v>91</v>
      </c>
      <c r="M14">
        <v>80</v>
      </c>
      <c r="N14">
        <v>85</v>
      </c>
      <c r="O14" s="4">
        <v>85.333333333333329</v>
      </c>
      <c r="P14" t="str">
        <f t="shared" si="0"/>
        <v>B</v>
      </c>
      <c r="Q14" t="str">
        <f t="shared" si="1"/>
        <v>Hayır</v>
      </c>
    </row>
    <row r="15" spans="1:17" x14ac:dyDescent="0.3">
      <c r="A15">
        <v>14</v>
      </c>
      <c r="B15">
        <v>18</v>
      </c>
      <c r="C15" t="s">
        <v>661</v>
      </c>
      <c r="D15" t="s">
        <v>663</v>
      </c>
      <c r="E15" t="s">
        <v>669</v>
      </c>
      <c r="F15">
        <v>2</v>
      </c>
      <c r="G15">
        <v>96</v>
      </c>
      <c r="H15" t="s">
        <v>674</v>
      </c>
      <c r="I15">
        <v>45</v>
      </c>
      <c r="J15" t="s">
        <v>674</v>
      </c>
      <c r="K15" t="s">
        <v>678</v>
      </c>
      <c r="L15">
        <v>76</v>
      </c>
      <c r="M15">
        <v>60</v>
      </c>
      <c r="N15">
        <v>99</v>
      </c>
      <c r="O15" s="4">
        <v>78.333333333333329</v>
      </c>
      <c r="P15" t="str">
        <f t="shared" si="0"/>
        <v>C</v>
      </c>
      <c r="Q15" t="str">
        <f t="shared" si="1"/>
        <v>Evet</v>
      </c>
    </row>
    <row r="16" spans="1:17" x14ac:dyDescent="0.3">
      <c r="A16">
        <v>15</v>
      </c>
      <c r="B16">
        <v>18</v>
      </c>
      <c r="C16" t="s">
        <v>661</v>
      </c>
      <c r="D16" t="s">
        <v>663</v>
      </c>
      <c r="E16" t="s">
        <v>667</v>
      </c>
      <c r="F16">
        <v>7</v>
      </c>
      <c r="G16">
        <v>85</v>
      </c>
      <c r="H16" t="s">
        <v>674</v>
      </c>
      <c r="I16">
        <v>10</v>
      </c>
      <c r="J16" t="s">
        <v>675</v>
      </c>
      <c r="K16" t="s">
        <v>680</v>
      </c>
      <c r="L16">
        <v>79</v>
      </c>
      <c r="M16">
        <v>49</v>
      </c>
      <c r="N16">
        <v>65</v>
      </c>
      <c r="O16" s="4">
        <v>64.333333333333329</v>
      </c>
      <c r="P16" t="str">
        <f t="shared" si="0"/>
        <v>C</v>
      </c>
      <c r="Q16" t="str">
        <f t="shared" si="1"/>
        <v>Hayır</v>
      </c>
    </row>
    <row r="17" spans="1:17" x14ac:dyDescent="0.3">
      <c r="A17">
        <v>16</v>
      </c>
      <c r="B17">
        <v>18</v>
      </c>
      <c r="C17" t="s">
        <v>661</v>
      </c>
      <c r="D17" t="s">
        <v>664</v>
      </c>
      <c r="E17" t="s">
        <v>665</v>
      </c>
      <c r="F17">
        <v>3</v>
      </c>
      <c r="G17">
        <v>94</v>
      </c>
      <c r="H17" t="s">
        <v>674</v>
      </c>
      <c r="I17">
        <v>20</v>
      </c>
      <c r="J17" t="s">
        <v>674</v>
      </c>
      <c r="K17" t="s">
        <v>680</v>
      </c>
      <c r="L17">
        <v>76</v>
      </c>
      <c r="M17">
        <v>61</v>
      </c>
      <c r="N17">
        <v>54</v>
      </c>
      <c r="O17" s="4">
        <v>63.666666666666664</v>
      </c>
      <c r="P17" t="str">
        <f t="shared" si="0"/>
        <v>C</v>
      </c>
      <c r="Q17" t="str">
        <f t="shared" si="1"/>
        <v>Hayır</v>
      </c>
    </row>
    <row r="18" spans="1:17" x14ac:dyDescent="0.3">
      <c r="A18">
        <v>17</v>
      </c>
      <c r="B18">
        <v>17</v>
      </c>
      <c r="C18" t="s">
        <v>661</v>
      </c>
      <c r="D18" t="s">
        <v>664</v>
      </c>
      <c r="E18" t="s">
        <v>670</v>
      </c>
      <c r="F18">
        <v>2</v>
      </c>
      <c r="G18">
        <v>67</v>
      </c>
      <c r="H18" t="s">
        <v>674</v>
      </c>
      <c r="I18">
        <v>10</v>
      </c>
      <c r="J18" t="s">
        <v>674</v>
      </c>
      <c r="K18" t="s">
        <v>681</v>
      </c>
      <c r="L18">
        <v>73</v>
      </c>
      <c r="M18">
        <v>77</v>
      </c>
      <c r="N18">
        <v>45</v>
      </c>
      <c r="O18">
        <v>65</v>
      </c>
      <c r="P18" t="str">
        <f t="shared" si="0"/>
        <v>C</v>
      </c>
      <c r="Q18" t="str">
        <f t="shared" si="1"/>
        <v>Hayır</v>
      </c>
    </row>
    <row r="19" spans="1:17" x14ac:dyDescent="0.3">
      <c r="A19">
        <v>18</v>
      </c>
      <c r="B19">
        <v>14</v>
      </c>
      <c r="C19" t="s">
        <v>660</v>
      </c>
      <c r="D19" t="s">
        <v>663</v>
      </c>
      <c r="E19" t="s">
        <v>665</v>
      </c>
      <c r="F19">
        <v>6</v>
      </c>
      <c r="G19">
        <v>93</v>
      </c>
      <c r="H19" t="s">
        <v>674</v>
      </c>
      <c r="I19">
        <v>20</v>
      </c>
      <c r="J19" t="s">
        <v>674</v>
      </c>
      <c r="K19" t="s">
        <v>107</v>
      </c>
      <c r="L19">
        <v>46</v>
      </c>
      <c r="M19">
        <v>84</v>
      </c>
      <c r="N19">
        <v>82</v>
      </c>
      <c r="O19" s="4">
        <v>70.666666666666671</v>
      </c>
      <c r="P19" t="str">
        <f t="shared" si="0"/>
        <v>C</v>
      </c>
      <c r="Q19" t="str">
        <f t="shared" si="1"/>
        <v>Evet</v>
      </c>
    </row>
    <row r="20" spans="1:17" x14ac:dyDescent="0.3">
      <c r="A20">
        <v>19</v>
      </c>
      <c r="B20">
        <v>19</v>
      </c>
      <c r="C20" t="s">
        <v>659</v>
      </c>
      <c r="D20" t="s">
        <v>663</v>
      </c>
      <c r="E20" t="s">
        <v>665</v>
      </c>
      <c r="F20">
        <v>6</v>
      </c>
      <c r="G20">
        <v>74</v>
      </c>
      <c r="H20" t="s">
        <v>674</v>
      </c>
      <c r="I20">
        <v>45</v>
      </c>
      <c r="J20" t="s">
        <v>674</v>
      </c>
      <c r="K20" t="s">
        <v>107</v>
      </c>
      <c r="L20">
        <v>71</v>
      </c>
      <c r="M20">
        <v>47</v>
      </c>
      <c r="N20">
        <v>56</v>
      </c>
      <c r="O20">
        <v>58</v>
      </c>
      <c r="P20" t="str">
        <f t="shared" si="0"/>
        <v>D</v>
      </c>
      <c r="Q20" t="str">
        <f t="shared" si="1"/>
        <v>Hayır</v>
      </c>
    </row>
    <row r="21" spans="1:17" x14ac:dyDescent="0.3">
      <c r="A21">
        <v>20</v>
      </c>
      <c r="B21">
        <v>16</v>
      </c>
      <c r="C21" t="s">
        <v>660</v>
      </c>
      <c r="D21" t="s">
        <v>663</v>
      </c>
      <c r="E21" t="s">
        <v>665</v>
      </c>
      <c r="F21">
        <v>6</v>
      </c>
      <c r="G21">
        <v>60</v>
      </c>
      <c r="H21" t="s">
        <v>674</v>
      </c>
      <c r="I21">
        <v>10</v>
      </c>
      <c r="J21" t="s">
        <v>675</v>
      </c>
      <c r="K21" t="s">
        <v>681</v>
      </c>
      <c r="L21">
        <v>75</v>
      </c>
      <c r="M21">
        <v>91</v>
      </c>
      <c r="N21">
        <v>86</v>
      </c>
      <c r="O21">
        <v>84</v>
      </c>
      <c r="P21" t="str">
        <f t="shared" si="0"/>
        <v>B</v>
      </c>
      <c r="Q21" t="str">
        <f t="shared" si="1"/>
        <v>Evet</v>
      </c>
    </row>
    <row r="22" spans="1:17" x14ac:dyDescent="0.3">
      <c r="A22">
        <v>21</v>
      </c>
      <c r="B22">
        <v>17</v>
      </c>
      <c r="C22" t="s">
        <v>659</v>
      </c>
      <c r="D22" t="s">
        <v>664</v>
      </c>
      <c r="E22" t="s">
        <v>670</v>
      </c>
      <c r="F22">
        <v>3</v>
      </c>
      <c r="G22">
        <v>100</v>
      </c>
      <c r="H22" t="s">
        <v>674</v>
      </c>
      <c r="I22">
        <v>75</v>
      </c>
      <c r="J22" t="s">
        <v>675</v>
      </c>
      <c r="K22" t="s">
        <v>678</v>
      </c>
      <c r="L22">
        <v>44</v>
      </c>
      <c r="M22">
        <v>88</v>
      </c>
      <c r="N22">
        <v>77</v>
      </c>
      <c r="O22" s="4">
        <v>69.666666666666671</v>
      </c>
      <c r="P22" t="str">
        <f t="shared" si="0"/>
        <v>C</v>
      </c>
      <c r="Q22" t="str">
        <f t="shared" si="1"/>
        <v>Evet</v>
      </c>
    </row>
    <row r="23" spans="1:17" x14ac:dyDescent="0.3">
      <c r="A23">
        <v>22</v>
      </c>
      <c r="B23">
        <v>16</v>
      </c>
      <c r="C23" t="s">
        <v>660</v>
      </c>
      <c r="D23" t="s">
        <v>663</v>
      </c>
      <c r="E23" t="s">
        <v>669</v>
      </c>
      <c r="F23">
        <v>2</v>
      </c>
      <c r="G23">
        <v>97</v>
      </c>
      <c r="H23" t="s">
        <v>674</v>
      </c>
      <c r="I23">
        <v>75</v>
      </c>
      <c r="J23" t="s">
        <v>674</v>
      </c>
      <c r="K23" t="s">
        <v>679</v>
      </c>
      <c r="L23">
        <v>41</v>
      </c>
      <c r="M23">
        <v>42</v>
      </c>
      <c r="N23">
        <v>45</v>
      </c>
      <c r="O23" s="4">
        <v>42.666666666666664</v>
      </c>
      <c r="P23" t="str">
        <f t="shared" si="0"/>
        <v>D</v>
      </c>
      <c r="Q23" t="str">
        <f t="shared" si="1"/>
        <v>Evet</v>
      </c>
    </row>
    <row r="24" spans="1:17" x14ac:dyDescent="0.3">
      <c r="A24">
        <v>23</v>
      </c>
      <c r="B24">
        <v>15</v>
      </c>
      <c r="C24" t="s">
        <v>661</v>
      </c>
      <c r="D24" t="s">
        <v>663</v>
      </c>
      <c r="E24" t="s">
        <v>667</v>
      </c>
      <c r="F24">
        <v>7</v>
      </c>
      <c r="G24">
        <v>56</v>
      </c>
      <c r="H24" t="s">
        <v>675</v>
      </c>
      <c r="I24">
        <v>45</v>
      </c>
      <c r="J24" t="s">
        <v>674</v>
      </c>
      <c r="K24" t="s">
        <v>107</v>
      </c>
      <c r="L24">
        <v>68</v>
      </c>
      <c r="M24">
        <v>33</v>
      </c>
      <c r="N24">
        <v>94</v>
      </c>
      <c r="O24">
        <v>65</v>
      </c>
      <c r="P24" t="str">
        <f t="shared" si="0"/>
        <v>C</v>
      </c>
      <c r="Q24" t="str">
        <f t="shared" si="1"/>
        <v>Hayır</v>
      </c>
    </row>
    <row r="25" spans="1:17" x14ac:dyDescent="0.3">
      <c r="A25">
        <v>24</v>
      </c>
      <c r="B25">
        <v>19</v>
      </c>
      <c r="C25" t="s">
        <v>660</v>
      </c>
      <c r="D25" t="s">
        <v>663</v>
      </c>
      <c r="E25" t="s">
        <v>670</v>
      </c>
      <c r="F25">
        <v>6</v>
      </c>
      <c r="G25">
        <v>73</v>
      </c>
      <c r="H25" t="s">
        <v>674</v>
      </c>
      <c r="I25">
        <v>20</v>
      </c>
      <c r="J25" t="s">
        <v>674</v>
      </c>
      <c r="K25" t="s">
        <v>677</v>
      </c>
      <c r="L25">
        <v>56</v>
      </c>
      <c r="M25">
        <v>94</v>
      </c>
      <c r="N25">
        <v>70</v>
      </c>
      <c r="O25" s="4">
        <v>73.333333333333329</v>
      </c>
      <c r="P25" t="str">
        <f t="shared" si="0"/>
        <v>C</v>
      </c>
      <c r="Q25" t="str">
        <f t="shared" si="1"/>
        <v>Evet</v>
      </c>
    </row>
    <row r="26" spans="1:17" x14ac:dyDescent="0.3">
      <c r="A26">
        <v>25</v>
      </c>
      <c r="B26">
        <v>18</v>
      </c>
      <c r="C26" t="s">
        <v>659</v>
      </c>
      <c r="D26" t="s">
        <v>663</v>
      </c>
      <c r="E26" t="s">
        <v>668</v>
      </c>
      <c r="F26">
        <v>2</v>
      </c>
      <c r="G26">
        <v>99</v>
      </c>
      <c r="H26" t="s">
        <v>674</v>
      </c>
      <c r="I26">
        <v>10</v>
      </c>
      <c r="J26" t="s">
        <v>675</v>
      </c>
      <c r="K26" t="s">
        <v>681</v>
      </c>
      <c r="L26">
        <v>75</v>
      </c>
      <c r="M26">
        <v>73</v>
      </c>
      <c r="N26">
        <v>92</v>
      </c>
      <c r="O26">
        <v>80</v>
      </c>
      <c r="P26" t="str">
        <f t="shared" si="0"/>
        <v>B</v>
      </c>
      <c r="Q26" t="str">
        <f t="shared" si="1"/>
        <v>Evet</v>
      </c>
    </row>
    <row r="27" spans="1:17" x14ac:dyDescent="0.3">
      <c r="A27">
        <v>26</v>
      </c>
      <c r="B27">
        <v>17</v>
      </c>
      <c r="C27" t="s">
        <v>659</v>
      </c>
      <c r="D27" t="s">
        <v>664</v>
      </c>
      <c r="E27" t="s">
        <v>669</v>
      </c>
      <c r="F27">
        <v>5</v>
      </c>
      <c r="G27">
        <v>77</v>
      </c>
      <c r="H27" t="s">
        <v>674</v>
      </c>
      <c r="I27">
        <v>75</v>
      </c>
      <c r="J27" t="s">
        <v>675</v>
      </c>
      <c r="K27" t="s">
        <v>680</v>
      </c>
      <c r="L27">
        <v>59</v>
      </c>
      <c r="M27">
        <v>81</v>
      </c>
      <c r="N27">
        <v>99</v>
      </c>
      <c r="O27" s="4">
        <v>79.666666666666671</v>
      </c>
      <c r="P27" t="str">
        <f t="shared" si="0"/>
        <v>C</v>
      </c>
      <c r="Q27" t="str">
        <f t="shared" si="1"/>
        <v>Evet</v>
      </c>
    </row>
    <row r="28" spans="1:17" x14ac:dyDescent="0.3">
      <c r="A28">
        <v>27</v>
      </c>
      <c r="B28">
        <v>16</v>
      </c>
      <c r="C28" t="s">
        <v>661</v>
      </c>
      <c r="D28" t="s">
        <v>663</v>
      </c>
      <c r="E28" t="s">
        <v>665</v>
      </c>
      <c r="F28">
        <v>6</v>
      </c>
      <c r="G28">
        <v>75</v>
      </c>
      <c r="H28" t="s">
        <v>674</v>
      </c>
      <c r="I28">
        <v>20</v>
      </c>
      <c r="J28" t="s">
        <v>675</v>
      </c>
      <c r="K28" t="s">
        <v>678</v>
      </c>
      <c r="L28">
        <v>90</v>
      </c>
      <c r="M28">
        <v>50</v>
      </c>
      <c r="N28">
        <v>79</v>
      </c>
      <c r="O28">
        <v>73</v>
      </c>
      <c r="P28" t="str">
        <f t="shared" si="0"/>
        <v>C</v>
      </c>
      <c r="Q28" t="str">
        <f t="shared" si="1"/>
        <v>Hayır</v>
      </c>
    </row>
    <row r="29" spans="1:17" x14ac:dyDescent="0.3">
      <c r="A29">
        <v>28</v>
      </c>
      <c r="B29">
        <v>18</v>
      </c>
      <c r="C29" t="s">
        <v>661</v>
      </c>
      <c r="D29" t="s">
        <v>664</v>
      </c>
      <c r="E29" t="s">
        <v>665</v>
      </c>
      <c r="F29">
        <v>4</v>
      </c>
      <c r="G29">
        <v>60</v>
      </c>
      <c r="H29" t="s">
        <v>674</v>
      </c>
      <c r="I29">
        <v>10</v>
      </c>
      <c r="J29" t="s">
        <v>674</v>
      </c>
      <c r="K29" t="s">
        <v>678</v>
      </c>
      <c r="L29">
        <v>68</v>
      </c>
      <c r="M29">
        <v>72</v>
      </c>
      <c r="N29">
        <v>63</v>
      </c>
      <c r="O29" s="4">
        <v>67.666666666666671</v>
      </c>
      <c r="P29" t="str">
        <f t="shared" si="0"/>
        <v>C</v>
      </c>
      <c r="Q29" t="str">
        <f t="shared" si="1"/>
        <v>Hayır</v>
      </c>
    </row>
    <row r="30" spans="1:17" x14ac:dyDescent="0.3">
      <c r="A30">
        <v>29</v>
      </c>
      <c r="B30">
        <v>17</v>
      </c>
      <c r="C30" t="s">
        <v>660</v>
      </c>
      <c r="D30" t="s">
        <v>664</v>
      </c>
      <c r="E30" t="s">
        <v>665</v>
      </c>
      <c r="F30">
        <v>3</v>
      </c>
      <c r="G30">
        <v>71</v>
      </c>
      <c r="H30" t="s">
        <v>674</v>
      </c>
      <c r="I30">
        <v>20</v>
      </c>
      <c r="J30" t="s">
        <v>675</v>
      </c>
      <c r="K30" t="s">
        <v>681</v>
      </c>
      <c r="L30">
        <v>93</v>
      </c>
      <c r="M30">
        <v>70</v>
      </c>
      <c r="N30">
        <v>44</v>
      </c>
      <c r="O30">
        <v>69</v>
      </c>
      <c r="P30" t="str">
        <f t="shared" si="0"/>
        <v>C</v>
      </c>
      <c r="Q30" t="str">
        <f t="shared" si="1"/>
        <v>Hayır</v>
      </c>
    </row>
    <row r="31" spans="1:17" x14ac:dyDescent="0.3">
      <c r="A31">
        <v>30</v>
      </c>
      <c r="B31">
        <v>16</v>
      </c>
      <c r="C31" t="s">
        <v>661</v>
      </c>
      <c r="D31" t="s">
        <v>663</v>
      </c>
      <c r="E31" t="s">
        <v>669</v>
      </c>
      <c r="F31">
        <v>1</v>
      </c>
      <c r="G31">
        <v>75</v>
      </c>
      <c r="H31" t="s">
        <v>674</v>
      </c>
      <c r="I31">
        <v>75</v>
      </c>
      <c r="J31" t="s">
        <v>674</v>
      </c>
      <c r="K31" t="s">
        <v>678</v>
      </c>
      <c r="L31">
        <v>33</v>
      </c>
      <c r="M31">
        <v>41</v>
      </c>
      <c r="N31">
        <v>42</v>
      </c>
      <c r="O31" s="4">
        <v>38.666666666666664</v>
      </c>
      <c r="P31" t="str">
        <f t="shared" si="0"/>
        <v>F</v>
      </c>
      <c r="Q31" t="str">
        <f t="shared" si="1"/>
        <v>Evet</v>
      </c>
    </row>
    <row r="32" spans="1:17" x14ac:dyDescent="0.3">
      <c r="A32">
        <v>31</v>
      </c>
      <c r="B32">
        <v>16</v>
      </c>
      <c r="C32" t="s">
        <v>661</v>
      </c>
      <c r="D32" t="s">
        <v>664</v>
      </c>
      <c r="E32" t="s">
        <v>670</v>
      </c>
      <c r="F32">
        <v>1</v>
      </c>
      <c r="G32">
        <v>86</v>
      </c>
      <c r="H32" t="s">
        <v>674</v>
      </c>
      <c r="I32">
        <v>45</v>
      </c>
      <c r="J32" t="s">
        <v>674</v>
      </c>
      <c r="K32" t="s">
        <v>679</v>
      </c>
      <c r="L32">
        <v>90</v>
      </c>
      <c r="M32">
        <v>45</v>
      </c>
      <c r="N32">
        <v>76</v>
      </c>
      <c r="O32" s="4">
        <v>70.333333333333329</v>
      </c>
      <c r="P32" t="str">
        <f t="shared" si="0"/>
        <v>C</v>
      </c>
      <c r="Q32" t="str">
        <f t="shared" si="1"/>
        <v>Hayır</v>
      </c>
    </row>
    <row r="33" spans="1:17" x14ac:dyDescent="0.3">
      <c r="A33">
        <v>32</v>
      </c>
      <c r="B33">
        <v>15</v>
      </c>
      <c r="C33" t="s">
        <v>660</v>
      </c>
      <c r="D33" t="s">
        <v>664</v>
      </c>
      <c r="E33" t="s">
        <v>667</v>
      </c>
      <c r="F33">
        <v>7</v>
      </c>
      <c r="G33">
        <v>73</v>
      </c>
      <c r="H33" t="s">
        <v>674</v>
      </c>
      <c r="I33">
        <v>75</v>
      </c>
      <c r="J33" t="s">
        <v>674</v>
      </c>
      <c r="K33" t="s">
        <v>678</v>
      </c>
      <c r="L33">
        <v>61</v>
      </c>
      <c r="M33">
        <v>96</v>
      </c>
      <c r="N33">
        <v>92</v>
      </c>
      <c r="O33">
        <v>83</v>
      </c>
      <c r="P33" t="str">
        <f t="shared" si="0"/>
        <v>B</v>
      </c>
      <c r="Q33" t="str">
        <f t="shared" si="1"/>
        <v>Evet</v>
      </c>
    </row>
    <row r="34" spans="1:17" x14ac:dyDescent="0.3">
      <c r="A34">
        <v>33</v>
      </c>
      <c r="B34">
        <v>14</v>
      </c>
      <c r="C34" t="s">
        <v>659</v>
      </c>
      <c r="D34" t="s">
        <v>664</v>
      </c>
      <c r="E34" t="s">
        <v>668</v>
      </c>
      <c r="F34">
        <v>2</v>
      </c>
      <c r="G34">
        <v>82</v>
      </c>
      <c r="H34" t="s">
        <v>674</v>
      </c>
      <c r="I34">
        <v>45</v>
      </c>
      <c r="J34" t="s">
        <v>674</v>
      </c>
      <c r="K34" t="s">
        <v>677</v>
      </c>
      <c r="L34">
        <v>55</v>
      </c>
      <c r="M34">
        <v>21</v>
      </c>
      <c r="N34">
        <v>42</v>
      </c>
      <c r="O34" s="4">
        <v>39.333333333333336</v>
      </c>
      <c r="P34" t="str">
        <f t="shared" si="0"/>
        <v>F</v>
      </c>
      <c r="Q34" t="str">
        <f t="shared" si="1"/>
        <v>Hayır</v>
      </c>
    </row>
    <row r="35" spans="1:17" x14ac:dyDescent="0.3">
      <c r="A35">
        <v>34</v>
      </c>
      <c r="B35">
        <v>17</v>
      </c>
      <c r="C35" t="s">
        <v>661</v>
      </c>
      <c r="D35" t="s">
        <v>663</v>
      </c>
      <c r="E35" t="s">
        <v>666</v>
      </c>
      <c r="F35">
        <v>5</v>
      </c>
      <c r="G35">
        <v>55</v>
      </c>
      <c r="H35" t="s">
        <v>675</v>
      </c>
      <c r="I35">
        <v>20</v>
      </c>
      <c r="J35" t="s">
        <v>675</v>
      </c>
      <c r="K35" t="s">
        <v>680</v>
      </c>
      <c r="L35">
        <v>97</v>
      </c>
      <c r="M35">
        <v>92</v>
      </c>
      <c r="N35">
        <v>72</v>
      </c>
      <c r="O35">
        <v>87</v>
      </c>
      <c r="P35" t="str">
        <f t="shared" si="0"/>
        <v>B</v>
      </c>
      <c r="Q35" t="str">
        <f t="shared" si="1"/>
        <v>Hayır</v>
      </c>
    </row>
    <row r="36" spans="1:17" x14ac:dyDescent="0.3">
      <c r="A36">
        <v>35</v>
      </c>
      <c r="B36">
        <v>19</v>
      </c>
      <c r="C36" t="s">
        <v>660</v>
      </c>
      <c r="D36" t="s">
        <v>663</v>
      </c>
      <c r="E36" t="s">
        <v>667</v>
      </c>
      <c r="F36">
        <v>6</v>
      </c>
      <c r="G36">
        <v>88</v>
      </c>
      <c r="H36" t="s">
        <v>674</v>
      </c>
      <c r="I36">
        <v>45</v>
      </c>
      <c r="J36" t="s">
        <v>675</v>
      </c>
      <c r="K36" t="s">
        <v>680</v>
      </c>
      <c r="L36">
        <v>41</v>
      </c>
      <c r="M36">
        <v>74</v>
      </c>
      <c r="N36">
        <v>73</v>
      </c>
      <c r="O36" s="4">
        <v>62.666666666666664</v>
      </c>
      <c r="P36" t="str">
        <f t="shared" si="0"/>
        <v>C</v>
      </c>
      <c r="Q36" t="str">
        <f t="shared" si="1"/>
        <v>Evet</v>
      </c>
    </row>
    <row r="37" spans="1:17" x14ac:dyDescent="0.3">
      <c r="A37">
        <v>36</v>
      </c>
      <c r="B37">
        <v>14</v>
      </c>
      <c r="C37" t="s">
        <v>661</v>
      </c>
      <c r="D37" t="s">
        <v>664</v>
      </c>
      <c r="E37" t="s">
        <v>669</v>
      </c>
      <c r="F37">
        <v>1</v>
      </c>
      <c r="G37">
        <v>50</v>
      </c>
      <c r="H37" t="s">
        <v>674</v>
      </c>
      <c r="I37">
        <v>45</v>
      </c>
      <c r="J37" t="s">
        <v>675</v>
      </c>
      <c r="K37" t="s">
        <v>107</v>
      </c>
      <c r="L37">
        <v>56</v>
      </c>
      <c r="M37">
        <v>50</v>
      </c>
      <c r="N37">
        <v>69</v>
      </c>
      <c r="O37" s="4">
        <v>58.333333333333336</v>
      </c>
      <c r="P37" t="str">
        <f t="shared" si="0"/>
        <v>D</v>
      </c>
      <c r="Q37" t="str">
        <f t="shared" si="1"/>
        <v>Evet</v>
      </c>
    </row>
    <row r="38" spans="1:17" x14ac:dyDescent="0.3">
      <c r="A38">
        <v>37</v>
      </c>
      <c r="B38">
        <v>19</v>
      </c>
      <c r="C38" t="s">
        <v>661</v>
      </c>
      <c r="D38" t="s">
        <v>663</v>
      </c>
      <c r="E38" t="s">
        <v>669</v>
      </c>
      <c r="F38">
        <v>4</v>
      </c>
      <c r="G38">
        <v>82</v>
      </c>
      <c r="H38" t="s">
        <v>674</v>
      </c>
      <c r="I38">
        <v>75</v>
      </c>
      <c r="J38" t="s">
        <v>675</v>
      </c>
      <c r="K38" t="s">
        <v>680</v>
      </c>
      <c r="L38">
        <v>95</v>
      </c>
      <c r="M38">
        <v>86</v>
      </c>
      <c r="N38">
        <v>96</v>
      </c>
      <c r="O38" s="4">
        <v>92.333333333333329</v>
      </c>
      <c r="P38" t="str">
        <f t="shared" si="0"/>
        <v>A</v>
      </c>
      <c r="Q38" t="str">
        <f t="shared" si="1"/>
        <v>Hayır</v>
      </c>
    </row>
    <row r="39" spans="1:17" x14ac:dyDescent="0.3">
      <c r="A39">
        <v>38</v>
      </c>
      <c r="B39">
        <v>18</v>
      </c>
      <c r="C39" t="s">
        <v>660</v>
      </c>
      <c r="D39" t="s">
        <v>663</v>
      </c>
      <c r="E39" t="s">
        <v>667</v>
      </c>
      <c r="F39">
        <v>7</v>
      </c>
      <c r="G39">
        <v>91</v>
      </c>
      <c r="H39" t="s">
        <v>674</v>
      </c>
      <c r="I39">
        <v>20</v>
      </c>
      <c r="J39" t="s">
        <v>675</v>
      </c>
      <c r="K39" t="s">
        <v>677</v>
      </c>
      <c r="L39">
        <v>57</v>
      </c>
      <c r="M39">
        <v>75</v>
      </c>
      <c r="N39">
        <v>50</v>
      </c>
      <c r="O39" s="4">
        <v>60.666666666666664</v>
      </c>
      <c r="P39" t="str">
        <f t="shared" si="0"/>
        <v>C</v>
      </c>
      <c r="Q39" t="str">
        <f t="shared" si="1"/>
        <v>Evet</v>
      </c>
    </row>
    <row r="40" spans="1:17" x14ac:dyDescent="0.3">
      <c r="A40">
        <v>39</v>
      </c>
      <c r="B40">
        <v>15</v>
      </c>
      <c r="C40" t="s">
        <v>660</v>
      </c>
      <c r="D40" t="s">
        <v>664</v>
      </c>
      <c r="E40" t="s">
        <v>670</v>
      </c>
      <c r="F40">
        <v>4</v>
      </c>
      <c r="G40">
        <v>88</v>
      </c>
      <c r="H40" t="s">
        <v>674</v>
      </c>
      <c r="I40">
        <v>20</v>
      </c>
      <c r="J40" t="s">
        <v>674</v>
      </c>
      <c r="K40" t="s">
        <v>677</v>
      </c>
      <c r="L40">
        <v>77</v>
      </c>
      <c r="M40">
        <v>62</v>
      </c>
      <c r="N40">
        <v>97</v>
      </c>
      <c r="O40" s="4">
        <v>78.666666666666671</v>
      </c>
      <c r="P40" t="str">
        <f t="shared" si="0"/>
        <v>C</v>
      </c>
      <c r="Q40" t="str">
        <f t="shared" si="1"/>
        <v>Evet</v>
      </c>
    </row>
    <row r="41" spans="1:17" x14ac:dyDescent="0.3">
      <c r="A41">
        <v>40</v>
      </c>
      <c r="B41">
        <v>17</v>
      </c>
      <c r="C41" t="s">
        <v>659</v>
      </c>
      <c r="D41" t="s">
        <v>663</v>
      </c>
      <c r="E41" t="s">
        <v>669</v>
      </c>
      <c r="F41">
        <v>3</v>
      </c>
      <c r="G41">
        <v>57</v>
      </c>
      <c r="H41" t="s">
        <v>674</v>
      </c>
      <c r="I41">
        <v>10</v>
      </c>
      <c r="J41" t="s">
        <v>674</v>
      </c>
      <c r="K41" t="s">
        <v>677</v>
      </c>
      <c r="L41">
        <v>65</v>
      </c>
      <c r="M41">
        <v>70</v>
      </c>
      <c r="N41">
        <v>85</v>
      </c>
      <c r="O41" s="4">
        <v>73.333333333333329</v>
      </c>
      <c r="P41" t="str">
        <f t="shared" si="0"/>
        <v>C</v>
      </c>
      <c r="Q41" t="str">
        <f t="shared" si="1"/>
        <v>Evet</v>
      </c>
    </row>
    <row r="42" spans="1:17" x14ac:dyDescent="0.3">
      <c r="A42">
        <v>41</v>
      </c>
      <c r="B42">
        <v>14</v>
      </c>
      <c r="C42" t="s">
        <v>661</v>
      </c>
      <c r="D42" t="s">
        <v>664</v>
      </c>
      <c r="E42" t="s">
        <v>665</v>
      </c>
      <c r="F42">
        <v>4</v>
      </c>
      <c r="G42">
        <v>92</v>
      </c>
      <c r="H42" t="s">
        <v>674</v>
      </c>
      <c r="I42">
        <v>20</v>
      </c>
      <c r="J42" t="s">
        <v>674</v>
      </c>
      <c r="K42" t="s">
        <v>678</v>
      </c>
      <c r="L42">
        <v>66</v>
      </c>
      <c r="M42">
        <v>92</v>
      </c>
      <c r="N42">
        <v>57</v>
      </c>
      <c r="O42" s="4">
        <v>71.666666666666671</v>
      </c>
      <c r="P42" t="str">
        <f t="shared" si="0"/>
        <v>C</v>
      </c>
      <c r="Q42" t="str">
        <f t="shared" si="1"/>
        <v>Evet</v>
      </c>
    </row>
    <row r="43" spans="1:17" x14ac:dyDescent="0.3">
      <c r="A43">
        <v>42</v>
      </c>
      <c r="B43">
        <v>18</v>
      </c>
      <c r="C43" t="s">
        <v>659</v>
      </c>
      <c r="D43" t="s">
        <v>664</v>
      </c>
      <c r="E43" t="s">
        <v>668</v>
      </c>
      <c r="F43">
        <v>7</v>
      </c>
      <c r="G43">
        <v>54</v>
      </c>
      <c r="H43" t="s">
        <v>674</v>
      </c>
      <c r="I43">
        <v>45</v>
      </c>
      <c r="J43" t="s">
        <v>674</v>
      </c>
      <c r="K43" t="s">
        <v>677</v>
      </c>
      <c r="L43">
        <v>90</v>
      </c>
      <c r="M43">
        <v>52</v>
      </c>
      <c r="N43">
        <v>86</v>
      </c>
      <c r="O43">
        <v>76</v>
      </c>
      <c r="P43" t="str">
        <f t="shared" si="0"/>
        <v>C</v>
      </c>
      <c r="Q43" t="str">
        <f t="shared" si="1"/>
        <v>Hayır</v>
      </c>
    </row>
    <row r="44" spans="1:17" x14ac:dyDescent="0.3">
      <c r="A44">
        <v>43</v>
      </c>
      <c r="B44">
        <v>18</v>
      </c>
      <c r="C44" t="s">
        <v>660</v>
      </c>
      <c r="D44" t="s">
        <v>663</v>
      </c>
      <c r="E44" t="s">
        <v>670</v>
      </c>
      <c r="F44">
        <v>5</v>
      </c>
      <c r="G44">
        <v>53</v>
      </c>
      <c r="H44" t="s">
        <v>674</v>
      </c>
      <c r="I44">
        <v>20</v>
      </c>
      <c r="J44" t="s">
        <v>675</v>
      </c>
      <c r="K44" t="s">
        <v>679</v>
      </c>
      <c r="L44">
        <v>34</v>
      </c>
      <c r="M44">
        <v>93</v>
      </c>
      <c r="N44">
        <v>90</v>
      </c>
      <c r="O44" s="4">
        <v>72.333333333333329</v>
      </c>
      <c r="P44" t="str">
        <f t="shared" si="0"/>
        <v>C</v>
      </c>
      <c r="Q44" t="str">
        <f t="shared" si="1"/>
        <v>Evet</v>
      </c>
    </row>
    <row r="45" spans="1:17" x14ac:dyDescent="0.3">
      <c r="A45">
        <v>44</v>
      </c>
      <c r="B45">
        <v>16</v>
      </c>
      <c r="C45" t="s">
        <v>660</v>
      </c>
      <c r="D45" t="s">
        <v>664</v>
      </c>
      <c r="E45" t="s">
        <v>670</v>
      </c>
      <c r="F45">
        <v>1</v>
      </c>
      <c r="G45">
        <v>91</v>
      </c>
      <c r="H45" t="s">
        <v>674</v>
      </c>
      <c r="I45">
        <v>45</v>
      </c>
      <c r="J45" t="s">
        <v>675</v>
      </c>
      <c r="K45" t="s">
        <v>681</v>
      </c>
      <c r="L45">
        <v>71</v>
      </c>
      <c r="M45">
        <v>38</v>
      </c>
      <c r="N45">
        <v>71</v>
      </c>
      <c r="O45">
        <v>60</v>
      </c>
      <c r="P45" t="str">
        <f t="shared" si="0"/>
        <v>C</v>
      </c>
      <c r="Q45" t="str">
        <f t="shared" si="1"/>
        <v>Hayır</v>
      </c>
    </row>
    <row r="46" spans="1:17" x14ac:dyDescent="0.3">
      <c r="A46">
        <v>45</v>
      </c>
      <c r="B46">
        <v>14</v>
      </c>
      <c r="C46" t="s">
        <v>659</v>
      </c>
      <c r="D46" t="s">
        <v>664</v>
      </c>
      <c r="E46" t="s">
        <v>668</v>
      </c>
      <c r="F46">
        <v>5</v>
      </c>
      <c r="G46">
        <v>59</v>
      </c>
      <c r="H46" t="s">
        <v>674</v>
      </c>
      <c r="I46">
        <v>10</v>
      </c>
      <c r="J46" t="s">
        <v>675</v>
      </c>
      <c r="K46" t="s">
        <v>679</v>
      </c>
      <c r="L46">
        <v>32</v>
      </c>
      <c r="M46">
        <v>35</v>
      </c>
      <c r="N46">
        <v>95</v>
      </c>
      <c r="O46">
        <v>54</v>
      </c>
      <c r="P46" t="str">
        <f t="shared" si="0"/>
        <v>D</v>
      </c>
      <c r="Q46" t="str">
        <f t="shared" si="1"/>
        <v>Evet</v>
      </c>
    </row>
    <row r="47" spans="1:17" x14ac:dyDescent="0.3">
      <c r="A47">
        <v>46</v>
      </c>
      <c r="B47">
        <v>19</v>
      </c>
      <c r="C47" t="s">
        <v>660</v>
      </c>
      <c r="D47" t="s">
        <v>664</v>
      </c>
      <c r="E47" t="s">
        <v>666</v>
      </c>
      <c r="F47">
        <v>1</v>
      </c>
      <c r="G47">
        <v>72</v>
      </c>
      <c r="H47" t="s">
        <v>674</v>
      </c>
      <c r="I47">
        <v>45</v>
      </c>
      <c r="J47" t="s">
        <v>675</v>
      </c>
      <c r="K47" t="s">
        <v>681</v>
      </c>
      <c r="L47">
        <v>61</v>
      </c>
      <c r="M47">
        <v>86</v>
      </c>
      <c r="N47">
        <v>94</v>
      </c>
      <c r="O47" s="4">
        <v>80.333333333333329</v>
      </c>
      <c r="P47" t="str">
        <f t="shared" si="0"/>
        <v>B</v>
      </c>
      <c r="Q47" t="str">
        <f t="shared" si="1"/>
        <v>Evet</v>
      </c>
    </row>
    <row r="48" spans="1:17" x14ac:dyDescent="0.3">
      <c r="A48">
        <v>47</v>
      </c>
      <c r="B48">
        <v>16</v>
      </c>
      <c r="C48" t="s">
        <v>661</v>
      </c>
      <c r="D48" t="s">
        <v>663</v>
      </c>
      <c r="E48" t="s">
        <v>666</v>
      </c>
      <c r="F48">
        <v>6</v>
      </c>
      <c r="G48">
        <v>97</v>
      </c>
      <c r="H48" t="s">
        <v>674</v>
      </c>
      <c r="I48">
        <v>75</v>
      </c>
      <c r="J48" t="s">
        <v>675</v>
      </c>
      <c r="K48" t="s">
        <v>680</v>
      </c>
      <c r="L48">
        <v>50</v>
      </c>
      <c r="M48">
        <v>82</v>
      </c>
      <c r="N48">
        <v>90</v>
      </c>
      <c r="O48">
        <v>74</v>
      </c>
      <c r="P48" t="str">
        <f t="shared" si="0"/>
        <v>C</v>
      </c>
      <c r="Q48" t="str">
        <f t="shared" si="1"/>
        <v>Evet</v>
      </c>
    </row>
    <row r="49" spans="1:17" x14ac:dyDescent="0.3">
      <c r="A49">
        <v>48</v>
      </c>
      <c r="B49">
        <v>19</v>
      </c>
      <c r="C49" t="s">
        <v>659</v>
      </c>
      <c r="D49" t="s">
        <v>664</v>
      </c>
      <c r="E49" t="s">
        <v>667</v>
      </c>
      <c r="F49">
        <v>3</v>
      </c>
      <c r="G49">
        <v>60</v>
      </c>
      <c r="H49" t="s">
        <v>674</v>
      </c>
      <c r="I49">
        <v>75</v>
      </c>
      <c r="J49" t="s">
        <v>674</v>
      </c>
      <c r="K49" t="s">
        <v>107</v>
      </c>
      <c r="L49">
        <v>82</v>
      </c>
      <c r="M49">
        <v>67</v>
      </c>
      <c r="N49">
        <v>66</v>
      </c>
      <c r="O49" s="4">
        <v>71.666666666666671</v>
      </c>
      <c r="P49" t="str">
        <f t="shared" si="0"/>
        <v>C</v>
      </c>
      <c r="Q49" t="str">
        <f t="shared" si="1"/>
        <v>Hayır</v>
      </c>
    </row>
    <row r="50" spans="1:17" x14ac:dyDescent="0.3">
      <c r="A50">
        <v>49</v>
      </c>
      <c r="B50">
        <v>18</v>
      </c>
      <c r="C50" t="s">
        <v>659</v>
      </c>
      <c r="D50" t="s">
        <v>664</v>
      </c>
      <c r="E50" t="s">
        <v>665</v>
      </c>
      <c r="F50">
        <v>5</v>
      </c>
      <c r="G50">
        <v>89</v>
      </c>
      <c r="H50" t="s">
        <v>674</v>
      </c>
      <c r="I50">
        <v>20</v>
      </c>
      <c r="J50" t="s">
        <v>674</v>
      </c>
      <c r="K50" t="s">
        <v>680</v>
      </c>
      <c r="L50">
        <v>82</v>
      </c>
      <c r="M50">
        <v>50</v>
      </c>
      <c r="N50">
        <v>98</v>
      </c>
      <c r="O50" s="4">
        <v>76.666666666666671</v>
      </c>
      <c r="P50" t="str">
        <f t="shared" si="0"/>
        <v>C</v>
      </c>
      <c r="Q50" t="str">
        <f t="shared" si="1"/>
        <v>Hayır</v>
      </c>
    </row>
    <row r="51" spans="1:17" x14ac:dyDescent="0.3">
      <c r="A51">
        <v>50</v>
      </c>
      <c r="B51">
        <v>18</v>
      </c>
      <c r="C51" t="s">
        <v>659</v>
      </c>
      <c r="D51" t="s">
        <v>664</v>
      </c>
      <c r="E51" t="s">
        <v>665</v>
      </c>
      <c r="F51">
        <v>7</v>
      </c>
      <c r="G51">
        <v>79</v>
      </c>
      <c r="H51" t="s">
        <v>675</v>
      </c>
      <c r="I51">
        <v>45</v>
      </c>
      <c r="J51" t="s">
        <v>675</v>
      </c>
      <c r="K51" t="s">
        <v>680</v>
      </c>
      <c r="L51">
        <v>66</v>
      </c>
      <c r="M51">
        <v>75</v>
      </c>
      <c r="N51">
        <v>51</v>
      </c>
      <c r="O51">
        <v>64</v>
      </c>
      <c r="P51" t="str">
        <f t="shared" si="0"/>
        <v>C</v>
      </c>
      <c r="Q51" t="str">
        <f t="shared" si="1"/>
        <v>Hayır</v>
      </c>
    </row>
    <row r="52" spans="1:17" x14ac:dyDescent="0.3">
      <c r="A52">
        <v>51</v>
      </c>
      <c r="B52">
        <v>18</v>
      </c>
      <c r="C52" t="s">
        <v>659</v>
      </c>
      <c r="D52" t="s">
        <v>663</v>
      </c>
      <c r="E52" t="s">
        <v>670</v>
      </c>
      <c r="F52">
        <v>4</v>
      </c>
      <c r="G52">
        <v>70</v>
      </c>
      <c r="H52" t="s">
        <v>674</v>
      </c>
      <c r="I52">
        <v>75</v>
      </c>
      <c r="J52" t="s">
        <v>674</v>
      </c>
      <c r="K52" t="s">
        <v>678</v>
      </c>
      <c r="L52">
        <v>70</v>
      </c>
      <c r="M52">
        <v>39</v>
      </c>
      <c r="N52">
        <v>58</v>
      </c>
      <c r="O52" s="4">
        <v>55.666666666666664</v>
      </c>
      <c r="P52" t="str">
        <f t="shared" si="0"/>
        <v>D</v>
      </c>
      <c r="Q52" t="str">
        <f t="shared" si="1"/>
        <v>Hayır</v>
      </c>
    </row>
    <row r="53" spans="1:17" x14ac:dyDescent="0.3">
      <c r="A53">
        <v>52</v>
      </c>
      <c r="B53">
        <v>15</v>
      </c>
      <c r="C53" t="s">
        <v>659</v>
      </c>
      <c r="D53" t="s">
        <v>664</v>
      </c>
      <c r="E53" t="s">
        <v>666</v>
      </c>
      <c r="F53">
        <v>1</v>
      </c>
      <c r="G53">
        <v>73</v>
      </c>
      <c r="H53" t="s">
        <v>674</v>
      </c>
      <c r="I53">
        <v>20</v>
      </c>
      <c r="J53" t="s">
        <v>675</v>
      </c>
      <c r="K53" t="s">
        <v>677</v>
      </c>
      <c r="L53">
        <v>87</v>
      </c>
      <c r="M53">
        <v>89</v>
      </c>
      <c r="N53">
        <v>99</v>
      </c>
      <c r="O53" s="4">
        <v>91.666666666666671</v>
      </c>
      <c r="P53" t="str">
        <f t="shared" si="0"/>
        <v>A</v>
      </c>
      <c r="Q53" t="str">
        <f t="shared" si="1"/>
        <v>Evet</v>
      </c>
    </row>
    <row r="54" spans="1:17" x14ac:dyDescent="0.3">
      <c r="A54">
        <v>53</v>
      </c>
      <c r="B54">
        <v>16</v>
      </c>
      <c r="C54" t="s">
        <v>660</v>
      </c>
      <c r="D54" t="s">
        <v>663</v>
      </c>
      <c r="E54" t="s">
        <v>665</v>
      </c>
      <c r="F54">
        <v>5</v>
      </c>
      <c r="G54">
        <v>71</v>
      </c>
      <c r="H54" t="s">
        <v>674</v>
      </c>
      <c r="I54">
        <v>20</v>
      </c>
      <c r="J54" t="s">
        <v>674</v>
      </c>
      <c r="K54" t="s">
        <v>677</v>
      </c>
      <c r="L54">
        <v>61</v>
      </c>
      <c r="M54">
        <v>35</v>
      </c>
      <c r="N54">
        <v>95</v>
      </c>
      <c r="O54" s="4">
        <v>63.666666666666664</v>
      </c>
      <c r="P54" t="str">
        <f t="shared" si="0"/>
        <v>C</v>
      </c>
      <c r="Q54" t="str">
        <f t="shared" si="1"/>
        <v>Evet</v>
      </c>
    </row>
    <row r="55" spans="1:17" x14ac:dyDescent="0.3">
      <c r="A55">
        <v>54</v>
      </c>
      <c r="B55">
        <v>16</v>
      </c>
      <c r="C55" t="s">
        <v>661</v>
      </c>
      <c r="D55" t="s">
        <v>663</v>
      </c>
      <c r="E55" t="s">
        <v>665</v>
      </c>
      <c r="F55">
        <v>3</v>
      </c>
      <c r="G55">
        <v>91</v>
      </c>
      <c r="H55" t="s">
        <v>675</v>
      </c>
      <c r="I55">
        <v>75</v>
      </c>
      <c r="J55" t="s">
        <v>674</v>
      </c>
      <c r="K55" t="s">
        <v>680</v>
      </c>
      <c r="L55">
        <v>81</v>
      </c>
      <c r="M55">
        <v>43</v>
      </c>
      <c r="N55">
        <v>77</v>
      </c>
      <c r="O55">
        <v>67</v>
      </c>
      <c r="P55" t="str">
        <f t="shared" si="0"/>
        <v>C</v>
      </c>
      <c r="Q55" t="str">
        <f t="shared" si="1"/>
        <v>Hayır</v>
      </c>
    </row>
    <row r="56" spans="1:17" x14ac:dyDescent="0.3">
      <c r="A56">
        <v>55</v>
      </c>
      <c r="B56">
        <v>16</v>
      </c>
      <c r="C56" t="s">
        <v>661</v>
      </c>
      <c r="D56" t="s">
        <v>664</v>
      </c>
      <c r="E56" t="s">
        <v>665</v>
      </c>
      <c r="F56">
        <v>3</v>
      </c>
      <c r="G56">
        <v>91</v>
      </c>
      <c r="H56" t="s">
        <v>674</v>
      </c>
      <c r="I56">
        <v>75</v>
      </c>
      <c r="J56" t="s">
        <v>674</v>
      </c>
      <c r="K56" t="s">
        <v>107</v>
      </c>
      <c r="L56">
        <v>53</v>
      </c>
      <c r="M56">
        <v>24</v>
      </c>
      <c r="N56">
        <v>78</v>
      </c>
      <c r="O56" s="4">
        <v>51.666666666666664</v>
      </c>
      <c r="P56" t="str">
        <f t="shared" si="0"/>
        <v>D</v>
      </c>
      <c r="Q56" t="str">
        <f t="shared" si="1"/>
        <v>Hayır</v>
      </c>
    </row>
    <row r="57" spans="1:17" x14ac:dyDescent="0.3">
      <c r="A57">
        <v>56</v>
      </c>
      <c r="B57">
        <v>14</v>
      </c>
      <c r="C57" t="s">
        <v>661</v>
      </c>
      <c r="D57" t="s">
        <v>663</v>
      </c>
      <c r="E57" t="s">
        <v>666</v>
      </c>
      <c r="F57">
        <v>7</v>
      </c>
      <c r="G57">
        <v>69</v>
      </c>
      <c r="H57" t="s">
        <v>674</v>
      </c>
      <c r="I57">
        <v>75</v>
      </c>
      <c r="J57" t="s">
        <v>675</v>
      </c>
      <c r="K57" t="s">
        <v>107</v>
      </c>
      <c r="L57">
        <v>60</v>
      </c>
      <c r="M57">
        <v>54</v>
      </c>
      <c r="N57">
        <v>68</v>
      </c>
      <c r="O57" s="4">
        <v>60.666666666666664</v>
      </c>
      <c r="P57" t="str">
        <f t="shared" si="0"/>
        <v>C</v>
      </c>
      <c r="Q57" t="str">
        <f t="shared" si="1"/>
        <v>Evet</v>
      </c>
    </row>
    <row r="58" spans="1:17" x14ac:dyDescent="0.3">
      <c r="A58">
        <v>57</v>
      </c>
      <c r="B58">
        <v>17</v>
      </c>
      <c r="C58" t="s">
        <v>661</v>
      </c>
      <c r="D58" t="s">
        <v>663</v>
      </c>
      <c r="E58" t="s">
        <v>665</v>
      </c>
      <c r="F58">
        <v>6</v>
      </c>
      <c r="G58">
        <v>85</v>
      </c>
      <c r="H58" t="s">
        <v>675</v>
      </c>
      <c r="I58">
        <v>75</v>
      </c>
      <c r="J58" t="s">
        <v>674</v>
      </c>
      <c r="K58" t="s">
        <v>678</v>
      </c>
      <c r="L58">
        <v>78</v>
      </c>
      <c r="M58">
        <v>90</v>
      </c>
      <c r="N58">
        <v>76</v>
      </c>
      <c r="O58" s="4">
        <v>81.333333333333329</v>
      </c>
      <c r="P58" t="str">
        <f t="shared" si="0"/>
        <v>B</v>
      </c>
      <c r="Q58" t="str">
        <f t="shared" si="1"/>
        <v>Evet</v>
      </c>
    </row>
    <row r="59" spans="1:17" x14ac:dyDescent="0.3">
      <c r="A59">
        <v>58</v>
      </c>
      <c r="B59">
        <v>14</v>
      </c>
      <c r="C59" t="s">
        <v>660</v>
      </c>
      <c r="D59" t="s">
        <v>664</v>
      </c>
      <c r="E59" t="s">
        <v>668</v>
      </c>
      <c r="F59">
        <v>5</v>
      </c>
      <c r="G59">
        <v>77</v>
      </c>
      <c r="H59" t="s">
        <v>674</v>
      </c>
      <c r="I59">
        <v>20</v>
      </c>
      <c r="J59" t="s">
        <v>675</v>
      </c>
      <c r="K59" t="s">
        <v>107</v>
      </c>
      <c r="L59">
        <v>51</v>
      </c>
      <c r="M59">
        <v>82</v>
      </c>
      <c r="N59">
        <v>72</v>
      </c>
      <c r="O59" s="4">
        <v>68.333333333333329</v>
      </c>
      <c r="P59" t="str">
        <f t="shared" si="0"/>
        <v>C</v>
      </c>
      <c r="Q59" t="str">
        <f t="shared" si="1"/>
        <v>Evet</v>
      </c>
    </row>
    <row r="60" spans="1:17" x14ac:dyDescent="0.3">
      <c r="A60">
        <v>59</v>
      </c>
      <c r="B60">
        <v>18</v>
      </c>
      <c r="C60" t="s">
        <v>661</v>
      </c>
      <c r="D60" t="s">
        <v>663</v>
      </c>
      <c r="E60" t="s">
        <v>666</v>
      </c>
      <c r="F60">
        <v>7</v>
      </c>
      <c r="G60">
        <v>87</v>
      </c>
      <c r="H60" t="s">
        <v>674</v>
      </c>
      <c r="I60">
        <v>20</v>
      </c>
      <c r="J60" t="s">
        <v>675</v>
      </c>
      <c r="K60" t="s">
        <v>107</v>
      </c>
      <c r="L60">
        <v>42</v>
      </c>
      <c r="M60">
        <v>72</v>
      </c>
      <c r="N60">
        <v>96</v>
      </c>
      <c r="O60">
        <v>70</v>
      </c>
      <c r="P60" t="str">
        <f t="shared" si="0"/>
        <v>C</v>
      </c>
      <c r="Q60" t="str">
        <f t="shared" si="1"/>
        <v>Evet</v>
      </c>
    </row>
    <row r="61" spans="1:17" x14ac:dyDescent="0.3">
      <c r="A61">
        <v>60</v>
      </c>
      <c r="B61">
        <v>18</v>
      </c>
      <c r="C61" t="s">
        <v>659</v>
      </c>
      <c r="D61" t="s">
        <v>664</v>
      </c>
      <c r="E61" t="s">
        <v>667</v>
      </c>
      <c r="F61">
        <v>2</v>
      </c>
      <c r="G61">
        <v>53</v>
      </c>
      <c r="H61" t="s">
        <v>674</v>
      </c>
      <c r="I61">
        <v>75</v>
      </c>
      <c r="J61" t="s">
        <v>674</v>
      </c>
      <c r="K61" t="s">
        <v>677</v>
      </c>
      <c r="L61">
        <v>78</v>
      </c>
      <c r="M61">
        <v>48</v>
      </c>
      <c r="N61">
        <v>63</v>
      </c>
      <c r="O61">
        <v>63</v>
      </c>
      <c r="P61" t="str">
        <f t="shared" si="0"/>
        <v>C</v>
      </c>
      <c r="Q61" t="str">
        <f t="shared" si="1"/>
        <v>Hayır</v>
      </c>
    </row>
    <row r="62" spans="1:17" x14ac:dyDescent="0.3">
      <c r="A62">
        <v>61</v>
      </c>
      <c r="B62">
        <v>19</v>
      </c>
      <c r="C62" t="s">
        <v>661</v>
      </c>
      <c r="D62" t="s">
        <v>663</v>
      </c>
      <c r="E62" t="s">
        <v>669</v>
      </c>
      <c r="F62">
        <v>2</v>
      </c>
      <c r="G62">
        <v>67</v>
      </c>
      <c r="H62" t="s">
        <v>674</v>
      </c>
      <c r="I62">
        <v>20</v>
      </c>
      <c r="J62" t="s">
        <v>675</v>
      </c>
      <c r="K62" t="s">
        <v>681</v>
      </c>
      <c r="L62">
        <v>76</v>
      </c>
      <c r="M62">
        <v>72</v>
      </c>
      <c r="N62">
        <v>54</v>
      </c>
      <c r="O62" s="4">
        <v>67.333333333333329</v>
      </c>
      <c r="P62" t="str">
        <f t="shared" si="0"/>
        <v>C</v>
      </c>
      <c r="Q62" t="str">
        <f t="shared" si="1"/>
        <v>Hayır</v>
      </c>
    </row>
    <row r="63" spans="1:17" x14ac:dyDescent="0.3">
      <c r="A63">
        <v>62</v>
      </c>
      <c r="B63">
        <v>18</v>
      </c>
      <c r="C63" t="s">
        <v>659</v>
      </c>
      <c r="D63" t="s">
        <v>664</v>
      </c>
      <c r="E63" t="s">
        <v>665</v>
      </c>
      <c r="F63">
        <v>2</v>
      </c>
      <c r="G63">
        <v>67</v>
      </c>
      <c r="H63" t="s">
        <v>674</v>
      </c>
      <c r="I63">
        <v>75</v>
      </c>
      <c r="J63" t="s">
        <v>675</v>
      </c>
      <c r="K63" t="s">
        <v>107</v>
      </c>
      <c r="L63">
        <v>96</v>
      </c>
      <c r="M63">
        <v>26</v>
      </c>
      <c r="N63">
        <v>92</v>
      </c>
      <c r="O63" s="4">
        <v>71.333333333333329</v>
      </c>
      <c r="P63" t="str">
        <f t="shared" si="0"/>
        <v>C</v>
      </c>
      <c r="Q63" t="str">
        <f t="shared" si="1"/>
        <v>Hayır</v>
      </c>
    </row>
    <row r="64" spans="1:17" x14ac:dyDescent="0.3">
      <c r="A64">
        <v>63</v>
      </c>
      <c r="B64">
        <v>16</v>
      </c>
      <c r="C64" t="s">
        <v>661</v>
      </c>
      <c r="D64" t="s">
        <v>664</v>
      </c>
      <c r="E64" t="s">
        <v>668</v>
      </c>
      <c r="F64">
        <v>3</v>
      </c>
      <c r="G64">
        <v>80</v>
      </c>
      <c r="H64" t="s">
        <v>674</v>
      </c>
      <c r="I64">
        <v>45</v>
      </c>
      <c r="J64" t="s">
        <v>674</v>
      </c>
      <c r="K64" t="s">
        <v>680</v>
      </c>
      <c r="L64">
        <v>31</v>
      </c>
      <c r="M64">
        <v>75</v>
      </c>
      <c r="N64">
        <v>99</v>
      </c>
      <c r="O64" s="4">
        <v>68.333333333333329</v>
      </c>
      <c r="P64" t="str">
        <f t="shared" si="0"/>
        <v>C</v>
      </c>
      <c r="Q64" t="str">
        <f t="shared" si="1"/>
        <v>Evet</v>
      </c>
    </row>
    <row r="65" spans="1:17" x14ac:dyDescent="0.3">
      <c r="A65">
        <v>64</v>
      </c>
      <c r="B65">
        <v>19</v>
      </c>
      <c r="C65" t="s">
        <v>659</v>
      </c>
      <c r="D65" t="s">
        <v>663</v>
      </c>
      <c r="E65" t="s">
        <v>665</v>
      </c>
      <c r="F65">
        <v>1</v>
      </c>
      <c r="G65">
        <v>60</v>
      </c>
      <c r="H65" t="s">
        <v>674</v>
      </c>
      <c r="I65">
        <v>45</v>
      </c>
      <c r="J65" t="s">
        <v>674</v>
      </c>
      <c r="K65" t="s">
        <v>679</v>
      </c>
      <c r="L65">
        <v>62</v>
      </c>
      <c r="M65">
        <v>83</v>
      </c>
      <c r="N65">
        <v>51</v>
      </c>
      <c r="O65" s="4">
        <v>65.333333333333329</v>
      </c>
      <c r="P65" t="str">
        <f t="shared" si="0"/>
        <v>C</v>
      </c>
      <c r="Q65" t="str">
        <f t="shared" si="1"/>
        <v>Evet</v>
      </c>
    </row>
    <row r="66" spans="1:17" x14ac:dyDescent="0.3">
      <c r="A66">
        <v>65</v>
      </c>
      <c r="B66">
        <v>16</v>
      </c>
      <c r="C66" t="s">
        <v>659</v>
      </c>
      <c r="D66" t="s">
        <v>664</v>
      </c>
      <c r="E66" t="s">
        <v>667</v>
      </c>
      <c r="F66">
        <v>1</v>
      </c>
      <c r="G66">
        <v>77</v>
      </c>
      <c r="H66" t="s">
        <v>674</v>
      </c>
      <c r="I66">
        <v>45</v>
      </c>
      <c r="J66" t="s">
        <v>675</v>
      </c>
      <c r="K66" t="s">
        <v>679</v>
      </c>
      <c r="L66">
        <v>42</v>
      </c>
      <c r="M66">
        <v>72</v>
      </c>
      <c r="N66">
        <v>69</v>
      </c>
      <c r="O66">
        <v>61</v>
      </c>
      <c r="P66" t="str">
        <f t="shared" ref="P66:P129" si="2">IF(O66&gt;=90,"A",
IF(O66&gt;=80,"B",
IF(O66&gt;=60,"C",
IF(O66&gt;=40,"D","F"))))</f>
        <v>C</v>
      </c>
      <c r="Q66" t="str">
        <f t="shared" si="1"/>
        <v>Evet</v>
      </c>
    </row>
    <row r="67" spans="1:17" x14ac:dyDescent="0.3">
      <c r="A67">
        <v>66</v>
      </c>
      <c r="B67">
        <v>15</v>
      </c>
      <c r="C67" t="s">
        <v>660</v>
      </c>
      <c r="D67" t="s">
        <v>663</v>
      </c>
      <c r="E67" t="s">
        <v>665</v>
      </c>
      <c r="F67">
        <v>1</v>
      </c>
      <c r="G67">
        <v>99</v>
      </c>
      <c r="H67" t="s">
        <v>674</v>
      </c>
      <c r="I67">
        <v>75</v>
      </c>
      <c r="J67" t="s">
        <v>675</v>
      </c>
      <c r="K67" t="s">
        <v>677</v>
      </c>
      <c r="L67">
        <v>96</v>
      </c>
      <c r="M67">
        <v>28</v>
      </c>
      <c r="N67">
        <v>100</v>
      </c>
      <c r="O67" s="4">
        <v>74.666666666666671</v>
      </c>
      <c r="P67" t="str">
        <f t="shared" si="2"/>
        <v>C</v>
      </c>
      <c r="Q67" t="str">
        <f t="shared" ref="Q67:Q130" si="3">IF(L67&lt;O67,"Evet","Hayır")</f>
        <v>Hayır</v>
      </c>
    </row>
    <row r="68" spans="1:17" x14ac:dyDescent="0.3">
      <c r="A68">
        <v>67</v>
      </c>
      <c r="B68">
        <v>19</v>
      </c>
      <c r="C68" t="s">
        <v>661</v>
      </c>
      <c r="D68" t="s">
        <v>664</v>
      </c>
      <c r="E68" t="s">
        <v>665</v>
      </c>
      <c r="F68">
        <v>6</v>
      </c>
      <c r="G68">
        <v>52</v>
      </c>
      <c r="H68" t="s">
        <v>674</v>
      </c>
      <c r="I68">
        <v>10</v>
      </c>
      <c r="J68" t="s">
        <v>674</v>
      </c>
      <c r="K68" t="s">
        <v>677</v>
      </c>
      <c r="L68">
        <v>53</v>
      </c>
      <c r="M68">
        <v>92</v>
      </c>
      <c r="N68">
        <v>92</v>
      </c>
      <c r="O68">
        <v>79</v>
      </c>
      <c r="P68" t="str">
        <f t="shared" si="2"/>
        <v>C</v>
      </c>
      <c r="Q68" t="str">
        <f t="shared" si="3"/>
        <v>Evet</v>
      </c>
    </row>
    <row r="69" spans="1:17" x14ac:dyDescent="0.3">
      <c r="A69">
        <v>68</v>
      </c>
      <c r="B69">
        <v>16</v>
      </c>
      <c r="C69" t="s">
        <v>659</v>
      </c>
      <c r="D69" t="s">
        <v>663</v>
      </c>
      <c r="E69" t="s">
        <v>668</v>
      </c>
      <c r="F69">
        <v>2</v>
      </c>
      <c r="G69">
        <v>75</v>
      </c>
      <c r="H69" t="s">
        <v>675</v>
      </c>
      <c r="I69">
        <v>10</v>
      </c>
      <c r="J69" t="s">
        <v>674</v>
      </c>
      <c r="K69" t="s">
        <v>107</v>
      </c>
      <c r="L69">
        <v>97</v>
      </c>
      <c r="M69">
        <v>32</v>
      </c>
      <c r="N69">
        <v>74</v>
      </c>
      <c r="O69" s="4">
        <v>67.666666666666671</v>
      </c>
      <c r="P69" t="str">
        <f t="shared" si="2"/>
        <v>C</v>
      </c>
      <c r="Q69" t="str">
        <f t="shared" si="3"/>
        <v>Hayır</v>
      </c>
    </row>
    <row r="70" spans="1:17" x14ac:dyDescent="0.3">
      <c r="A70">
        <v>69</v>
      </c>
      <c r="B70">
        <v>14</v>
      </c>
      <c r="C70" t="s">
        <v>659</v>
      </c>
      <c r="D70" t="s">
        <v>664</v>
      </c>
      <c r="E70" t="s">
        <v>667</v>
      </c>
      <c r="F70">
        <v>4</v>
      </c>
      <c r="G70">
        <v>57</v>
      </c>
      <c r="H70" t="s">
        <v>674</v>
      </c>
      <c r="I70">
        <v>20</v>
      </c>
      <c r="J70" t="s">
        <v>674</v>
      </c>
      <c r="K70" t="s">
        <v>679</v>
      </c>
      <c r="L70">
        <v>82</v>
      </c>
      <c r="M70">
        <v>100</v>
      </c>
      <c r="N70">
        <v>58</v>
      </c>
      <c r="O70">
        <v>80</v>
      </c>
      <c r="P70" t="str">
        <f t="shared" si="2"/>
        <v>B</v>
      </c>
      <c r="Q70" t="str">
        <f t="shared" si="3"/>
        <v>Hayır</v>
      </c>
    </row>
    <row r="71" spans="1:17" x14ac:dyDescent="0.3">
      <c r="A71">
        <v>70</v>
      </c>
      <c r="B71">
        <v>16</v>
      </c>
      <c r="C71" t="s">
        <v>660</v>
      </c>
      <c r="D71" t="s">
        <v>664</v>
      </c>
      <c r="E71" t="s">
        <v>665</v>
      </c>
      <c r="F71">
        <v>7</v>
      </c>
      <c r="G71">
        <v>79</v>
      </c>
      <c r="H71" t="s">
        <v>674</v>
      </c>
      <c r="I71">
        <v>20</v>
      </c>
      <c r="J71" t="s">
        <v>675</v>
      </c>
      <c r="K71" t="s">
        <v>677</v>
      </c>
      <c r="L71">
        <v>86</v>
      </c>
      <c r="M71">
        <v>97</v>
      </c>
      <c r="N71">
        <v>53</v>
      </c>
      <c r="O71" s="4">
        <v>78.666666666666671</v>
      </c>
      <c r="P71" t="str">
        <f t="shared" si="2"/>
        <v>C</v>
      </c>
      <c r="Q71" t="str">
        <f t="shared" si="3"/>
        <v>Hayır</v>
      </c>
    </row>
    <row r="72" spans="1:17" x14ac:dyDescent="0.3">
      <c r="A72">
        <v>71</v>
      </c>
      <c r="B72">
        <v>18</v>
      </c>
      <c r="C72" t="s">
        <v>661</v>
      </c>
      <c r="D72" t="s">
        <v>663</v>
      </c>
      <c r="E72" t="s">
        <v>669</v>
      </c>
      <c r="F72">
        <v>6</v>
      </c>
      <c r="G72">
        <v>62</v>
      </c>
      <c r="H72" t="s">
        <v>675</v>
      </c>
      <c r="I72">
        <v>20</v>
      </c>
      <c r="J72" t="s">
        <v>675</v>
      </c>
      <c r="K72" t="s">
        <v>679</v>
      </c>
      <c r="L72">
        <v>64</v>
      </c>
      <c r="M72">
        <v>100</v>
      </c>
      <c r="N72">
        <v>92</v>
      </c>
      <c r="O72" s="4">
        <v>85.333333333333329</v>
      </c>
      <c r="P72" t="str">
        <f t="shared" si="2"/>
        <v>B</v>
      </c>
      <c r="Q72" t="str">
        <f t="shared" si="3"/>
        <v>Evet</v>
      </c>
    </row>
    <row r="73" spans="1:17" x14ac:dyDescent="0.3">
      <c r="A73">
        <v>72</v>
      </c>
      <c r="B73">
        <v>15</v>
      </c>
      <c r="C73" t="s">
        <v>661</v>
      </c>
      <c r="D73" t="s">
        <v>663</v>
      </c>
      <c r="E73" t="s">
        <v>669</v>
      </c>
      <c r="F73">
        <v>4</v>
      </c>
      <c r="G73">
        <v>95</v>
      </c>
      <c r="H73" t="s">
        <v>674</v>
      </c>
      <c r="I73">
        <v>10</v>
      </c>
      <c r="J73" t="s">
        <v>674</v>
      </c>
      <c r="K73" t="s">
        <v>679</v>
      </c>
      <c r="L73">
        <v>78</v>
      </c>
      <c r="M73">
        <v>35</v>
      </c>
      <c r="N73">
        <v>54</v>
      </c>
      <c r="O73" s="4">
        <v>55.666666666666664</v>
      </c>
      <c r="P73" t="str">
        <f t="shared" si="2"/>
        <v>D</v>
      </c>
      <c r="Q73" t="str">
        <f t="shared" si="3"/>
        <v>Hayır</v>
      </c>
    </row>
    <row r="74" spans="1:17" x14ac:dyDescent="0.3">
      <c r="A74">
        <v>73</v>
      </c>
      <c r="B74">
        <v>16</v>
      </c>
      <c r="C74" t="s">
        <v>660</v>
      </c>
      <c r="D74" t="s">
        <v>664</v>
      </c>
      <c r="E74" t="s">
        <v>668</v>
      </c>
      <c r="F74">
        <v>3</v>
      </c>
      <c r="G74">
        <v>66</v>
      </c>
      <c r="H74" t="s">
        <v>674</v>
      </c>
      <c r="I74">
        <v>45</v>
      </c>
      <c r="J74" t="s">
        <v>674</v>
      </c>
      <c r="K74" t="s">
        <v>680</v>
      </c>
      <c r="L74">
        <v>74</v>
      </c>
      <c r="M74">
        <v>94</v>
      </c>
      <c r="N74">
        <v>75</v>
      </c>
      <c r="O74">
        <v>81</v>
      </c>
      <c r="P74" t="str">
        <f t="shared" si="2"/>
        <v>B</v>
      </c>
      <c r="Q74" t="str">
        <f t="shared" si="3"/>
        <v>Evet</v>
      </c>
    </row>
    <row r="75" spans="1:17" x14ac:dyDescent="0.3">
      <c r="A75">
        <v>74</v>
      </c>
      <c r="B75">
        <v>14</v>
      </c>
      <c r="C75" t="s">
        <v>660</v>
      </c>
      <c r="D75" t="s">
        <v>664</v>
      </c>
      <c r="E75" t="s">
        <v>665</v>
      </c>
      <c r="F75">
        <v>3</v>
      </c>
      <c r="G75">
        <v>98</v>
      </c>
      <c r="H75" t="s">
        <v>674</v>
      </c>
      <c r="I75">
        <v>10</v>
      </c>
      <c r="J75" t="s">
        <v>674</v>
      </c>
      <c r="K75" t="s">
        <v>679</v>
      </c>
      <c r="L75">
        <v>46</v>
      </c>
      <c r="M75">
        <v>63</v>
      </c>
      <c r="N75">
        <v>72</v>
      </c>
      <c r="O75" s="4">
        <v>60.333333333333336</v>
      </c>
      <c r="P75" t="str">
        <f t="shared" si="2"/>
        <v>C</v>
      </c>
      <c r="Q75" t="str">
        <f t="shared" si="3"/>
        <v>Evet</v>
      </c>
    </row>
    <row r="76" spans="1:17" x14ac:dyDescent="0.3">
      <c r="A76">
        <v>75</v>
      </c>
      <c r="B76">
        <v>18</v>
      </c>
      <c r="C76" t="s">
        <v>660</v>
      </c>
      <c r="D76" t="s">
        <v>664</v>
      </c>
      <c r="E76" t="s">
        <v>668</v>
      </c>
      <c r="F76">
        <v>2</v>
      </c>
      <c r="G76">
        <v>50</v>
      </c>
      <c r="H76" t="s">
        <v>675</v>
      </c>
      <c r="I76">
        <v>45</v>
      </c>
      <c r="J76" t="s">
        <v>674</v>
      </c>
      <c r="K76" t="s">
        <v>679</v>
      </c>
      <c r="L76">
        <v>89</v>
      </c>
      <c r="M76">
        <v>53</v>
      </c>
      <c r="N76">
        <v>84</v>
      </c>
      <c r="O76" s="4">
        <v>75.333333333333329</v>
      </c>
      <c r="P76" t="str">
        <f t="shared" si="2"/>
        <v>C</v>
      </c>
      <c r="Q76" t="str">
        <f t="shared" si="3"/>
        <v>Hayır</v>
      </c>
    </row>
    <row r="77" spans="1:17" x14ac:dyDescent="0.3">
      <c r="A77">
        <v>76</v>
      </c>
      <c r="B77">
        <v>16</v>
      </c>
      <c r="C77" t="s">
        <v>661</v>
      </c>
      <c r="D77" t="s">
        <v>663</v>
      </c>
      <c r="E77" t="s">
        <v>667</v>
      </c>
      <c r="F77">
        <v>6</v>
      </c>
      <c r="G77">
        <v>92</v>
      </c>
      <c r="H77" t="s">
        <v>674</v>
      </c>
      <c r="I77">
        <v>75</v>
      </c>
      <c r="J77" t="s">
        <v>674</v>
      </c>
      <c r="K77" t="s">
        <v>107</v>
      </c>
      <c r="L77">
        <v>99</v>
      </c>
      <c r="M77">
        <v>22</v>
      </c>
      <c r="N77">
        <v>93</v>
      </c>
      <c r="O77" s="4">
        <v>71.333333333333329</v>
      </c>
      <c r="P77" t="str">
        <f t="shared" si="2"/>
        <v>C</v>
      </c>
      <c r="Q77" t="str">
        <f t="shared" si="3"/>
        <v>Hayır</v>
      </c>
    </row>
    <row r="78" spans="1:17" x14ac:dyDescent="0.3">
      <c r="A78">
        <v>77</v>
      </c>
      <c r="B78">
        <v>15</v>
      </c>
      <c r="C78" t="s">
        <v>659</v>
      </c>
      <c r="D78" t="s">
        <v>664</v>
      </c>
      <c r="E78" t="s">
        <v>669</v>
      </c>
      <c r="F78">
        <v>4</v>
      </c>
      <c r="G78">
        <v>63</v>
      </c>
      <c r="H78" t="s">
        <v>675</v>
      </c>
      <c r="I78">
        <v>75</v>
      </c>
      <c r="J78" t="s">
        <v>674</v>
      </c>
      <c r="K78" t="s">
        <v>679</v>
      </c>
      <c r="L78">
        <v>81</v>
      </c>
      <c r="M78">
        <v>100</v>
      </c>
      <c r="N78">
        <v>52</v>
      </c>
      <c r="O78" s="4">
        <v>77.666666666666671</v>
      </c>
      <c r="P78" t="str">
        <f t="shared" si="2"/>
        <v>C</v>
      </c>
      <c r="Q78" t="str">
        <f t="shared" si="3"/>
        <v>Hayır</v>
      </c>
    </row>
    <row r="79" spans="1:17" x14ac:dyDescent="0.3">
      <c r="A79">
        <v>78</v>
      </c>
      <c r="B79">
        <v>15</v>
      </c>
      <c r="C79" t="s">
        <v>659</v>
      </c>
      <c r="D79" t="s">
        <v>663</v>
      </c>
      <c r="E79" t="s">
        <v>665</v>
      </c>
      <c r="F79">
        <v>7</v>
      </c>
      <c r="G79">
        <v>60</v>
      </c>
      <c r="H79" t="s">
        <v>674</v>
      </c>
      <c r="I79">
        <v>10</v>
      </c>
      <c r="J79" t="s">
        <v>674</v>
      </c>
      <c r="K79" t="s">
        <v>679</v>
      </c>
      <c r="L79">
        <v>42</v>
      </c>
      <c r="M79">
        <v>23</v>
      </c>
      <c r="N79">
        <v>49</v>
      </c>
      <c r="O79">
        <v>38</v>
      </c>
      <c r="P79" t="str">
        <f t="shared" si="2"/>
        <v>F</v>
      </c>
      <c r="Q79" t="str">
        <f t="shared" si="3"/>
        <v>Hayır</v>
      </c>
    </row>
    <row r="80" spans="1:17" x14ac:dyDescent="0.3">
      <c r="A80">
        <v>79</v>
      </c>
      <c r="B80">
        <v>17</v>
      </c>
      <c r="C80" t="s">
        <v>659</v>
      </c>
      <c r="D80" t="s">
        <v>664</v>
      </c>
      <c r="E80" t="s">
        <v>669</v>
      </c>
      <c r="F80">
        <v>4</v>
      </c>
      <c r="G80">
        <v>94</v>
      </c>
      <c r="H80" t="s">
        <v>674</v>
      </c>
      <c r="I80">
        <v>10</v>
      </c>
      <c r="J80" t="s">
        <v>674</v>
      </c>
      <c r="K80" t="s">
        <v>679</v>
      </c>
      <c r="L80">
        <v>32</v>
      </c>
      <c r="M80">
        <v>43</v>
      </c>
      <c r="N80">
        <v>68</v>
      </c>
      <c r="O80" s="4">
        <v>47.666666666666664</v>
      </c>
      <c r="P80" t="str">
        <f t="shared" si="2"/>
        <v>D</v>
      </c>
      <c r="Q80" t="str">
        <f t="shared" si="3"/>
        <v>Evet</v>
      </c>
    </row>
    <row r="81" spans="1:17" x14ac:dyDescent="0.3">
      <c r="A81">
        <v>80</v>
      </c>
      <c r="B81">
        <v>18</v>
      </c>
      <c r="C81" t="s">
        <v>659</v>
      </c>
      <c r="D81" t="s">
        <v>664</v>
      </c>
      <c r="E81" t="s">
        <v>670</v>
      </c>
      <c r="F81">
        <v>3</v>
      </c>
      <c r="G81">
        <v>65</v>
      </c>
      <c r="H81" t="s">
        <v>675</v>
      </c>
      <c r="I81">
        <v>20</v>
      </c>
      <c r="J81" t="s">
        <v>675</v>
      </c>
      <c r="K81" t="s">
        <v>681</v>
      </c>
      <c r="L81">
        <v>73</v>
      </c>
      <c r="M81">
        <v>56</v>
      </c>
      <c r="N81">
        <v>51</v>
      </c>
      <c r="O81">
        <v>60</v>
      </c>
      <c r="P81" t="str">
        <f t="shared" si="2"/>
        <v>C</v>
      </c>
      <c r="Q81" t="str">
        <f t="shared" si="3"/>
        <v>Hayır</v>
      </c>
    </row>
    <row r="82" spans="1:17" x14ac:dyDescent="0.3">
      <c r="A82">
        <v>81</v>
      </c>
      <c r="B82">
        <v>19</v>
      </c>
      <c r="C82" t="s">
        <v>660</v>
      </c>
      <c r="D82" t="s">
        <v>664</v>
      </c>
      <c r="E82" t="s">
        <v>666</v>
      </c>
      <c r="F82">
        <v>4</v>
      </c>
      <c r="G82">
        <v>79</v>
      </c>
      <c r="H82" t="s">
        <v>674</v>
      </c>
      <c r="I82">
        <v>45</v>
      </c>
      <c r="J82" t="s">
        <v>674</v>
      </c>
      <c r="K82" t="s">
        <v>678</v>
      </c>
      <c r="L82">
        <v>89</v>
      </c>
      <c r="M82">
        <v>23</v>
      </c>
      <c r="N82">
        <v>80</v>
      </c>
      <c r="O82">
        <v>64</v>
      </c>
      <c r="P82" t="str">
        <f t="shared" si="2"/>
        <v>C</v>
      </c>
      <c r="Q82" t="str">
        <f t="shared" si="3"/>
        <v>Hayır</v>
      </c>
    </row>
    <row r="83" spans="1:17" x14ac:dyDescent="0.3">
      <c r="A83">
        <v>82</v>
      </c>
      <c r="B83">
        <v>16</v>
      </c>
      <c r="C83" t="s">
        <v>661</v>
      </c>
      <c r="D83" t="s">
        <v>663</v>
      </c>
      <c r="E83" t="s">
        <v>667</v>
      </c>
      <c r="F83">
        <v>1</v>
      </c>
      <c r="G83">
        <v>87</v>
      </c>
      <c r="H83" t="s">
        <v>674</v>
      </c>
      <c r="I83">
        <v>20</v>
      </c>
      <c r="J83" t="s">
        <v>675</v>
      </c>
      <c r="K83" t="s">
        <v>681</v>
      </c>
      <c r="L83">
        <v>41</v>
      </c>
      <c r="M83">
        <v>93</v>
      </c>
      <c r="N83">
        <v>56</v>
      </c>
      <c r="O83" s="4">
        <v>63.333333333333336</v>
      </c>
      <c r="P83" t="str">
        <f t="shared" si="2"/>
        <v>C</v>
      </c>
      <c r="Q83" t="str">
        <f t="shared" si="3"/>
        <v>Evet</v>
      </c>
    </row>
    <row r="84" spans="1:17" x14ac:dyDescent="0.3">
      <c r="A84">
        <v>83</v>
      </c>
      <c r="B84">
        <v>14</v>
      </c>
      <c r="C84" t="s">
        <v>660</v>
      </c>
      <c r="D84" t="s">
        <v>663</v>
      </c>
      <c r="E84" t="s">
        <v>667</v>
      </c>
      <c r="F84">
        <v>6</v>
      </c>
      <c r="G84">
        <v>71</v>
      </c>
      <c r="H84" t="s">
        <v>674</v>
      </c>
      <c r="I84">
        <v>10</v>
      </c>
      <c r="J84" t="s">
        <v>675</v>
      </c>
      <c r="K84" t="s">
        <v>681</v>
      </c>
      <c r="L84">
        <v>82</v>
      </c>
      <c r="M84">
        <v>43</v>
      </c>
      <c r="N84">
        <v>56</v>
      </c>
      <c r="O84" s="4">
        <v>60.333333333333336</v>
      </c>
      <c r="P84" t="str">
        <f t="shared" si="2"/>
        <v>C</v>
      </c>
      <c r="Q84" t="str">
        <f t="shared" si="3"/>
        <v>Hayır</v>
      </c>
    </row>
    <row r="85" spans="1:17" x14ac:dyDescent="0.3">
      <c r="A85">
        <v>84</v>
      </c>
      <c r="B85">
        <v>18</v>
      </c>
      <c r="C85" t="s">
        <v>660</v>
      </c>
      <c r="D85" t="s">
        <v>664</v>
      </c>
      <c r="E85" t="s">
        <v>665</v>
      </c>
      <c r="F85">
        <v>6</v>
      </c>
      <c r="G85">
        <v>55</v>
      </c>
      <c r="H85" t="s">
        <v>675</v>
      </c>
      <c r="I85">
        <v>10</v>
      </c>
      <c r="J85" t="s">
        <v>675</v>
      </c>
      <c r="K85" t="s">
        <v>679</v>
      </c>
      <c r="L85">
        <v>93</v>
      </c>
      <c r="M85">
        <v>87</v>
      </c>
      <c r="N85">
        <v>80</v>
      </c>
      <c r="O85" s="4">
        <v>86.666666666666671</v>
      </c>
      <c r="P85" t="str">
        <f t="shared" si="2"/>
        <v>B</v>
      </c>
      <c r="Q85" t="str">
        <f t="shared" si="3"/>
        <v>Hayır</v>
      </c>
    </row>
    <row r="86" spans="1:17" x14ac:dyDescent="0.3">
      <c r="A86">
        <v>85</v>
      </c>
      <c r="B86">
        <v>17</v>
      </c>
      <c r="C86" t="s">
        <v>659</v>
      </c>
      <c r="D86" t="s">
        <v>663</v>
      </c>
      <c r="E86" t="s">
        <v>669</v>
      </c>
      <c r="F86">
        <v>7</v>
      </c>
      <c r="G86">
        <v>96</v>
      </c>
      <c r="H86" t="s">
        <v>674</v>
      </c>
      <c r="I86">
        <v>10</v>
      </c>
      <c r="J86" t="s">
        <v>674</v>
      </c>
      <c r="K86" t="s">
        <v>677</v>
      </c>
      <c r="L86">
        <v>66</v>
      </c>
      <c r="M86">
        <v>30</v>
      </c>
      <c r="N86">
        <v>84</v>
      </c>
      <c r="O86">
        <v>60</v>
      </c>
      <c r="P86" t="str">
        <f t="shared" si="2"/>
        <v>C</v>
      </c>
      <c r="Q86" t="str">
        <f t="shared" si="3"/>
        <v>Hayır</v>
      </c>
    </row>
    <row r="87" spans="1:17" x14ac:dyDescent="0.3">
      <c r="A87">
        <v>86</v>
      </c>
      <c r="B87">
        <v>18</v>
      </c>
      <c r="C87" t="s">
        <v>660</v>
      </c>
      <c r="D87" t="s">
        <v>663</v>
      </c>
      <c r="E87" t="s">
        <v>666</v>
      </c>
      <c r="F87">
        <v>6</v>
      </c>
      <c r="G87">
        <v>82</v>
      </c>
      <c r="H87" t="s">
        <v>674</v>
      </c>
      <c r="I87">
        <v>75</v>
      </c>
      <c r="J87" t="s">
        <v>675</v>
      </c>
      <c r="K87" t="s">
        <v>107</v>
      </c>
      <c r="L87">
        <v>61</v>
      </c>
      <c r="M87">
        <v>74</v>
      </c>
      <c r="N87">
        <v>69</v>
      </c>
      <c r="O87">
        <v>68</v>
      </c>
      <c r="P87" t="str">
        <f t="shared" si="2"/>
        <v>C</v>
      </c>
      <c r="Q87" t="str">
        <f t="shared" si="3"/>
        <v>Evet</v>
      </c>
    </row>
    <row r="88" spans="1:17" x14ac:dyDescent="0.3">
      <c r="A88">
        <v>87</v>
      </c>
      <c r="B88">
        <v>14</v>
      </c>
      <c r="C88" t="s">
        <v>659</v>
      </c>
      <c r="D88" t="s">
        <v>663</v>
      </c>
      <c r="E88" t="s">
        <v>669</v>
      </c>
      <c r="F88">
        <v>5</v>
      </c>
      <c r="G88">
        <v>95</v>
      </c>
      <c r="H88" t="s">
        <v>674</v>
      </c>
      <c r="I88">
        <v>75</v>
      </c>
      <c r="J88" t="s">
        <v>674</v>
      </c>
      <c r="K88" t="s">
        <v>107</v>
      </c>
      <c r="L88">
        <v>39</v>
      </c>
      <c r="M88">
        <v>92</v>
      </c>
      <c r="N88">
        <v>61</v>
      </c>
      <c r="O88">
        <v>64</v>
      </c>
      <c r="P88" t="str">
        <f t="shared" si="2"/>
        <v>C</v>
      </c>
      <c r="Q88" t="str">
        <f t="shared" si="3"/>
        <v>Evet</v>
      </c>
    </row>
    <row r="89" spans="1:17" x14ac:dyDescent="0.3">
      <c r="A89">
        <v>88</v>
      </c>
      <c r="B89">
        <v>15</v>
      </c>
      <c r="C89" t="s">
        <v>661</v>
      </c>
      <c r="D89" t="s">
        <v>664</v>
      </c>
      <c r="E89" t="s">
        <v>667</v>
      </c>
      <c r="F89">
        <v>6</v>
      </c>
      <c r="G89">
        <v>88</v>
      </c>
      <c r="H89" t="s">
        <v>675</v>
      </c>
      <c r="I89">
        <v>75</v>
      </c>
      <c r="J89" t="s">
        <v>674</v>
      </c>
      <c r="K89" t="s">
        <v>678</v>
      </c>
      <c r="L89">
        <v>52</v>
      </c>
      <c r="M89">
        <v>70</v>
      </c>
      <c r="N89">
        <v>78</v>
      </c>
      <c r="O89" s="4">
        <v>66.666666666666671</v>
      </c>
      <c r="P89" t="str">
        <f t="shared" si="2"/>
        <v>C</v>
      </c>
      <c r="Q89" t="str">
        <f t="shared" si="3"/>
        <v>Evet</v>
      </c>
    </row>
    <row r="90" spans="1:17" x14ac:dyDescent="0.3">
      <c r="A90">
        <v>89</v>
      </c>
      <c r="B90">
        <v>18</v>
      </c>
      <c r="C90" t="s">
        <v>660</v>
      </c>
      <c r="D90" t="s">
        <v>663</v>
      </c>
      <c r="E90" t="s">
        <v>666</v>
      </c>
      <c r="F90">
        <v>4</v>
      </c>
      <c r="G90">
        <v>89</v>
      </c>
      <c r="H90" t="s">
        <v>675</v>
      </c>
      <c r="I90">
        <v>45</v>
      </c>
      <c r="J90" t="s">
        <v>674</v>
      </c>
      <c r="K90" t="s">
        <v>677</v>
      </c>
      <c r="L90">
        <v>92</v>
      </c>
      <c r="M90">
        <v>20</v>
      </c>
      <c r="N90">
        <v>76</v>
      </c>
      <c r="O90" s="4">
        <v>62.666666666666664</v>
      </c>
      <c r="P90" t="str">
        <f t="shared" si="2"/>
        <v>C</v>
      </c>
      <c r="Q90" t="str">
        <f t="shared" si="3"/>
        <v>Hayır</v>
      </c>
    </row>
    <row r="91" spans="1:17" x14ac:dyDescent="0.3">
      <c r="A91">
        <v>90</v>
      </c>
      <c r="B91">
        <v>18</v>
      </c>
      <c r="C91" t="s">
        <v>660</v>
      </c>
      <c r="D91" t="s">
        <v>664</v>
      </c>
      <c r="E91" t="s">
        <v>667</v>
      </c>
      <c r="F91">
        <v>4</v>
      </c>
      <c r="G91">
        <v>80</v>
      </c>
      <c r="H91" t="s">
        <v>674</v>
      </c>
      <c r="I91">
        <v>10</v>
      </c>
      <c r="J91" t="s">
        <v>675</v>
      </c>
      <c r="K91" t="s">
        <v>679</v>
      </c>
      <c r="L91">
        <v>72</v>
      </c>
      <c r="M91">
        <v>91</v>
      </c>
      <c r="N91">
        <v>86</v>
      </c>
      <c r="O91">
        <v>83</v>
      </c>
      <c r="P91" t="str">
        <f t="shared" si="2"/>
        <v>B</v>
      </c>
      <c r="Q91" t="str">
        <f t="shared" si="3"/>
        <v>Evet</v>
      </c>
    </row>
    <row r="92" spans="1:17" x14ac:dyDescent="0.3">
      <c r="A92">
        <v>91</v>
      </c>
      <c r="B92">
        <v>16</v>
      </c>
      <c r="C92" t="s">
        <v>661</v>
      </c>
      <c r="D92" t="s">
        <v>663</v>
      </c>
      <c r="E92" t="s">
        <v>670</v>
      </c>
      <c r="F92">
        <v>6</v>
      </c>
      <c r="G92">
        <v>50</v>
      </c>
      <c r="H92" t="s">
        <v>674</v>
      </c>
      <c r="I92">
        <v>45</v>
      </c>
      <c r="J92" t="s">
        <v>675</v>
      </c>
      <c r="K92" t="s">
        <v>679</v>
      </c>
      <c r="L92">
        <v>68</v>
      </c>
      <c r="M92">
        <v>25</v>
      </c>
      <c r="N92">
        <v>96</v>
      </c>
      <c r="O92">
        <v>63</v>
      </c>
      <c r="P92" t="str">
        <f t="shared" si="2"/>
        <v>C</v>
      </c>
      <c r="Q92" t="str">
        <f t="shared" si="3"/>
        <v>Hayır</v>
      </c>
    </row>
    <row r="93" spans="1:17" x14ac:dyDescent="0.3">
      <c r="A93">
        <v>92</v>
      </c>
      <c r="B93">
        <v>18</v>
      </c>
      <c r="C93" t="s">
        <v>659</v>
      </c>
      <c r="D93" t="s">
        <v>664</v>
      </c>
      <c r="E93" t="s">
        <v>665</v>
      </c>
      <c r="F93">
        <v>3</v>
      </c>
      <c r="G93">
        <v>94</v>
      </c>
      <c r="H93" t="s">
        <v>674</v>
      </c>
      <c r="I93">
        <v>45</v>
      </c>
      <c r="J93" t="s">
        <v>674</v>
      </c>
      <c r="K93" t="s">
        <v>678</v>
      </c>
      <c r="L93">
        <v>43</v>
      </c>
      <c r="M93">
        <v>93</v>
      </c>
      <c r="N93">
        <v>76</v>
      </c>
      <c r="O93" s="4">
        <v>70.666666666666671</v>
      </c>
      <c r="P93" t="str">
        <f t="shared" si="2"/>
        <v>C</v>
      </c>
      <c r="Q93" t="str">
        <f t="shared" si="3"/>
        <v>Evet</v>
      </c>
    </row>
    <row r="94" spans="1:17" x14ac:dyDescent="0.3">
      <c r="A94">
        <v>93</v>
      </c>
      <c r="B94">
        <v>19</v>
      </c>
      <c r="C94" t="s">
        <v>660</v>
      </c>
      <c r="D94" t="s">
        <v>663</v>
      </c>
      <c r="E94" t="s">
        <v>665</v>
      </c>
      <c r="F94">
        <v>3</v>
      </c>
      <c r="G94">
        <v>92</v>
      </c>
      <c r="H94" t="s">
        <v>674</v>
      </c>
      <c r="I94">
        <v>45</v>
      </c>
      <c r="J94" t="s">
        <v>674</v>
      </c>
      <c r="K94" t="s">
        <v>679</v>
      </c>
      <c r="L94">
        <v>94</v>
      </c>
      <c r="M94">
        <v>41</v>
      </c>
      <c r="N94">
        <v>56</v>
      </c>
      <c r="O94" s="4">
        <v>63.666666666666664</v>
      </c>
      <c r="P94" t="str">
        <f t="shared" si="2"/>
        <v>C</v>
      </c>
      <c r="Q94" t="str">
        <f t="shared" si="3"/>
        <v>Hayır</v>
      </c>
    </row>
    <row r="95" spans="1:17" x14ac:dyDescent="0.3">
      <c r="A95">
        <v>94</v>
      </c>
      <c r="B95">
        <v>16</v>
      </c>
      <c r="C95" t="s">
        <v>660</v>
      </c>
      <c r="D95" t="s">
        <v>663</v>
      </c>
      <c r="E95" t="s">
        <v>667</v>
      </c>
      <c r="F95">
        <v>7</v>
      </c>
      <c r="G95">
        <v>86</v>
      </c>
      <c r="H95" t="s">
        <v>675</v>
      </c>
      <c r="I95">
        <v>45</v>
      </c>
      <c r="J95" t="s">
        <v>675</v>
      </c>
      <c r="K95" t="s">
        <v>107</v>
      </c>
      <c r="L95">
        <v>69</v>
      </c>
      <c r="M95">
        <v>96</v>
      </c>
      <c r="N95">
        <v>78</v>
      </c>
      <c r="O95">
        <v>81</v>
      </c>
      <c r="P95" t="str">
        <f t="shared" si="2"/>
        <v>B</v>
      </c>
      <c r="Q95" t="str">
        <f t="shared" si="3"/>
        <v>Evet</v>
      </c>
    </row>
    <row r="96" spans="1:17" x14ac:dyDescent="0.3">
      <c r="A96">
        <v>95</v>
      </c>
      <c r="B96">
        <v>19</v>
      </c>
      <c r="C96" t="s">
        <v>659</v>
      </c>
      <c r="D96" t="s">
        <v>664</v>
      </c>
      <c r="E96" t="s">
        <v>668</v>
      </c>
      <c r="F96">
        <v>6</v>
      </c>
      <c r="G96">
        <v>94</v>
      </c>
      <c r="H96" t="s">
        <v>674</v>
      </c>
      <c r="I96">
        <v>10</v>
      </c>
      <c r="J96" t="s">
        <v>675</v>
      </c>
      <c r="K96" t="s">
        <v>679</v>
      </c>
      <c r="L96">
        <v>34</v>
      </c>
      <c r="M96">
        <v>80</v>
      </c>
      <c r="N96">
        <v>91</v>
      </c>
      <c r="O96" s="4">
        <v>68.333333333333329</v>
      </c>
      <c r="P96" t="str">
        <f t="shared" si="2"/>
        <v>C</v>
      </c>
      <c r="Q96" t="str">
        <f t="shared" si="3"/>
        <v>Evet</v>
      </c>
    </row>
    <row r="97" spans="1:17" x14ac:dyDescent="0.3">
      <c r="A97">
        <v>96</v>
      </c>
      <c r="B97">
        <v>15</v>
      </c>
      <c r="C97" t="s">
        <v>659</v>
      </c>
      <c r="D97" t="s">
        <v>663</v>
      </c>
      <c r="E97" t="s">
        <v>668</v>
      </c>
      <c r="F97">
        <v>4</v>
      </c>
      <c r="G97">
        <v>59</v>
      </c>
      <c r="H97" t="s">
        <v>674</v>
      </c>
      <c r="I97">
        <v>45</v>
      </c>
      <c r="J97" t="s">
        <v>675</v>
      </c>
      <c r="K97" t="s">
        <v>677</v>
      </c>
      <c r="L97">
        <v>85</v>
      </c>
      <c r="M97">
        <v>94</v>
      </c>
      <c r="N97">
        <v>69</v>
      </c>
      <c r="O97" s="4">
        <v>82.666666666666671</v>
      </c>
      <c r="P97" t="str">
        <f t="shared" si="2"/>
        <v>B</v>
      </c>
      <c r="Q97" t="str">
        <f t="shared" si="3"/>
        <v>Hayır</v>
      </c>
    </row>
    <row r="98" spans="1:17" x14ac:dyDescent="0.3">
      <c r="A98">
        <v>97</v>
      </c>
      <c r="B98">
        <v>15</v>
      </c>
      <c r="C98" t="s">
        <v>659</v>
      </c>
      <c r="D98" t="s">
        <v>663</v>
      </c>
      <c r="E98" t="s">
        <v>670</v>
      </c>
      <c r="F98">
        <v>1</v>
      </c>
      <c r="G98">
        <v>64</v>
      </c>
      <c r="H98" t="s">
        <v>674</v>
      </c>
      <c r="I98">
        <v>75</v>
      </c>
      <c r="J98" t="s">
        <v>674</v>
      </c>
      <c r="K98" t="s">
        <v>679</v>
      </c>
      <c r="L98">
        <v>58</v>
      </c>
      <c r="M98">
        <v>73</v>
      </c>
      <c r="N98">
        <v>65</v>
      </c>
      <c r="O98" s="4">
        <v>65.333333333333329</v>
      </c>
      <c r="P98" t="str">
        <f t="shared" si="2"/>
        <v>C</v>
      </c>
      <c r="Q98" t="str">
        <f t="shared" si="3"/>
        <v>Evet</v>
      </c>
    </row>
    <row r="99" spans="1:17" x14ac:dyDescent="0.3">
      <c r="A99">
        <v>98</v>
      </c>
      <c r="B99">
        <v>18</v>
      </c>
      <c r="C99" t="s">
        <v>659</v>
      </c>
      <c r="D99" t="s">
        <v>664</v>
      </c>
      <c r="E99" t="s">
        <v>670</v>
      </c>
      <c r="F99">
        <v>2</v>
      </c>
      <c r="G99">
        <v>58</v>
      </c>
      <c r="H99" t="s">
        <v>674</v>
      </c>
      <c r="I99">
        <v>20</v>
      </c>
      <c r="J99" t="s">
        <v>675</v>
      </c>
      <c r="K99" t="s">
        <v>679</v>
      </c>
      <c r="L99">
        <v>51</v>
      </c>
      <c r="M99">
        <v>94</v>
      </c>
      <c r="N99">
        <v>79</v>
      </c>
      <c r="O99" s="4">
        <v>74.666666666666671</v>
      </c>
      <c r="P99" t="str">
        <f t="shared" si="2"/>
        <v>C</v>
      </c>
      <c r="Q99" t="str">
        <f t="shared" si="3"/>
        <v>Evet</v>
      </c>
    </row>
    <row r="100" spans="1:17" x14ac:dyDescent="0.3">
      <c r="A100">
        <v>99</v>
      </c>
      <c r="B100">
        <v>17</v>
      </c>
      <c r="C100" t="s">
        <v>661</v>
      </c>
      <c r="D100" t="s">
        <v>664</v>
      </c>
      <c r="E100" t="s">
        <v>665</v>
      </c>
      <c r="F100">
        <v>5</v>
      </c>
      <c r="G100">
        <v>82</v>
      </c>
      <c r="H100" t="s">
        <v>674</v>
      </c>
      <c r="I100">
        <v>20</v>
      </c>
      <c r="J100" t="s">
        <v>675</v>
      </c>
      <c r="K100" t="s">
        <v>680</v>
      </c>
      <c r="L100">
        <v>66</v>
      </c>
      <c r="M100">
        <v>85</v>
      </c>
      <c r="N100">
        <v>52</v>
      </c>
      <c r="O100" s="4">
        <v>67.666666666666671</v>
      </c>
      <c r="P100" t="str">
        <f t="shared" si="2"/>
        <v>C</v>
      </c>
      <c r="Q100" t="str">
        <f t="shared" si="3"/>
        <v>Evet</v>
      </c>
    </row>
    <row r="101" spans="1:17" x14ac:dyDescent="0.3">
      <c r="A101">
        <v>100</v>
      </c>
      <c r="B101">
        <v>14</v>
      </c>
      <c r="C101" t="s">
        <v>659</v>
      </c>
      <c r="D101" t="s">
        <v>664</v>
      </c>
      <c r="E101" t="s">
        <v>666</v>
      </c>
      <c r="F101">
        <v>2</v>
      </c>
      <c r="G101">
        <v>72</v>
      </c>
      <c r="H101" t="s">
        <v>675</v>
      </c>
      <c r="I101">
        <v>10</v>
      </c>
      <c r="J101" t="s">
        <v>675</v>
      </c>
      <c r="K101" t="s">
        <v>679</v>
      </c>
      <c r="L101">
        <v>95</v>
      </c>
      <c r="M101">
        <v>45</v>
      </c>
      <c r="N101">
        <v>86</v>
      </c>
      <c r="O101" s="4">
        <v>75.333333333333329</v>
      </c>
      <c r="P101" t="str">
        <f t="shared" si="2"/>
        <v>C</v>
      </c>
      <c r="Q101" t="str">
        <f t="shared" si="3"/>
        <v>Hayır</v>
      </c>
    </row>
    <row r="102" spans="1:17" x14ac:dyDescent="0.3">
      <c r="A102">
        <v>101</v>
      </c>
      <c r="B102">
        <v>18</v>
      </c>
      <c r="C102" t="s">
        <v>659</v>
      </c>
      <c r="D102" t="s">
        <v>663</v>
      </c>
      <c r="E102" t="s">
        <v>667</v>
      </c>
      <c r="F102">
        <v>5</v>
      </c>
      <c r="G102">
        <v>55</v>
      </c>
      <c r="H102" t="s">
        <v>674</v>
      </c>
      <c r="I102">
        <v>45</v>
      </c>
      <c r="J102" t="s">
        <v>674</v>
      </c>
      <c r="K102" t="s">
        <v>678</v>
      </c>
      <c r="L102">
        <v>79</v>
      </c>
      <c r="M102">
        <v>100</v>
      </c>
      <c r="N102">
        <v>58</v>
      </c>
      <c r="O102" s="5">
        <v>79</v>
      </c>
      <c r="P102" t="str">
        <f t="shared" si="2"/>
        <v>C</v>
      </c>
      <c r="Q102" t="str">
        <f t="shared" si="3"/>
        <v>Hayır</v>
      </c>
    </row>
    <row r="103" spans="1:17" x14ac:dyDescent="0.3">
      <c r="A103">
        <v>102</v>
      </c>
      <c r="B103">
        <v>15</v>
      </c>
      <c r="C103" t="s">
        <v>661</v>
      </c>
      <c r="D103" t="s">
        <v>664</v>
      </c>
      <c r="E103" t="s">
        <v>665</v>
      </c>
      <c r="F103">
        <v>1</v>
      </c>
      <c r="G103">
        <v>79</v>
      </c>
      <c r="H103" t="s">
        <v>674</v>
      </c>
      <c r="I103">
        <v>10</v>
      </c>
      <c r="J103" t="s">
        <v>674</v>
      </c>
      <c r="K103" t="s">
        <v>680</v>
      </c>
      <c r="L103">
        <v>83</v>
      </c>
      <c r="M103">
        <v>41</v>
      </c>
      <c r="N103">
        <v>59</v>
      </c>
      <c r="O103">
        <v>61</v>
      </c>
      <c r="P103" t="str">
        <f t="shared" si="2"/>
        <v>C</v>
      </c>
      <c r="Q103" t="str">
        <f t="shared" si="3"/>
        <v>Hayır</v>
      </c>
    </row>
    <row r="104" spans="1:17" x14ac:dyDescent="0.3">
      <c r="A104">
        <v>103</v>
      </c>
      <c r="B104">
        <v>18</v>
      </c>
      <c r="C104" t="s">
        <v>660</v>
      </c>
      <c r="D104" t="s">
        <v>663</v>
      </c>
      <c r="E104" t="s">
        <v>666</v>
      </c>
      <c r="F104">
        <v>7</v>
      </c>
      <c r="G104">
        <v>67</v>
      </c>
      <c r="H104" t="s">
        <v>674</v>
      </c>
      <c r="I104">
        <v>45</v>
      </c>
      <c r="J104" t="s">
        <v>674</v>
      </c>
      <c r="K104" t="s">
        <v>681</v>
      </c>
      <c r="L104">
        <v>72</v>
      </c>
      <c r="M104">
        <v>29</v>
      </c>
      <c r="N104">
        <v>71</v>
      </c>
      <c r="O104" s="4">
        <v>57.333333333333336</v>
      </c>
      <c r="P104" t="str">
        <f t="shared" si="2"/>
        <v>D</v>
      </c>
      <c r="Q104" t="str">
        <f t="shared" si="3"/>
        <v>Hayır</v>
      </c>
    </row>
    <row r="105" spans="1:17" x14ac:dyDescent="0.3">
      <c r="A105">
        <v>104</v>
      </c>
      <c r="B105">
        <v>14</v>
      </c>
      <c r="C105" t="s">
        <v>661</v>
      </c>
      <c r="D105" t="s">
        <v>664</v>
      </c>
      <c r="E105" t="s">
        <v>666</v>
      </c>
      <c r="F105">
        <v>6</v>
      </c>
      <c r="G105">
        <v>75</v>
      </c>
      <c r="H105" t="s">
        <v>674</v>
      </c>
      <c r="I105">
        <v>45</v>
      </c>
      <c r="J105" t="s">
        <v>675</v>
      </c>
      <c r="K105" t="s">
        <v>107</v>
      </c>
      <c r="L105">
        <v>58</v>
      </c>
      <c r="M105">
        <v>88</v>
      </c>
      <c r="N105">
        <v>46</v>
      </c>
      <c r="O105">
        <v>64</v>
      </c>
      <c r="P105" t="str">
        <f t="shared" si="2"/>
        <v>C</v>
      </c>
      <c r="Q105" t="str">
        <f t="shared" si="3"/>
        <v>Evet</v>
      </c>
    </row>
    <row r="106" spans="1:17" x14ac:dyDescent="0.3">
      <c r="A106">
        <v>105</v>
      </c>
      <c r="B106">
        <v>18</v>
      </c>
      <c r="C106" t="s">
        <v>661</v>
      </c>
      <c r="D106" t="s">
        <v>664</v>
      </c>
      <c r="E106" t="s">
        <v>668</v>
      </c>
      <c r="F106">
        <v>4</v>
      </c>
      <c r="G106">
        <v>63</v>
      </c>
      <c r="H106" t="s">
        <v>674</v>
      </c>
      <c r="I106">
        <v>20</v>
      </c>
      <c r="J106" t="s">
        <v>674</v>
      </c>
      <c r="K106" t="s">
        <v>677</v>
      </c>
      <c r="L106">
        <v>95</v>
      </c>
      <c r="M106">
        <v>79</v>
      </c>
      <c r="N106">
        <v>66</v>
      </c>
      <c r="O106">
        <v>80</v>
      </c>
      <c r="P106" t="str">
        <f t="shared" si="2"/>
        <v>B</v>
      </c>
      <c r="Q106" t="str">
        <f t="shared" si="3"/>
        <v>Hayır</v>
      </c>
    </row>
    <row r="107" spans="1:17" x14ac:dyDescent="0.3">
      <c r="A107">
        <v>106</v>
      </c>
      <c r="B107">
        <v>18</v>
      </c>
      <c r="C107" t="s">
        <v>659</v>
      </c>
      <c r="D107" t="s">
        <v>664</v>
      </c>
      <c r="E107" t="s">
        <v>666</v>
      </c>
      <c r="F107">
        <v>7</v>
      </c>
      <c r="G107">
        <v>58</v>
      </c>
      <c r="H107" t="s">
        <v>674</v>
      </c>
      <c r="I107">
        <v>20</v>
      </c>
      <c r="J107" t="s">
        <v>675</v>
      </c>
      <c r="K107" t="s">
        <v>679</v>
      </c>
      <c r="L107">
        <v>37</v>
      </c>
      <c r="M107">
        <v>36</v>
      </c>
      <c r="N107">
        <v>72</v>
      </c>
      <c r="O107" s="4">
        <v>48.333333333333336</v>
      </c>
      <c r="P107" t="str">
        <f t="shared" si="2"/>
        <v>D</v>
      </c>
      <c r="Q107" t="str">
        <f t="shared" si="3"/>
        <v>Evet</v>
      </c>
    </row>
    <row r="108" spans="1:17" x14ac:dyDescent="0.3">
      <c r="A108">
        <v>107</v>
      </c>
      <c r="B108">
        <v>18</v>
      </c>
      <c r="C108" t="s">
        <v>660</v>
      </c>
      <c r="D108" t="s">
        <v>664</v>
      </c>
      <c r="E108" t="s">
        <v>665</v>
      </c>
      <c r="F108">
        <v>5</v>
      </c>
      <c r="G108">
        <v>73</v>
      </c>
      <c r="H108" t="s">
        <v>674</v>
      </c>
      <c r="I108">
        <v>10</v>
      </c>
      <c r="J108" t="s">
        <v>674</v>
      </c>
      <c r="K108" t="s">
        <v>678</v>
      </c>
      <c r="L108">
        <v>46</v>
      </c>
      <c r="M108">
        <v>76</v>
      </c>
      <c r="N108">
        <v>58</v>
      </c>
      <c r="O108">
        <v>60</v>
      </c>
      <c r="P108" t="str">
        <f t="shared" si="2"/>
        <v>C</v>
      </c>
      <c r="Q108" t="str">
        <f t="shared" si="3"/>
        <v>Evet</v>
      </c>
    </row>
    <row r="109" spans="1:17" x14ac:dyDescent="0.3">
      <c r="A109">
        <v>108</v>
      </c>
      <c r="B109">
        <v>17</v>
      </c>
      <c r="C109" t="s">
        <v>659</v>
      </c>
      <c r="D109" t="s">
        <v>664</v>
      </c>
      <c r="E109" t="s">
        <v>665</v>
      </c>
      <c r="F109">
        <v>5</v>
      </c>
      <c r="G109">
        <v>61</v>
      </c>
      <c r="H109" t="s">
        <v>675</v>
      </c>
      <c r="I109">
        <v>45</v>
      </c>
      <c r="J109" t="s">
        <v>674</v>
      </c>
      <c r="K109" t="s">
        <v>678</v>
      </c>
      <c r="L109">
        <v>34</v>
      </c>
      <c r="M109">
        <v>27</v>
      </c>
      <c r="N109">
        <v>53</v>
      </c>
      <c r="O109">
        <v>38</v>
      </c>
      <c r="P109" t="str">
        <f t="shared" si="2"/>
        <v>F</v>
      </c>
      <c r="Q109" t="str">
        <f t="shared" si="3"/>
        <v>Evet</v>
      </c>
    </row>
    <row r="110" spans="1:17" x14ac:dyDescent="0.3">
      <c r="A110">
        <v>109</v>
      </c>
      <c r="B110">
        <v>16</v>
      </c>
      <c r="C110" t="s">
        <v>660</v>
      </c>
      <c r="D110" t="s">
        <v>663</v>
      </c>
      <c r="E110" t="s">
        <v>668</v>
      </c>
      <c r="F110">
        <v>4</v>
      </c>
      <c r="G110">
        <v>70</v>
      </c>
      <c r="H110" t="s">
        <v>674</v>
      </c>
      <c r="I110">
        <v>10</v>
      </c>
      <c r="J110" t="s">
        <v>675</v>
      </c>
      <c r="K110" t="s">
        <v>681</v>
      </c>
      <c r="L110">
        <v>37</v>
      </c>
      <c r="M110">
        <v>49</v>
      </c>
      <c r="N110">
        <v>50</v>
      </c>
      <c r="O110" s="4">
        <v>45.333333333333336</v>
      </c>
      <c r="P110" t="str">
        <f t="shared" si="2"/>
        <v>D</v>
      </c>
      <c r="Q110" t="str">
        <f t="shared" si="3"/>
        <v>Evet</v>
      </c>
    </row>
    <row r="111" spans="1:17" x14ac:dyDescent="0.3">
      <c r="A111">
        <v>110</v>
      </c>
      <c r="B111">
        <v>18</v>
      </c>
      <c r="C111" t="s">
        <v>661</v>
      </c>
      <c r="D111" t="s">
        <v>664</v>
      </c>
      <c r="E111" t="s">
        <v>668</v>
      </c>
      <c r="F111">
        <v>1</v>
      </c>
      <c r="G111">
        <v>69</v>
      </c>
      <c r="H111" t="s">
        <v>675</v>
      </c>
      <c r="I111">
        <v>45</v>
      </c>
      <c r="J111" t="s">
        <v>675</v>
      </c>
      <c r="K111" t="s">
        <v>107</v>
      </c>
      <c r="L111">
        <v>93</v>
      </c>
      <c r="M111">
        <v>48</v>
      </c>
      <c r="N111">
        <v>82</v>
      </c>
      <c r="O111" s="4">
        <v>74.333333333333329</v>
      </c>
      <c r="P111" t="str">
        <f t="shared" si="2"/>
        <v>C</v>
      </c>
      <c r="Q111" t="str">
        <f t="shared" si="3"/>
        <v>Hayır</v>
      </c>
    </row>
    <row r="112" spans="1:17" x14ac:dyDescent="0.3">
      <c r="A112">
        <v>111</v>
      </c>
      <c r="B112">
        <v>15</v>
      </c>
      <c r="C112" t="s">
        <v>661</v>
      </c>
      <c r="D112" t="s">
        <v>664</v>
      </c>
      <c r="E112" t="s">
        <v>670</v>
      </c>
      <c r="F112">
        <v>1</v>
      </c>
      <c r="G112">
        <v>97</v>
      </c>
      <c r="H112" t="s">
        <v>674</v>
      </c>
      <c r="I112">
        <v>45</v>
      </c>
      <c r="J112" t="s">
        <v>674</v>
      </c>
      <c r="K112" t="s">
        <v>107</v>
      </c>
      <c r="L112">
        <v>66</v>
      </c>
      <c r="M112">
        <v>97</v>
      </c>
      <c r="N112">
        <v>79</v>
      </c>
      <c r="O112" s="4">
        <v>80.666666666666671</v>
      </c>
      <c r="P112" t="str">
        <f t="shared" si="2"/>
        <v>B</v>
      </c>
      <c r="Q112" t="str">
        <f t="shared" si="3"/>
        <v>Evet</v>
      </c>
    </row>
    <row r="113" spans="1:17" x14ac:dyDescent="0.3">
      <c r="A113">
        <v>112</v>
      </c>
      <c r="B113">
        <v>18</v>
      </c>
      <c r="C113" t="s">
        <v>661</v>
      </c>
      <c r="D113" t="s">
        <v>664</v>
      </c>
      <c r="E113" t="s">
        <v>667</v>
      </c>
      <c r="F113">
        <v>3</v>
      </c>
      <c r="G113">
        <v>59</v>
      </c>
      <c r="H113" t="s">
        <v>674</v>
      </c>
      <c r="I113">
        <v>45</v>
      </c>
      <c r="J113" t="s">
        <v>674</v>
      </c>
      <c r="K113" t="s">
        <v>107</v>
      </c>
      <c r="L113">
        <v>68</v>
      </c>
      <c r="M113">
        <v>54</v>
      </c>
      <c r="N113">
        <v>48</v>
      </c>
      <c r="O113" s="4">
        <v>56.666666666666664</v>
      </c>
      <c r="P113" t="str">
        <f t="shared" si="2"/>
        <v>D</v>
      </c>
      <c r="Q113" t="str">
        <f t="shared" si="3"/>
        <v>Hayır</v>
      </c>
    </row>
    <row r="114" spans="1:17" x14ac:dyDescent="0.3">
      <c r="A114">
        <v>113</v>
      </c>
      <c r="B114">
        <v>17</v>
      </c>
      <c r="C114" t="s">
        <v>659</v>
      </c>
      <c r="D114" t="s">
        <v>663</v>
      </c>
      <c r="E114" t="s">
        <v>669</v>
      </c>
      <c r="F114">
        <v>4</v>
      </c>
      <c r="G114">
        <v>64</v>
      </c>
      <c r="H114" t="s">
        <v>674</v>
      </c>
      <c r="I114">
        <v>75</v>
      </c>
      <c r="J114" t="s">
        <v>675</v>
      </c>
      <c r="K114" t="s">
        <v>679</v>
      </c>
      <c r="L114">
        <v>34</v>
      </c>
      <c r="M114">
        <v>52</v>
      </c>
      <c r="N114">
        <v>81</v>
      </c>
      <c r="O114" s="4">
        <v>55.666666666666664</v>
      </c>
      <c r="P114" t="str">
        <f t="shared" si="2"/>
        <v>D</v>
      </c>
      <c r="Q114" t="str">
        <f t="shared" si="3"/>
        <v>Evet</v>
      </c>
    </row>
    <row r="115" spans="1:17" x14ac:dyDescent="0.3">
      <c r="A115">
        <v>114</v>
      </c>
      <c r="B115">
        <v>16</v>
      </c>
      <c r="C115" t="s">
        <v>659</v>
      </c>
      <c r="D115" t="s">
        <v>664</v>
      </c>
      <c r="E115" t="s">
        <v>666</v>
      </c>
      <c r="F115">
        <v>7</v>
      </c>
      <c r="G115">
        <v>90</v>
      </c>
      <c r="H115" t="s">
        <v>674</v>
      </c>
      <c r="I115">
        <v>45</v>
      </c>
      <c r="J115" t="s">
        <v>674</v>
      </c>
      <c r="K115" t="s">
        <v>679</v>
      </c>
      <c r="L115">
        <v>84</v>
      </c>
      <c r="M115">
        <v>98</v>
      </c>
      <c r="N115">
        <v>94</v>
      </c>
      <c r="O115">
        <v>92</v>
      </c>
      <c r="P115" t="str">
        <f t="shared" si="2"/>
        <v>A</v>
      </c>
      <c r="Q115" t="str">
        <f t="shared" si="3"/>
        <v>Evet</v>
      </c>
    </row>
    <row r="116" spans="1:17" x14ac:dyDescent="0.3">
      <c r="A116">
        <v>115</v>
      </c>
      <c r="B116">
        <v>17</v>
      </c>
      <c r="C116" t="s">
        <v>660</v>
      </c>
      <c r="D116" t="s">
        <v>663</v>
      </c>
      <c r="E116" t="s">
        <v>669</v>
      </c>
      <c r="F116">
        <v>5</v>
      </c>
      <c r="G116">
        <v>65</v>
      </c>
      <c r="H116" t="s">
        <v>674</v>
      </c>
      <c r="I116">
        <v>20</v>
      </c>
      <c r="J116" t="s">
        <v>674</v>
      </c>
      <c r="K116" t="s">
        <v>681</v>
      </c>
      <c r="L116">
        <v>100</v>
      </c>
      <c r="M116">
        <v>79</v>
      </c>
      <c r="N116">
        <v>94</v>
      </c>
      <c r="O116">
        <v>91</v>
      </c>
      <c r="P116" t="str">
        <f t="shared" si="2"/>
        <v>A</v>
      </c>
      <c r="Q116" t="str">
        <f t="shared" si="3"/>
        <v>Hayır</v>
      </c>
    </row>
    <row r="117" spans="1:17" x14ac:dyDescent="0.3">
      <c r="A117">
        <v>116</v>
      </c>
      <c r="B117">
        <v>17</v>
      </c>
      <c r="C117" t="s">
        <v>659</v>
      </c>
      <c r="D117" t="s">
        <v>664</v>
      </c>
      <c r="E117" t="s">
        <v>670</v>
      </c>
      <c r="F117">
        <v>1</v>
      </c>
      <c r="G117">
        <v>74</v>
      </c>
      <c r="H117" t="s">
        <v>674</v>
      </c>
      <c r="I117">
        <v>10</v>
      </c>
      <c r="J117" t="s">
        <v>675</v>
      </c>
      <c r="K117" t="s">
        <v>678</v>
      </c>
      <c r="L117">
        <v>78</v>
      </c>
      <c r="M117">
        <v>89</v>
      </c>
      <c r="N117">
        <v>80</v>
      </c>
      <c r="O117" s="4">
        <v>82.333333333333329</v>
      </c>
      <c r="P117" t="str">
        <f t="shared" si="2"/>
        <v>B</v>
      </c>
      <c r="Q117" t="str">
        <f t="shared" si="3"/>
        <v>Evet</v>
      </c>
    </row>
    <row r="118" spans="1:17" x14ac:dyDescent="0.3">
      <c r="A118">
        <v>117</v>
      </c>
      <c r="B118">
        <v>14</v>
      </c>
      <c r="C118" t="s">
        <v>660</v>
      </c>
      <c r="D118" t="s">
        <v>664</v>
      </c>
      <c r="E118" t="s">
        <v>670</v>
      </c>
      <c r="F118">
        <v>4</v>
      </c>
      <c r="G118">
        <v>88</v>
      </c>
      <c r="H118" t="s">
        <v>674</v>
      </c>
      <c r="I118">
        <v>20</v>
      </c>
      <c r="J118" t="s">
        <v>675</v>
      </c>
      <c r="K118" t="s">
        <v>681</v>
      </c>
      <c r="L118">
        <v>100</v>
      </c>
      <c r="M118">
        <v>83</v>
      </c>
      <c r="N118">
        <v>56</v>
      </c>
      <c r="O118" s="4">
        <v>79.666666666666671</v>
      </c>
      <c r="P118" t="str">
        <f t="shared" si="2"/>
        <v>C</v>
      </c>
      <c r="Q118" t="str">
        <f t="shared" si="3"/>
        <v>Hayır</v>
      </c>
    </row>
    <row r="119" spans="1:17" x14ac:dyDescent="0.3">
      <c r="A119">
        <v>118</v>
      </c>
      <c r="B119">
        <v>14</v>
      </c>
      <c r="C119" t="s">
        <v>661</v>
      </c>
      <c r="D119" t="s">
        <v>664</v>
      </c>
      <c r="E119" t="s">
        <v>669</v>
      </c>
      <c r="F119">
        <v>7</v>
      </c>
      <c r="G119">
        <v>50</v>
      </c>
      <c r="H119" t="s">
        <v>675</v>
      </c>
      <c r="I119">
        <v>45</v>
      </c>
      <c r="J119" t="s">
        <v>674</v>
      </c>
      <c r="K119" t="s">
        <v>680</v>
      </c>
      <c r="L119">
        <v>70</v>
      </c>
      <c r="M119">
        <v>37</v>
      </c>
      <c r="N119">
        <v>66</v>
      </c>
      <c r="O119" s="4">
        <v>57.666666666666664</v>
      </c>
      <c r="P119" t="str">
        <f t="shared" si="2"/>
        <v>D</v>
      </c>
      <c r="Q119" t="str">
        <f t="shared" si="3"/>
        <v>Hayır</v>
      </c>
    </row>
    <row r="120" spans="1:17" x14ac:dyDescent="0.3">
      <c r="A120">
        <v>119</v>
      </c>
      <c r="B120">
        <v>15</v>
      </c>
      <c r="C120" t="s">
        <v>659</v>
      </c>
      <c r="D120" t="s">
        <v>664</v>
      </c>
      <c r="E120" t="s">
        <v>667</v>
      </c>
      <c r="F120">
        <v>4</v>
      </c>
      <c r="G120">
        <v>98</v>
      </c>
      <c r="H120" t="s">
        <v>674</v>
      </c>
      <c r="I120">
        <v>20</v>
      </c>
      <c r="J120" t="s">
        <v>674</v>
      </c>
      <c r="K120" t="s">
        <v>681</v>
      </c>
      <c r="L120">
        <v>70</v>
      </c>
      <c r="M120">
        <v>39</v>
      </c>
      <c r="N120">
        <v>68</v>
      </c>
      <c r="O120">
        <v>59</v>
      </c>
      <c r="P120" t="str">
        <f t="shared" si="2"/>
        <v>D</v>
      </c>
      <c r="Q120" t="str">
        <f t="shared" si="3"/>
        <v>Hayır</v>
      </c>
    </row>
    <row r="121" spans="1:17" x14ac:dyDescent="0.3">
      <c r="A121">
        <v>120</v>
      </c>
      <c r="B121">
        <v>14</v>
      </c>
      <c r="C121" t="s">
        <v>661</v>
      </c>
      <c r="D121" t="s">
        <v>663</v>
      </c>
      <c r="E121" t="s">
        <v>670</v>
      </c>
      <c r="F121">
        <v>5</v>
      </c>
      <c r="G121">
        <v>73</v>
      </c>
      <c r="H121" t="s">
        <v>674</v>
      </c>
      <c r="I121">
        <v>20</v>
      </c>
      <c r="J121" t="s">
        <v>675</v>
      </c>
      <c r="K121" t="s">
        <v>107</v>
      </c>
      <c r="L121">
        <v>64</v>
      </c>
      <c r="M121">
        <v>64</v>
      </c>
      <c r="N121">
        <v>99</v>
      </c>
      <c r="O121" s="4">
        <v>75.666666666666671</v>
      </c>
      <c r="P121" t="str">
        <f t="shared" si="2"/>
        <v>C</v>
      </c>
      <c r="Q121" t="str">
        <f t="shared" si="3"/>
        <v>Evet</v>
      </c>
    </row>
    <row r="122" spans="1:17" x14ac:dyDescent="0.3">
      <c r="A122">
        <v>121</v>
      </c>
      <c r="B122">
        <v>16</v>
      </c>
      <c r="C122" t="s">
        <v>661</v>
      </c>
      <c r="D122" t="s">
        <v>663</v>
      </c>
      <c r="E122" t="s">
        <v>665</v>
      </c>
      <c r="F122">
        <v>4</v>
      </c>
      <c r="G122">
        <v>88</v>
      </c>
      <c r="H122" t="s">
        <v>674</v>
      </c>
      <c r="I122">
        <v>45</v>
      </c>
      <c r="J122" t="s">
        <v>675</v>
      </c>
      <c r="K122" t="s">
        <v>679</v>
      </c>
      <c r="L122">
        <v>71</v>
      </c>
      <c r="M122">
        <v>37</v>
      </c>
      <c r="N122">
        <v>46</v>
      </c>
      <c r="O122" s="4">
        <v>51.333333333333336</v>
      </c>
      <c r="P122" t="str">
        <f t="shared" si="2"/>
        <v>D</v>
      </c>
      <c r="Q122" t="str">
        <f t="shared" si="3"/>
        <v>Hayır</v>
      </c>
    </row>
    <row r="123" spans="1:17" x14ac:dyDescent="0.3">
      <c r="A123">
        <v>122</v>
      </c>
      <c r="B123">
        <v>18</v>
      </c>
      <c r="C123" t="s">
        <v>661</v>
      </c>
      <c r="D123" t="s">
        <v>663</v>
      </c>
      <c r="E123" t="s">
        <v>665</v>
      </c>
      <c r="F123">
        <v>6</v>
      </c>
      <c r="G123">
        <v>96</v>
      </c>
      <c r="H123" t="s">
        <v>674</v>
      </c>
      <c r="I123">
        <v>10</v>
      </c>
      <c r="J123" t="s">
        <v>675</v>
      </c>
      <c r="K123" t="s">
        <v>677</v>
      </c>
      <c r="L123">
        <v>31</v>
      </c>
      <c r="M123">
        <v>72</v>
      </c>
      <c r="N123">
        <v>54</v>
      </c>
      <c r="O123" s="4">
        <v>52.333333333333336</v>
      </c>
      <c r="P123" t="str">
        <f t="shared" si="2"/>
        <v>D</v>
      </c>
      <c r="Q123" t="str">
        <f t="shared" si="3"/>
        <v>Evet</v>
      </c>
    </row>
    <row r="124" spans="1:17" x14ac:dyDescent="0.3">
      <c r="A124">
        <v>123</v>
      </c>
      <c r="B124">
        <v>17</v>
      </c>
      <c r="C124" t="s">
        <v>659</v>
      </c>
      <c r="D124" t="s">
        <v>664</v>
      </c>
      <c r="E124" t="s">
        <v>669</v>
      </c>
      <c r="F124">
        <v>4</v>
      </c>
      <c r="G124">
        <v>94</v>
      </c>
      <c r="H124" t="s">
        <v>674</v>
      </c>
      <c r="I124">
        <v>75</v>
      </c>
      <c r="J124" t="s">
        <v>674</v>
      </c>
      <c r="K124" t="s">
        <v>680</v>
      </c>
      <c r="L124">
        <v>57</v>
      </c>
      <c r="M124">
        <v>99</v>
      </c>
      <c r="N124">
        <v>62</v>
      </c>
      <c r="O124" s="4">
        <v>72.666666666666671</v>
      </c>
      <c r="P124" t="str">
        <f t="shared" si="2"/>
        <v>C</v>
      </c>
      <c r="Q124" t="str">
        <f t="shared" si="3"/>
        <v>Evet</v>
      </c>
    </row>
    <row r="125" spans="1:17" x14ac:dyDescent="0.3">
      <c r="A125">
        <v>124</v>
      </c>
      <c r="B125">
        <v>16</v>
      </c>
      <c r="C125" t="s">
        <v>659</v>
      </c>
      <c r="D125" t="s">
        <v>664</v>
      </c>
      <c r="E125" t="s">
        <v>669</v>
      </c>
      <c r="F125">
        <v>6</v>
      </c>
      <c r="G125">
        <v>61</v>
      </c>
      <c r="H125" t="s">
        <v>674</v>
      </c>
      <c r="I125">
        <v>75</v>
      </c>
      <c r="J125" t="s">
        <v>675</v>
      </c>
      <c r="K125" t="s">
        <v>679</v>
      </c>
      <c r="L125">
        <v>50</v>
      </c>
      <c r="M125">
        <v>43</v>
      </c>
      <c r="N125">
        <v>69</v>
      </c>
      <c r="O125">
        <v>54</v>
      </c>
      <c r="P125" t="str">
        <f t="shared" si="2"/>
        <v>D</v>
      </c>
      <c r="Q125" t="str">
        <f t="shared" si="3"/>
        <v>Evet</v>
      </c>
    </row>
    <row r="126" spans="1:17" x14ac:dyDescent="0.3">
      <c r="A126">
        <v>125</v>
      </c>
      <c r="B126">
        <v>19</v>
      </c>
      <c r="C126" t="s">
        <v>659</v>
      </c>
      <c r="D126" t="s">
        <v>664</v>
      </c>
      <c r="E126" t="s">
        <v>667</v>
      </c>
      <c r="F126">
        <v>5</v>
      </c>
      <c r="G126">
        <v>78</v>
      </c>
      <c r="H126" t="s">
        <v>675</v>
      </c>
      <c r="I126">
        <v>10</v>
      </c>
      <c r="J126" t="s">
        <v>675</v>
      </c>
      <c r="K126" t="s">
        <v>681</v>
      </c>
      <c r="L126">
        <v>86</v>
      </c>
      <c r="M126">
        <v>62</v>
      </c>
      <c r="N126">
        <v>94</v>
      </c>
      <c r="O126" s="4">
        <v>80.666666666666671</v>
      </c>
      <c r="P126" t="str">
        <f t="shared" si="2"/>
        <v>B</v>
      </c>
      <c r="Q126" t="str">
        <f t="shared" si="3"/>
        <v>Hayır</v>
      </c>
    </row>
    <row r="127" spans="1:17" x14ac:dyDescent="0.3">
      <c r="A127">
        <v>126</v>
      </c>
      <c r="B127">
        <v>17</v>
      </c>
      <c r="C127" t="s">
        <v>659</v>
      </c>
      <c r="D127" t="s">
        <v>664</v>
      </c>
      <c r="E127" t="s">
        <v>669</v>
      </c>
      <c r="F127">
        <v>2</v>
      </c>
      <c r="G127">
        <v>71</v>
      </c>
      <c r="H127" t="s">
        <v>675</v>
      </c>
      <c r="I127">
        <v>75</v>
      </c>
      <c r="J127" t="s">
        <v>675</v>
      </c>
      <c r="K127" t="s">
        <v>679</v>
      </c>
      <c r="L127">
        <v>31</v>
      </c>
      <c r="M127">
        <v>68</v>
      </c>
      <c r="N127">
        <v>62</v>
      </c>
      <c r="O127" s="4">
        <v>53.666666666666664</v>
      </c>
      <c r="P127" t="str">
        <f t="shared" si="2"/>
        <v>D</v>
      </c>
      <c r="Q127" t="str">
        <f t="shared" si="3"/>
        <v>Evet</v>
      </c>
    </row>
    <row r="128" spans="1:17" x14ac:dyDescent="0.3">
      <c r="A128">
        <v>127</v>
      </c>
      <c r="B128">
        <v>14</v>
      </c>
      <c r="C128" t="s">
        <v>659</v>
      </c>
      <c r="D128" t="s">
        <v>664</v>
      </c>
      <c r="E128" t="s">
        <v>666</v>
      </c>
      <c r="F128">
        <v>2</v>
      </c>
      <c r="G128">
        <v>77</v>
      </c>
      <c r="H128" t="s">
        <v>675</v>
      </c>
      <c r="I128">
        <v>45</v>
      </c>
      <c r="J128" t="s">
        <v>675</v>
      </c>
      <c r="K128" t="s">
        <v>677</v>
      </c>
      <c r="L128">
        <v>58</v>
      </c>
      <c r="M128">
        <v>23</v>
      </c>
      <c r="N128">
        <v>78</v>
      </c>
      <c r="O128">
        <v>53</v>
      </c>
      <c r="P128" t="str">
        <f t="shared" si="2"/>
        <v>D</v>
      </c>
      <c r="Q128" t="str">
        <f t="shared" si="3"/>
        <v>Hayır</v>
      </c>
    </row>
    <row r="129" spans="1:17" x14ac:dyDescent="0.3">
      <c r="A129">
        <v>128</v>
      </c>
      <c r="B129">
        <v>18</v>
      </c>
      <c r="C129" t="s">
        <v>660</v>
      </c>
      <c r="D129" t="s">
        <v>663</v>
      </c>
      <c r="E129" t="s">
        <v>668</v>
      </c>
      <c r="F129">
        <v>4</v>
      </c>
      <c r="G129">
        <v>89</v>
      </c>
      <c r="H129" t="s">
        <v>674</v>
      </c>
      <c r="I129">
        <v>75</v>
      </c>
      <c r="J129" t="s">
        <v>675</v>
      </c>
      <c r="K129" t="s">
        <v>681</v>
      </c>
      <c r="L129">
        <v>100</v>
      </c>
      <c r="M129">
        <v>89</v>
      </c>
      <c r="N129">
        <v>75</v>
      </c>
      <c r="O129">
        <v>88</v>
      </c>
      <c r="P129" t="str">
        <f t="shared" si="2"/>
        <v>B</v>
      </c>
      <c r="Q129" t="str">
        <f t="shared" si="3"/>
        <v>Hayır</v>
      </c>
    </row>
    <row r="130" spans="1:17" x14ac:dyDescent="0.3">
      <c r="A130">
        <v>129</v>
      </c>
      <c r="B130">
        <v>17</v>
      </c>
      <c r="C130" t="s">
        <v>659</v>
      </c>
      <c r="D130" t="s">
        <v>664</v>
      </c>
      <c r="E130" t="s">
        <v>666</v>
      </c>
      <c r="F130">
        <v>3</v>
      </c>
      <c r="G130">
        <v>68</v>
      </c>
      <c r="H130" t="s">
        <v>674</v>
      </c>
      <c r="I130">
        <v>75</v>
      </c>
      <c r="J130" t="s">
        <v>675</v>
      </c>
      <c r="K130" t="s">
        <v>107</v>
      </c>
      <c r="L130">
        <v>41</v>
      </c>
      <c r="M130">
        <v>59</v>
      </c>
      <c r="N130">
        <v>93</v>
      </c>
      <c r="O130" s="4">
        <v>64.333333333333329</v>
      </c>
      <c r="P130" t="str">
        <f t="shared" ref="P130:P193" si="4">IF(O130&gt;=90,"A",
IF(O130&gt;=80,"B",
IF(O130&gt;=60,"C",
IF(O130&gt;=40,"D","F"))))</f>
        <v>C</v>
      </c>
      <c r="Q130" t="str">
        <f t="shared" si="3"/>
        <v>Evet</v>
      </c>
    </row>
    <row r="131" spans="1:17" x14ac:dyDescent="0.3">
      <c r="A131">
        <v>130</v>
      </c>
      <c r="B131">
        <v>17</v>
      </c>
      <c r="C131" t="s">
        <v>659</v>
      </c>
      <c r="D131" t="s">
        <v>664</v>
      </c>
      <c r="E131" t="s">
        <v>666</v>
      </c>
      <c r="F131">
        <v>2</v>
      </c>
      <c r="G131">
        <v>74</v>
      </c>
      <c r="H131" t="s">
        <v>674</v>
      </c>
      <c r="I131">
        <v>20</v>
      </c>
      <c r="J131" t="s">
        <v>674</v>
      </c>
      <c r="K131" t="s">
        <v>678</v>
      </c>
      <c r="L131">
        <v>40</v>
      </c>
      <c r="M131">
        <v>37</v>
      </c>
      <c r="N131">
        <v>42</v>
      </c>
      <c r="O131" s="4">
        <v>39.666666666666664</v>
      </c>
      <c r="P131" t="str">
        <f t="shared" si="4"/>
        <v>F</v>
      </c>
      <c r="Q131" t="str">
        <f t="shared" ref="Q131:Q194" si="5">IF(L131&lt;O131,"Evet","Hayır")</f>
        <v>Hayır</v>
      </c>
    </row>
    <row r="132" spans="1:17" x14ac:dyDescent="0.3">
      <c r="A132">
        <v>131</v>
      </c>
      <c r="B132">
        <v>17</v>
      </c>
      <c r="C132" t="s">
        <v>661</v>
      </c>
      <c r="D132" t="s">
        <v>663</v>
      </c>
      <c r="E132" t="s">
        <v>670</v>
      </c>
      <c r="F132">
        <v>7</v>
      </c>
      <c r="G132">
        <v>80</v>
      </c>
      <c r="H132" t="s">
        <v>674</v>
      </c>
      <c r="I132">
        <v>75</v>
      </c>
      <c r="J132" t="s">
        <v>674</v>
      </c>
      <c r="K132" t="s">
        <v>107</v>
      </c>
      <c r="L132">
        <v>45</v>
      </c>
      <c r="M132">
        <v>36</v>
      </c>
      <c r="N132">
        <v>95</v>
      </c>
      <c r="O132" s="4">
        <v>58.666666666666664</v>
      </c>
      <c r="P132" t="str">
        <f t="shared" si="4"/>
        <v>D</v>
      </c>
      <c r="Q132" t="str">
        <f t="shared" si="5"/>
        <v>Evet</v>
      </c>
    </row>
    <row r="133" spans="1:17" x14ac:dyDescent="0.3">
      <c r="A133">
        <v>132</v>
      </c>
      <c r="B133">
        <v>17</v>
      </c>
      <c r="C133" t="s">
        <v>661</v>
      </c>
      <c r="D133" t="s">
        <v>664</v>
      </c>
      <c r="E133" t="s">
        <v>668</v>
      </c>
      <c r="F133">
        <v>6</v>
      </c>
      <c r="G133">
        <v>64</v>
      </c>
      <c r="H133" t="s">
        <v>674</v>
      </c>
      <c r="I133">
        <v>75</v>
      </c>
      <c r="J133" t="s">
        <v>675</v>
      </c>
      <c r="K133" t="s">
        <v>681</v>
      </c>
      <c r="L133">
        <v>32</v>
      </c>
      <c r="M133">
        <v>54</v>
      </c>
      <c r="N133">
        <v>51</v>
      </c>
      <c r="O133" s="4">
        <v>45.666666666666664</v>
      </c>
      <c r="P133" t="str">
        <f t="shared" si="4"/>
        <v>D</v>
      </c>
      <c r="Q133" t="str">
        <f t="shared" si="5"/>
        <v>Evet</v>
      </c>
    </row>
    <row r="134" spans="1:17" x14ac:dyDescent="0.3">
      <c r="A134">
        <v>133</v>
      </c>
      <c r="B134">
        <v>14</v>
      </c>
      <c r="C134" t="s">
        <v>661</v>
      </c>
      <c r="D134" t="s">
        <v>664</v>
      </c>
      <c r="E134" t="s">
        <v>667</v>
      </c>
      <c r="F134">
        <v>4</v>
      </c>
      <c r="G134">
        <v>80</v>
      </c>
      <c r="H134" t="s">
        <v>674</v>
      </c>
      <c r="I134">
        <v>45</v>
      </c>
      <c r="J134" t="s">
        <v>674</v>
      </c>
      <c r="K134" t="s">
        <v>679</v>
      </c>
      <c r="L134">
        <v>57</v>
      </c>
      <c r="M134">
        <v>41</v>
      </c>
      <c r="N134">
        <v>86</v>
      </c>
      <c r="O134" s="4">
        <v>61.333333333333336</v>
      </c>
      <c r="P134" t="str">
        <f t="shared" si="4"/>
        <v>C</v>
      </c>
      <c r="Q134" t="str">
        <f t="shared" si="5"/>
        <v>Evet</v>
      </c>
    </row>
    <row r="135" spans="1:17" x14ac:dyDescent="0.3">
      <c r="A135">
        <v>134</v>
      </c>
      <c r="B135">
        <v>17</v>
      </c>
      <c r="C135" t="s">
        <v>659</v>
      </c>
      <c r="D135" t="s">
        <v>664</v>
      </c>
      <c r="E135" t="s">
        <v>669</v>
      </c>
      <c r="F135">
        <v>6</v>
      </c>
      <c r="G135">
        <v>57</v>
      </c>
      <c r="H135" t="s">
        <v>674</v>
      </c>
      <c r="I135">
        <v>20</v>
      </c>
      <c r="J135" t="s">
        <v>675</v>
      </c>
      <c r="K135" t="s">
        <v>679</v>
      </c>
      <c r="L135">
        <v>93</v>
      </c>
      <c r="M135">
        <v>86</v>
      </c>
      <c r="N135">
        <v>71</v>
      </c>
      <c r="O135" s="4">
        <v>83.333333333333329</v>
      </c>
      <c r="P135" t="str">
        <f t="shared" si="4"/>
        <v>B</v>
      </c>
      <c r="Q135" t="str">
        <f t="shared" si="5"/>
        <v>Hayır</v>
      </c>
    </row>
    <row r="136" spans="1:17" x14ac:dyDescent="0.3">
      <c r="A136">
        <v>135</v>
      </c>
      <c r="B136">
        <v>18</v>
      </c>
      <c r="C136" t="s">
        <v>660</v>
      </c>
      <c r="D136" t="s">
        <v>664</v>
      </c>
      <c r="E136" t="s">
        <v>670</v>
      </c>
      <c r="F136">
        <v>5</v>
      </c>
      <c r="G136">
        <v>81</v>
      </c>
      <c r="H136" t="s">
        <v>674</v>
      </c>
      <c r="I136">
        <v>10</v>
      </c>
      <c r="J136" t="s">
        <v>675</v>
      </c>
      <c r="K136" t="s">
        <v>680</v>
      </c>
      <c r="L136">
        <v>49</v>
      </c>
      <c r="M136">
        <v>38</v>
      </c>
      <c r="N136">
        <v>79</v>
      </c>
      <c r="O136" s="4">
        <v>55.333333333333336</v>
      </c>
      <c r="P136" t="str">
        <f t="shared" si="4"/>
        <v>D</v>
      </c>
      <c r="Q136" t="str">
        <f t="shared" si="5"/>
        <v>Evet</v>
      </c>
    </row>
    <row r="137" spans="1:17" x14ac:dyDescent="0.3">
      <c r="A137">
        <v>136</v>
      </c>
      <c r="B137">
        <v>15</v>
      </c>
      <c r="C137" t="s">
        <v>660</v>
      </c>
      <c r="D137" t="s">
        <v>664</v>
      </c>
      <c r="E137" t="s">
        <v>667</v>
      </c>
      <c r="F137">
        <v>2</v>
      </c>
      <c r="G137">
        <v>57</v>
      </c>
      <c r="H137" t="s">
        <v>674</v>
      </c>
      <c r="I137">
        <v>20</v>
      </c>
      <c r="J137" t="s">
        <v>674</v>
      </c>
      <c r="K137" t="s">
        <v>681</v>
      </c>
      <c r="L137">
        <v>97</v>
      </c>
      <c r="M137">
        <v>23</v>
      </c>
      <c r="N137">
        <v>86</v>
      </c>
      <c r="O137" s="4">
        <v>68.666666666666671</v>
      </c>
      <c r="P137" t="str">
        <f t="shared" si="4"/>
        <v>C</v>
      </c>
      <c r="Q137" t="str">
        <f t="shared" si="5"/>
        <v>Hayır</v>
      </c>
    </row>
    <row r="138" spans="1:17" x14ac:dyDescent="0.3">
      <c r="A138">
        <v>137</v>
      </c>
      <c r="B138">
        <v>17</v>
      </c>
      <c r="C138" t="s">
        <v>659</v>
      </c>
      <c r="D138" t="s">
        <v>663</v>
      </c>
      <c r="E138" t="s">
        <v>670</v>
      </c>
      <c r="F138">
        <v>2</v>
      </c>
      <c r="G138">
        <v>89</v>
      </c>
      <c r="H138" t="s">
        <v>675</v>
      </c>
      <c r="I138">
        <v>20</v>
      </c>
      <c r="J138" t="s">
        <v>674</v>
      </c>
      <c r="K138" t="s">
        <v>678</v>
      </c>
      <c r="L138">
        <v>55</v>
      </c>
      <c r="M138">
        <v>30</v>
      </c>
      <c r="N138">
        <v>58</v>
      </c>
      <c r="O138" s="4">
        <v>47.666666666666664</v>
      </c>
      <c r="P138" t="str">
        <f t="shared" si="4"/>
        <v>D</v>
      </c>
      <c r="Q138" t="str">
        <f t="shared" si="5"/>
        <v>Hayır</v>
      </c>
    </row>
    <row r="139" spans="1:17" x14ac:dyDescent="0.3">
      <c r="A139">
        <v>138</v>
      </c>
      <c r="B139">
        <v>14</v>
      </c>
      <c r="C139" t="s">
        <v>661</v>
      </c>
      <c r="D139" t="s">
        <v>663</v>
      </c>
      <c r="E139" t="s">
        <v>670</v>
      </c>
      <c r="F139">
        <v>1</v>
      </c>
      <c r="G139">
        <v>60</v>
      </c>
      <c r="H139" t="s">
        <v>675</v>
      </c>
      <c r="I139">
        <v>20</v>
      </c>
      <c r="J139" t="s">
        <v>675</v>
      </c>
      <c r="K139" t="s">
        <v>680</v>
      </c>
      <c r="L139">
        <v>53</v>
      </c>
      <c r="M139">
        <v>50</v>
      </c>
      <c r="N139">
        <v>98</v>
      </c>
      <c r="O139" s="5">
        <v>67</v>
      </c>
      <c r="P139" t="str">
        <f t="shared" si="4"/>
        <v>C</v>
      </c>
      <c r="Q139" t="str">
        <f t="shared" si="5"/>
        <v>Evet</v>
      </c>
    </row>
    <row r="140" spans="1:17" x14ac:dyDescent="0.3">
      <c r="A140">
        <v>139</v>
      </c>
      <c r="B140">
        <v>16</v>
      </c>
      <c r="C140" t="s">
        <v>660</v>
      </c>
      <c r="D140" t="s">
        <v>664</v>
      </c>
      <c r="E140" t="s">
        <v>668</v>
      </c>
      <c r="F140">
        <v>7</v>
      </c>
      <c r="G140">
        <v>82</v>
      </c>
      <c r="H140" t="s">
        <v>674</v>
      </c>
      <c r="I140">
        <v>75</v>
      </c>
      <c r="J140" t="s">
        <v>675</v>
      </c>
      <c r="K140" t="s">
        <v>678</v>
      </c>
      <c r="L140">
        <v>48</v>
      </c>
      <c r="M140">
        <v>59</v>
      </c>
      <c r="N140">
        <v>53</v>
      </c>
      <c r="O140" s="4">
        <v>53.333333333333336</v>
      </c>
      <c r="P140" t="str">
        <f t="shared" si="4"/>
        <v>D</v>
      </c>
      <c r="Q140" t="str">
        <f t="shared" si="5"/>
        <v>Evet</v>
      </c>
    </row>
    <row r="141" spans="1:17" x14ac:dyDescent="0.3">
      <c r="A141">
        <v>140</v>
      </c>
      <c r="B141">
        <v>16</v>
      </c>
      <c r="C141" t="s">
        <v>661</v>
      </c>
      <c r="D141" t="s">
        <v>663</v>
      </c>
      <c r="E141" t="s">
        <v>669</v>
      </c>
      <c r="F141">
        <v>3</v>
      </c>
      <c r="G141">
        <v>79</v>
      </c>
      <c r="H141" t="s">
        <v>674</v>
      </c>
      <c r="I141">
        <v>45</v>
      </c>
      <c r="J141" t="s">
        <v>674</v>
      </c>
      <c r="K141" t="s">
        <v>681</v>
      </c>
      <c r="L141">
        <v>74</v>
      </c>
      <c r="M141">
        <v>29</v>
      </c>
      <c r="N141">
        <v>64</v>
      </c>
      <c r="O141" s="5">
        <v>55.666666666666664</v>
      </c>
      <c r="P141" t="str">
        <f t="shared" si="4"/>
        <v>D</v>
      </c>
      <c r="Q141" t="str">
        <f t="shared" si="5"/>
        <v>Hayır</v>
      </c>
    </row>
    <row r="142" spans="1:17" x14ac:dyDescent="0.3">
      <c r="A142">
        <v>141</v>
      </c>
      <c r="B142">
        <v>19</v>
      </c>
      <c r="C142" t="s">
        <v>659</v>
      </c>
      <c r="D142" t="s">
        <v>664</v>
      </c>
      <c r="E142" t="s">
        <v>667</v>
      </c>
      <c r="F142">
        <v>7</v>
      </c>
      <c r="G142">
        <v>71</v>
      </c>
      <c r="H142" t="s">
        <v>674</v>
      </c>
      <c r="I142">
        <v>20</v>
      </c>
      <c r="J142" t="s">
        <v>675</v>
      </c>
      <c r="K142" t="s">
        <v>681</v>
      </c>
      <c r="L142">
        <v>97</v>
      </c>
      <c r="M142">
        <v>30</v>
      </c>
      <c r="N142">
        <v>49</v>
      </c>
      <c r="O142" s="5">
        <v>58.666666666666664</v>
      </c>
      <c r="P142" t="str">
        <f t="shared" si="4"/>
        <v>D</v>
      </c>
      <c r="Q142" t="str">
        <f t="shared" si="5"/>
        <v>Hayır</v>
      </c>
    </row>
    <row r="143" spans="1:17" x14ac:dyDescent="0.3">
      <c r="A143">
        <v>142</v>
      </c>
      <c r="B143">
        <v>15</v>
      </c>
      <c r="C143" t="s">
        <v>660</v>
      </c>
      <c r="D143" t="s">
        <v>663</v>
      </c>
      <c r="E143" t="s">
        <v>669</v>
      </c>
      <c r="F143">
        <v>6</v>
      </c>
      <c r="G143">
        <v>82</v>
      </c>
      <c r="H143" t="s">
        <v>674</v>
      </c>
      <c r="I143">
        <v>10</v>
      </c>
      <c r="J143" t="s">
        <v>674</v>
      </c>
      <c r="K143" t="s">
        <v>679</v>
      </c>
      <c r="L143">
        <v>40</v>
      </c>
      <c r="M143">
        <v>86</v>
      </c>
      <c r="N143">
        <v>95</v>
      </c>
      <c r="O143" s="4">
        <v>73.666666666666671</v>
      </c>
      <c r="P143" t="str">
        <f t="shared" si="4"/>
        <v>C</v>
      </c>
      <c r="Q143" t="str">
        <f t="shared" si="5"/>
        <v>Evet</v>
      </c>
    </row>
    <row r="144" spans="1:17" x14ac:dyDescent="0.3">
      <c r="A144">
        <v>143</v>
      </c>
      <c r="B144">
        <v>15</v>
      </c>
      <c r="C144" t="s">
        <v>659</v>
      </c>
      <c r="D144" t="s">
        <v>664</v>
      </c>
      <c r="E144" t="s">
        <v>670</v>
      </c>
      <c r="F144">
        <v>3</v>
      </c>
      <c r="G144">
        <v>92</v>
      </c>
      <c r="H144" t="s">
        <v>674</v>
      </c>
      <c r="I144">
        <v>45</v>
      </c>
      <c r="J144" t="s">
        <v>674</v>
      </c>
      <c r="K144" t="s">
        <v>107</v>
      </c>
      <c r="L144">
        <v>100</v>
      </c>
      <c r="M144">
        <v>25</v>
      </c>
      <c r="N144">
        <v>43</v>
      </c>
      <c r="O144">
        <v>56</v>
      </c>
      <c r="P144" t="str">
        <f t="shared" si="4"/>
        <v>D</v>
      </c>
      <c r="Q144" t="str">
        <f t="shared" si="5"/>
        <v>Hayır</v>
      </c>
    </row>
    <row r="145" spans="1:17" x14ac:dyDescent="0.3">
      <c r="A145">
        <v>144</v>
      </c>
      <c r="B145">
        <v>16</v>
      </c>
      <c r="C145" t="s">
        <v>661</v>
      </c>
      <c r="D145" t="s">
        <v>664</v>
      </c>
      <c r="E145" t="s">
        <v>669</v>
      </c>
      <c r="F145">
        <v>7</v>
      </c>
      <c r="G145">
        <v>56</v>
      </c>
      <c r="H145" t="s">
        <v>674</v>
      </c>
      <c r="I145">
        <v>10</v>
      </c>
      <c r="J145" t="s">
        <v>675</v>
      </c>
      <c r="K145" t="s">
        <v>681</v>
      </c>
      <c r="L145">
        <v>78</v>
      </c>
      <c r="M145">
        <v>28</v>
      </c>
      <c r="N145">
        <v>64</v>
      </c>
      <c r="O145" s="4">
        <v>56.666666666666664</v>
      </c>
      <c r="P145" t="str">
        <f t="shared" si="4"/>
        <v>D</v>
      </c>
      <c r="Q145" t="str">
        <f t="shared" si="5"/>
        <v>Hayır</v>
      </c>
    </row>
    <row r="146" spans="1:17" x14ac:dyDescent="0.3">
      <c r="A146">
        <v>145</v>
      </c>
      <c r="B146">
        <v>19</v>
      </c>
      <c r="C146" t="s">
        <v>660</v>
      </c>
      <c r="D146" t="s">
        <v>664</v>
      </c>
      <c r="E146" t="s">
        <v>666</v>
      </c>
      <c r="F146">
        <v>7</v>
      </c>
      <c r="G146">
        <v>84</v>
      </c>
      <c r="H146" t="s">
        <v>675</v>
      </c>
      <c r="I146">
        <v>45</v>
      </c>
      <c r="J146" t="s">
        <v>675</v>
      </c>
      <c r="K146" t="s">
        <v>679</v>
      </c>
      <c r="L146">
        <v>85</v>
      </c>
      <c r="M146">
        <v>46</v>
      </c>
      <c r="N146">
        <v>64</v>
      </c>
      <c r="O146">
        <v>65</v>
      </c>
      <c r="P146" t="str">
        <f t="shared" si="4"/>
        <v>C</v>
      </c>
      <c r="Q146" t="str">
        <f t="shared" si="5"/>
        <v>Hayır</v>
      </c>
    </row>
    <row r="147" spans="1:17" x14ac:dyDescent="0.3">
      <c r="A147">
        <v>146</v>
      </c>
      <c r="B147">
        <v>19</v>
      </c>
      <c r="C147" t="s">
        <v>659</v>
      </c>
      <c r="D147" t="s">
        <v>663</v>
      </c>
      <c r="E147" t="s">
        <v>668</v>
      </c>
      <c r="F147">
        <v>1</v>
      </c>
      <c r="G147">
        <v>71</v>
      </c>
      <c r="H147" t="s">
        <v>674</v>
      </c>
      <c r="I147">
        <v>20</v>
      </c>
      <c r="J147" t="s">
        <v>674</v>
      </c>
      <c r="K147" t="s">
        <v>678</v>
      </c>
      <c r="L147">
        <v>41</v>
      </c>
      <c r="M147">
        <v>60</v>
      </c>
      <c r="N147">
        <v>85</v>
      </c>
      <c r="O147">
        <v>62</v>
      </c>
      <c r="P147" t="str">
        <f t="shared" si="4"/>
        <v>C</v>
      </c>
      <c r="Q147" t="str">
        <f t="shared" si="5"/>
        <v>Evet</v>
      </c>
    </row>
    <row r="148" spans="1:17" x14ac:dyDescent="0.3">
      <c r="A148">
        <v>147</v>
      </c>
      <c r="B148">
        <v>14</v>
      </c>
      <c r="C148" t="s">
        <v>659</v>
      </c>
      <c r="D148" t="s">
        <v>664</v>
      </c>
      <c r="E148" t="s">
        <v>666</v>
      </c>
      <c r="F148">
        <v>2</v>
      </c>
      <c r="G148">
        <v>84</v>
      </c>
      <c r="H148" t="s">
        <v>675</v>
      </c>
      <c r="I148">
        <v>45</v>
      </c>
      <c r="J148" t="s">
        <v>674</v>
      </c>
      <c r="K148" t="s">
        <v>681</v>
      </c>
      <c r="L148">
        <v>84</v>
      </c>
      <c r="M148">
        <v>75</v>
      </c>
      <c r="N148">
        <v>56</v>
      </c>
      <c r="O148" s="4">
        <v>71.666666666666671</v>
      </c>
      <c r="P148" t="str">
        <f t="shared" si="4"/>
        <v>C</v>
      </c>
      <c r="Q148" t="str">
        <f t="shared" si="5"/>
        <v>Hayır</v>
      </c>
    </row>
    <row r="149" spans="1:17" x14ac:dyDescent="0.3">
      <c r="A149">
        <v>148</v>
      </c>
      <c r="B149">
        <v>15</v>
      </c>
      <c r="C149" t="s">
        <v>660</v>
      </c>
      <c r="D149" t="s">
        <v>664</v>
      </c>
      <c r="E149" t="s">
        <v>669</v>
      </c>
      <c r="F149">
        <v>2</v>
      </c>
      <c r="G149">
        <v>94</v>
      </c>
      <c r="H149" t="s">
        <v>674</v>
      </c>
      <c r="I149">
        <v>20</v>
      </c>
      <c r="J149" t="s">
        <v>674</v>
      </c>
      <c r="K149" t="s">
        <v>680</v>
      </c>
      <c r="L149">
        <v>62</v>
      </c>
      <c r="M149">
        <v>55</v>
      </c>
      <c r="N149">
        <v>78</v>
      </c>
      <c r="O149">
        <v>65</v>
      </c>
      <c r="P149" t="str">
        <f t="shared" si="4"/>
        <v>C</v>
      </c>
      <c r="Q149" t="str">
        <f t="shared" si="5"/>
        <v>Evet</v>
      </c>
    </row>
    <row r="150" spans="1:17" x14ac:dyDescent="0.3">
      <c r="A150">
        <v>149</v>
      </c>
      <c r="B150">
        <v>18</v>
      </c>
      <c r="C150" t="s">
        <v>659</v>
      </c>
      <c r="D150" t="s">
        <v>663</v>
      </c>
      <c r="E150" t="s">
        <v>670</v>
      </c>
      <c r="F150">
        <v>4</v>
      </c>
      <c r="G150">
        <v>83</v>
      </c>
      <c r="H150" t="s">
        <v>674</v>
      </c>
      <c r="I150">
        <v>10</v>
      </c>
      <c r="J150" t="s">
        <v>674</v>
      </c>
      <c r="K150" t="s">
        <v>678</v>
      </c>
      <c r="L150">
        <v>76</v>
      </c>
      <c r="M150">
        <v>71</v>
      </c>
      <c r="N150">
        <v>60</v>
      </c>
      <c r="O150">
        <v>69</v>
      </c>
      <c r="P150" t="str">
        <f t="shared" si="4"/>
        <v>C</v>
      </c>
      <c r="Q150" t="str">
        <f t="shared" si="5"/>
        <v>Hayır</v>
      </c>
    </row>
    <row r="151" spans="1:17" x14ac:dyDescent="0.3">
      <c r="A151">
        <v>150</v>
      </c>
      <c r="B151">
        <v>14</v>
      </c>
      <c r="C151" t="s">
        <v>659</v>
      </c>
      <c r="D151" t="s">
        <v>664</v>
      </c>
      <c r="E151" t="s">
        <v>665</v>
      </c>
      <c r="F151">
        <v>1</v>
      </c>
      <c r="G151">
        <v>58</v>
      </c>
      <c r="H151" t="s">
        <v>674</v>
      </c>
      <c r="I151">
        <v>20</v>
      </c>
      <c r="J151" t="s">
        <v>675</v>
      </c>
      <c r="K151" t="s">
        <v>679</v>
      </c>
      <c r="L151">
        <v>52</v>
      </c>
      <c r="M151">
        <v>22</v>
      </c>
      <c r="N151">
        <v>73</v>
      </c>
      <c r="O151">
        <v>49</v>
      </c>
      <c r="P151" t="str">
        <f t="shared" si="4"/>
        <v>D</v>
      </c>
      <c r="Q151" t="str">
        <f t="shared" si="5"/>
        <v>Hayır</v>
      </c>
    </row>
    <row r="152" spans="1:17" x14ac:dyDescent="0.3">
      <c r="A152">
        <v>151</v>
      </c>
      <c r="B152">
        <v>19</v>
      </c>
      <c r="C152" t="s">
        <v>661</v>
      </c>
      <c r="D152" t="s">
        <v>663</v>
      </c>
      <c r="E152" t="s">
        <v>667</v>
      </c>
      <c r="F152">
        <v>7</v>
      </c>
      <c r="G152">
        <v>71</v>
      </c>
      <c r="H152" t="s">
        <v>674</v>
      </c>
      <c r="I152">
        <v>45</v>
      </c>
      <c r="J152" t="s">
        <v>675</v>
      </c>
      <c r="K152" t="s">
        <v>679</v>
      </c>
      <c r="L152">
        <v>42</v>
      </c>
      <c r="M152">
        <v>40</v>
      </c>
      <c r="N152">
        <v>56</v>
      </c>
      <c r="O152">
        <v>46</v>
      </c>
      <c r="P152" t="str">
        <f t="shared" si="4"/>
        <v>D</v>
      </c>
      <c r="Q152" t="str">
        <f t="shared" si="5"/>
        <v>Evet</v>
      </c>
    </row>
    <row r="153" spans="1:17" x14ac:dyDescent="0.3">
      <c r="A153">
        <v>152</v>
      </c>
      <c r="B153">
        <v>15</v>
      </c>
      <c r="C153" t="s">
        <v>661</v>
      </c>
      <c r="D153" t="s">
        <v>664</v>
      </c>
      <c r="E153" t="s">
        <v>666</v>
      </c>
      <c r="F153">
        <v>3</v>
      </c>
      <c r="G153">
        <v>78</v>
      </c>
      <c r="H153" t="s">
        <v>674</v>
      </c>
      <c r="I153">
        <v>45</v>
      </c>
      <c r="J153" t="s">
        <v>675</v>
      </c>
      <c r="K153" t="s">
        <v>679</v>
      </c>
      <c r="L153">
        <v>43</v>
      </c>
      <c r="M153">
        <v>66</v>
      </c>
      <c r="N153">
        <v>64</v>
      </c>
      <c r="O153" s="4">
        <v>57.666666666666664</v>
      </c>
      <c r="P153" t="str">
        <f t="shared" si="4"/>
        <v>D</v>
      </c>
      <c r="Q153" t="str">
        <f t="shared" si="5"/>
        <v>Evet</v>
      </c>
    </row>
    <row r="154" spans="1:17" x14ac:dyDescent="0.3">
      <c r="A154">
        <v>153</v>
      </c>
      <c r="B154">
        <v>19</v>
      </c>
      <c r="C154" t="s">
        <v>660</v>
      </c>
      <c r="D154" t="s">
        <v>663</v>
      </c>
      <c r="E154" t="s">
        <v>669</v>
      </c>
      <c r="F154">
        <v>3</v>
      </c>
      <c r="G154">
        <v>56</v>
      </c>
      <c r="H154" t="s">
        <v>674</v>
      </c>
      <c r="I154">
        <v>75</v>
      </c>
      <c r="J154" t="s">
        <v>675</v>
      </c>
      <c r="K154" t="s">
        <v>677</v>
      </c>
      <c r="L154">
        <v>95</v>
      </c>
      <c r="M154">
        <v>100</v>
      </c>
      <c r="N154">
        <v>95</v>
      </c>
      <c r="O154" s="4">
        <v>96.666666666666671</v>
      </c>
      <c r="P154" t="str">
        <f t="shared" si="4"/>
        <v>A</v>
      </c>
      <c r="Q154" t="str">
        <f t="shared" si="5"/>
        <v>Evet</v>
      </c>
    </row>
    <row r="155" spans="1:17" x14ac:dyDescent="0.3">
      <c r="A155">
        <v>154</v>
      </c>
      <c r="B155">
        <v>15</v>
      </c>
      <c r="C155" t="s">
        <v>661</v>
      </c>
      <c r="D155" t="s">
        <v>664</v>
      </c>
      <c r="E155" t="s">
        <v>669</v>
      </c>
      <c r="F155">
        <v>7</v>
      </c>
      <c r="G155">
        <v>82</v>
      </c>
      <c r="H155" t="s">
        <v>674</v>
      </c>
      <c r="I155">
        <v>10</v>
      </c>
      <c r="J155" t="s">
        <v>674</v>
      </c>
      <c r="K155" t="s">
        <v>681</v>
      </c>
      <c r="L155">
        <v>59</v>
      </c>
      <c r="M155">
        <v>24</v>
      </c>
      <c r="N155">
        <v>87</v>
      </c>
      <c r="O155" s="4">
        <v>56.666666666666664</v>
      </c>
      <c r="P155" t="str">
        <f t="shared" si="4"/>
        <v>D</v>
      </c>
      <c r="Q155" t="str">
        <f t="shared" si="5"/>
        <v>Hayır</v>
      </c>
    </row>
    <row r="156" spans="1:17" x14ac:dyDescent="0.3">
      <c r="A156">
        <v>155</v>
      </c>
      <c r="B156">
        <v>16</v>
      </c>
      <c r="C156" t="s">
        <v>660</v>
      </c>
      <c r="D156" t="s">
        <v>664</v>
      </c>
      <c r="E156" t="s">
        <v>669</v>
      </c>
      <c r="F156">
        <v>7</v>
      </c>
      <c r="G156">
        <v>86</v>
      </c>
      <c r="H156" t="s">
        <v>674</v>
      </c>
      <c r="I156">
        <v>45</v>
      </c>
      <c r="J156" t="s">
        <v>674</v>
      </c>
      <c r="K156" t="s">
        <v>681</v>
      </c>
      <c r="L156">
        <v>33</v>
      </c>
      <c r="M156">
        <v>43</v>
      </c>
      <c r="N156">
        <v>78</v>
      </c>
      <c r="O156" s="4">
        <v>51.333333333333336</v>
      </c>
      <c r="P156" t="str">
        <f t="shared" si="4"/>
        <v>D</v>
      </c>
      <c r="Q156" t="str">
        <f t="shared" si="5"/>
        <v>Evet</v>
      </c>
    </row>
    <row r="157" spans="1:17" x14ac:dyDescent="0.3">
      <c r="A157">
        <v>156</v>
      </c>
      <c r="B157">
        <v>17</v>
      </c>
      <c r="C157" t="s">
        <v>659</v>
      </c>
      <c r="D157" t="s">
        <v>664</v>
      </c>
      <c r="E157" t="s">
        <v>665</v>
      </c>
      <c r="F157">
        <v>2</v>
      </c>
      <c r="G157">
        <v>88</v>
      </c>
      <c r="H157" t="s">
        <v>674</v>
      </c>
      <c r="I157">
        <v>45</v>
      </c>
      <c r="J157" t="s">
        <v>675</v>
      </c>
      <c r="K157" t="s">
        <v>680</v>
      </c>
      <c r="L157">
        <v>75</v>
      </c>
      <c r="M157">
        <v>79</v>
      </c>
      <c r="N157">
        <v>97</v>
      </c>
      <c r="O157" s="4">
        <v>83.666666666666671</v>
      </c>
      <c r="P157" t="str">
        <f t="shared" si="4"/>
        <v>B</v>
      </c>
      <c r="Q157" t="str">
        <f t="shared" si="5"/>
        <v>Evet</v>
      </c>
    </row>
    <row r="158" spans="1:17" x14ac:dyDescent="0.3">
      <c r="A158">
        <v>157</v>
      </c>
      <c r="B158">
        <v>14</v>
      </c>
      <c r="C158" t="s">
        <v>661</v>
      </c>
      <c r="D158" t="s">
        <v>664</v>
      </c>
      <c r="E158" t="s">
        <v>667</v>
      </c>
      <c r="F158">
        <v>3</v>
      </c>
      <c r="G158">
        <v>56</v>
      </c>
      <c r="H158" t="s">
        <v>674</v>
      </c>
      <c r="I158">
        <v>10</v>
      </c>
      <c r="J158" t="s">
        <v>675</v>
      </c>
      <c r="K158" t="s">
        <v>680</v>
      </c>
      <c r="L158">
        <v>39</v>
      </c>
      <c r="M158">
        <v>36</v>
      </c>
      <c r="N158">
        <v>78</v>
      </c>
      <c r="O158">
        <v>51</v>
      </c>
      <c r="P158" t="str">
        <f t="shared" si="4"/>
        <v>D</v>
      </c>
      <c r="Q158" t="str">
        <f t="shared" si="5"/>
        <v>Evet</v>
      </c>
    </row>
    <row r="159" spans="1:17" x14ac:dyDescent="0.3">
      <c r="A159">
        <v>158</v>
      </c>
      <c r="B159">
        <v>17</v>
      </c>
      <c r="C159" t="s">
        <v>659</v>
      </c>
      <c r="D159" t="s">
        <v>664</v>
      </c>
      <c r="E159" t="s">
        <v>668</v>
      </c>
      <c r="F159">
        <v>2</v>
      </c>
      <c r="G159">
        <v>85</v>
      </c>
      <c r="H159" t="s">
        <v>675</v>
      </c>
      <c r="I159">
        <v>20</v>
      </c>
      <c r="J159" t="s">
        <v>675</v>
      </c>
      <c r="K159" t="s">
        <v>681</v>
      </c>
      <c r="L159">
        <v>47</v>
      </c>
      <c r="M159">
        <v>60</v>
      </c>
      <c r="N159">
        <v>64</v>
      </c>
      <c r="O159">
        <v>57</v>
      </c>
      <c r="P159" t="str">
        <f t="shared" si="4"/>
        <v>D</v>
      </c>
      <c r="Q159" t="str">
        <f t="shared" si="5"/>
        <v>Evet</v>
      </c>
    </row>
    <row r="160" spans="1:17" x14ac:dyDescent="0.3">
      <c r="A160">
        <v>159</v>
      </c>
      <c r="B160">
        <v>17</v>
      </c>
      <c r="C160" t="s">
        <v>661</v>
      </c>
      <c r="D160" t="s">
        <v>664</v>
      </c>
      <c r="E160" t="s">
        <v>667</v>
      </c>
      <c r="F160">
        <v>7</v>
      </c>
      <c r="G160">
        <v>68</v>
      </c>
      <c r="H160" t="s">
        <v>674</v>
      </c>
      <c r="I160">
        <v>10</v>
      </c>
      <c r="J160" t="s">
        <v>675</v>
      </c>
      <c r="K160" t="s">
        <v>680</v>
      </c>
      <c r="L160">
        <v>92</v>
      </c>
      <c r="M160">
        <v>24</v>
      </c>
      <c r="N160">
        <v>92</v>
      </c>
      <c r="O160" s="4">
        <v>69.333333333333329</v>
      </c>
      <c r="P160" t="str">
        <f t="shared" si="4"/>
        <v>C</v>
      </c>
      <c r="Q160" t="str">
        <f t="shared" si="5"/>
        <v>Hayır</v>
      </c>
    </row>
    <row r="161" spans="1:17" x14ac:dyDescent="0.3">
      <c r="A161">
        <v>160</v>
      </c>
      <c r="B161">
        <v>18</v>
      </c>
      <c r="C161" t="s">
        <v>660</v>
      </c>
      <c r="D161" t="s">
        <v>663</v>
      </c>
      <c r="E161" t="s">
        <v>665</v>
      </c>
      <c r="F161">
        <v>1</v>
      </c>
      <c r="G161">
        <v>61</v>
      </c>
      <c r="H161" t="s">
        <v>674</v>
      </c>
      <c r="I161">
        <v>10</v>
      </c>
      <c r="J161" t="s">
        <v>674</v>
      </c>
      <c r="K161" t="s">
        <v>679</v>
      </c>
      <c r="L161">
        <v>73</v>
      </c>
      <c r="M161">
        <v>38</v>
      </c>
      <c r="N161">
        <v>72</v>
      </c>
      <c r="O161">
        <v>61</v>
      </c>
      <c r="P161" t="str">
        <f t="shared" si="4"/>
        <v>C</v>
      </c>
      <c r="Q161" t="str">
        <f t="shared" si="5"/>
        <v>Hayır</v>
      </c>
    </row>
    <row r="162" spans="1:17" x14ac:dyDescent="0.3">
      <c r="A162">
        <v>161</v>
      </c>
      <c r="B162">
        <v>19</v>
      </c>
      <c r="C162" t="s">
        <v>659</v>
      </c>
      <c r="D162" t="s">
        <v>664</v>
      </c>
      <c r="E162" t="s">
        <v>667</v>
      </c>
      <c r="F162">
        <v>4</v>
      </c>
      <c r="G162">
        <v>76</v>
      </c>
      <c r="H162" t="s">
        <v>675</v>
      </c>
      <c r="I162">
        <v>20</v>
      </c>
      <c r="J162" t="s">
        <v>675</v>
      </c>
      <c r="K162" t="s">
        <v>679</v>
      </c>
      <c r="L162">
        <v>84</v>
      </c>
      <c r="M162">
        <v>37</v>
      </c>
      <c r="N162">
        <v>85</v>
      </c>
      <c r="O162" s="4">
        <v>68.666666666666671</v>
      </c>
      <c r="P162" t="str">
        <f t="shared" si="4"/>
        <v>C</v>
      </c>
      <c r="Q162" t="str">
        <f t="shared" si="5"/>
        <v>Hayır</v>
      </c>
    </row>
    <row r="163" spans="1:17" x14ac:dyDescent="0.3">
      <c r="A163">
        <v>162</v>
      </c>
      <c r="B163">
        <v>17</v>
      </c>
      <c r="C163" t="s">
        <v>659</v>
      </c>
      <c r="D163" t="s">
        <v>663</v>
      </c>
      <c r="E163" t="s">
        <v>668</v>
      </c>
      <c r="F163">
        <v>3</v>
      </c>
      <c r="G163">
        <v>79</v>
      </c>
      <c r="H163" t="s">
        <v>674</v>
      </c>
      <c r="I163">
        <v>10</v>
      </c>
      <c r="J163" t="s">
        <v>675</v>
      </c>
      <c r="K163" t="s">
        <v>107</v>
      </c>
      <c r="L163">
        <v>37</v>
      </c>
      <c r="M163">
        <v>79</v>
      </c>
      <c r="N163">
        <v>71</v>
      </c>
      <c r="O163" s="4">
        <v>62.333333333333336</v>
      </c>
      <c r="P163" t="str">
        <f t="shared" si="4"/>
        <v>C</v>
      </c>
      <c r="Q163" t="str">
        <f t="shared" si="5"/>
        <v>Evet</v>
      </c>
    </row>
    <row r="164" spans="1:17" x14ac:dyDescent="0.3">
      <c r="A164">
        <v>163</v>
      </c>
      <c r="B164">
        <v>16</v>
      </c>
      <c r="C164" t="s">
        <v>661</v>
      </c>
      <c r="D164" t="s">
        <v>664</v>
      </c>
      <c r="E164" t="s">
        <v>669</v>
      </c>
      <c r="F164">
        <v>6</v>
      </c>
      <c r="G164">
        <v>73</v>
      </c>
      <c r="H164" t="s">
        <v>674</v>
      </c>
      <c r="I164">
        <v>45</v>
      </c>
      <c r="J164" t="s">
        <v>674</v>
      </c>
      <c r="K164" t="s">
        <v>679</v>
      </c>
      <c r="L164">
        <v>55</v>
      </c>
      <c r="M164">
        <v>47</v>
      </c>
      <c r="N164">
        <v>54</v>
      </c>
      <c r="O164">
        <v>52</v>
      </c>
      <c r="P164" t="str">
        <f t="shared" si="4"/>
        <v>D</v>
      </c>
      <c r="Q164" t="str">
        <f t="shared" si="5"/>
        <v>Hayır</v>
      </c>
    </row>
    <row r="165" spans="1:17" x14ac:dyDescent="0.3">
      <c r="A165">
        <v>164</v>
      </c>
      <c r="B165">
        <v>16</v>
      </c>
      <c r="C165" t="s">
        <v>661</v>
      </c>
      <c r="D165" t="s">
        <v>664</v>
      </c>
      <c r="E165" t="s">
        <v>670</v>
      </c>
      <c r="F165">
        <v>7</v>
      </c>
      <c r="G165">
        <v>92</v>
      </c>
      <c r="H165" t="s">
        <v>674</v>
      </c>
      <c r="I165">
        <v>10</v>
      </c>
      <c r="J165" t="s">
        <v>674</v>
      </c>
      <c r="K165" t="s">
        <v>678</v>
      </c>
      <c r="L165">
        <v>62</v>
      </c>
      <c r="M165">
        <v>98</v>
      </c>
      <c r="N165">
        <v>77</v>
      </c>
      <c r="O165">
        <v>79</v>
      </c>
      <c r="P165" t="str">
        <f t="shared" si="4"/>
        <v>C</v>
      </c>
      <c r="Q165" t="str">
        <f t="shared" si="5"/>
        <v>Evet</v>
      </c>
    </row>
    <row r="166" spans="1:17" x14ac:dyDescent="0.3">
      <c r="A166">
        <v>165</v>
      </c>
      <c r="B166">
        <v>16</v>
      </c>
      <c r="C166" t="s">
        <v>660</v>
      </c>
      <c r="D166" t="s">
        <v>664</v>
      </c>
      <c r="E166" t="s">
        <v>670</v>
      </c>
      <c r="F166">
        <v>4</v>
      </c>
      <c r="G166">
        <v>58</v>
      </c>
      <c r="H166" t="s">
        <v>675</v>
      </c>
      <c r="I166">
        <v>10</v>
      </c>
      <c r="J166" t="s">
        <v>674</v>
      </c>
      <c r="K166" t="s">
        <v>680</v>
      </c>
      <c r="L166">
        <v>48</v>
      </c>
      <c r="M166">
        <v>27</v>
      </c>
      <c r="N166">
        <v>79</v>
      </c>
      <c r="O166" s="4">
        <v>51.333333333333336</v>
      </c>
      <c r="P166" t="str">
        <f t="shared" si="4"/>
        <v>D</v>
      </c>
      <c r="Q166" t="str">
        <f t="shared" si="5"/>
        <v>Evet</v>
      </c>
    </row>
    <row r="167" spans="1:17" x14ac:dyDescent="0.3">
      <c r="A167">
        <v>166</v>
      </c>
      <c r="B167">
        <v>18</v>
      </c>
      <c r="C167" t="s">
        <v>659</v>
      </c>
      <c r="D167" t="s">
        <v>663</v>
      </c>
      <c r="E167" t="s">
        <v>670</v>
      </c>
      <c r="F167">
        <v>2</v>
      </c>
      <c r="G167">
        <v>70</v>
      </c>
      <c r="H167" t="s">
        <v>674</v>
      </c>
      <c r="I167">
        <v>75</v>
      </c>
      <c r="J167" t="s">
        <v>675</v>
      </c>
      <c r="K167" t="s">
        <v>679</v>
      </c>
      <c r="L167">
        <v>68</v>
      </c>
      <c r="M167">
        <v>67</v>
      </c>
      <c r="N167">
        <v>74</v>
      </c>
      <c r="O167" s="4">
        <v>69.666666666666671</v>
      </c>
      <c r="P167" t="str">
        <f t="shared" si="4"/>
        <v>C</v>
      </c>
      <c r="Q167" t="str">
        <f t="shared" si="5"/>
        <v>Evet</v>
      </c>
    </row>
    <row r="168" spans="1:17" x14ac:dyDescent="0.3">
      <c r="A168">
        <v>167</v>
      </c>
      <c r="B168">
        <v>15</v>
      </c>
      <c r="C168" t="s">
        <v>661</v>
      </c>
      <c r="D168" t="s">
        <v>663</v>
      </c>
      <c r="E168" t="s">
        <v>665</v>
      </c>
      <c r="F168">
        <v>1</v>
      </c>
      <c r="G168">
        <v>63</v>
      </c>
      <c r="H168" t="s">
        <v>674</v>
      </c>
      <c r="I168">
        <v>45</v>
      </c>
      <c r="J168" t="s">
        <v>675</v>
      </c>
      <c r="K168" t="s">
        <v>679</v>
      </c>
      <c r="L168">
        <v>67</v>
      </c>
      <c r="M168">
        <v>87</v>
      </c>
      <c r="N168">
        <v>63</v>
      </c>
      <c r="O168" s="4">
        <v>72.333333333333329</v>
      </c>
      <c r="P168" t="str">
        <f t="shared" si="4"/>
        <v>C</v>
      </c>
      <c r="Q168" t="str">
        <f t="shared" si="5"/>
        <v>Evet</v>
      </c>
    </row>
    <row r="169" spans="1:17" x14ac:dyDescent="0.3">
      <c r="A169">
        <v>168</v>
      </c>
      <c r="B169">
        <v>15</v>
      </c>
      <c r="C169" t="s">
        <v>661</v>
      </c>
      <c r="D169" t="s">
        <v>664</v>
      </c>
      <c r="E169" t="s">
        <v>665</v>
      </c>
      <c r="F169">
        <v>2</v>
      </c>
      <c r="G169">
        <v>52</v>
      </c>
      <c r="H169" t="s">
        <v>674</v>
      </c>
      <c r="I169">
        <v>20</v>
      </c>
      <c r="J169" t="s">
        <v>675</v>
      </c>
      <c r="K169" t="s">
        <v>677</v>
      </c>
      <c r="L169">
        <v>36</v>
      </c>
      <c r="M169">
        <v>37</v>
      </c>
      <c r="N169">
        <v>98</v>
      </c>
      <c r="O169">
        <v>57</v>
      </c>
      <c r="P169" t="str">
        <f t="shared" si="4"/>
        <v>D</v>
      </c>
      <c r="Q169" t="str">
        <f t="shared" si="5"/>
        <v>Evet</v>
      </c>
    </row>
    <row r="170" spans="1:17" x14ac:dyDescent="0.3">
      <c r="A170">
        <v>169</v>
      </c>
      <c r="B170">
        <v>16</v>
      </c>
      <c r="C170" t="s">
        <v>660</v>
      </c>
      <c r="D170" t="s">
        <v>664</v>
      </c>
      <c r="E170" t="s">
        <v>665</v>
      </c>
      <c r="F170">
        <v>6</v>
      </c>
      <c r="G170">
        <v>67</v>
      </c>
      <c r="H170" t="s">
        <v>674</v>
      </c>
      <c r="I170">
        <v>75</v>
      </c>
      <c r="J170" t="s">
        <v>674</v>
      </c>
      <c r="K170" t="s">
        <v>678</v>
      </c>
      <c r="L170">
        <v>83</v>
      </c>
      <c r="M170">
        <v>44</v>
      </c>
      <c r="N170">
        <v>46</v>
      </c>
      <c r="O170" s="4">
        <v>57.666666666666664</v>
      </c>
      <c r="P170" t="str">
        <f t="shared" si="4"/>
        <v>D</v>
      </c>
      <c r="Q170" t="str">
        <f t="shared" si="5"/>
        <v>Hayır</v>
      </c>
    </row>
    <row r="171" spans="1:17" x14ac:dyDescent="0.3">
      <c r="A171">
        <v>170</v>
      </c>
      <c r="B171">
        <v>14</v>
      </c>
      <c r="C171" t="s">
        <v>660</v>
      </c>
      <c r="D171" t="s">
        <v>663</v>
      </c>
      <c r="E171" t="s">
        <v>668</v>
      </c>
      <c r="F171">
        <v>5</v>
      </c>
      <c r="G171">
        <v>86</v>
      </c>
      <c r="H171" t="s">
        <v>674</v>
      </c>
      <c r="I171">
        <v>75</v>
      </c>
      <c r="J171" t="s">
        <v>675</v>
      </c>
      <c r="K171" t="s">
        <v>679</v>
      </c>
      <c r="L171">
        <v>83</v>
      </c>
      <c r="M171">
        <v>40</v>
      </c>
      <c r="N171">
        <v>82</v>
      </c>
      <c r="O171" s="4">
        <v>68.333333333333329</v>
      </c>
      <c r="P171" t="str">
        <f t="shared" si="4"/>
        <v>C</v>
      </c>
      <c r="Q171" t="str">
        <f t="shared" si="5"/>
        <v>Hayır</v>
      </c>
    </row>
    <row r="172" spans="1:17" x14ac:dyDescent="0.3">
      <c r="A172">
        <v>171</v>
      </c>
      <c r="B172">
        <v>14</v>
      </c>
      <c r="C172" t="s">
        <v>661</v>
      </c>
      <c r="D172" t="s">
        <v>663</v>
      </c>
      <c r="E172" t="s">
        <v>669</v>
      </c>
      <c r="F172">
        <v>7</v>
      </c>
      <c r="G172">
        <v>76</v>
      </c>
      <c r="H172" t="s">
        <v>675</v>
      </c>
      <c r="I172">
        <v>10</v>
      </c>
      <c r="J172" t="s">
        <v>675</v>
      </c>
      <c r="K172" t="s">
        <v>681</v>
      </c>
      <c r="L172">
        <v>62</v>
      </c>
      <c r="M172">
        <v>68</v>
      </c>
      <c r="N172">
        <v>64</v>
      </c>
      <c r="O172" s="4">
        <v>64.666666666666671</v>
      </c>
      <c r="P172" t="str">
        <f t="shared" si="4"/>
        <v>C</v>
      </c>
      <c r="Q172" t="str">
        <f t="shared" si="5"/>
        <v>Evet</v>
      </c>
    </row>
    <row r="173" spans="1:17" x14ac:dyDescent="0.3">
      <c r="A173">
        <v>172</v>
      </c>
      <c r="B173">
        <v>14</v>
      </c>
      <c r="C173" t="s">
        <v>660</v>
      </c>
      <c r="D173" t="s">
        <v>664</v>
      </c>
      <c r="E173" t="s">
        <v>666</v>
      </c>
      <c r="F173">
        <v>1</v>
      </c>
      <c r="G173">
        <v>71</v>
      </c>
      <c r="H173" t="s">
        <v>674</v>
      </c>
      <c r="I173">
        <v>20</v>
      </c>
      <c r="J173" t="s">
        <v>674</v>
      </c>
      <c r="K173" t="s">
        <v>679</v>
      </c>
      <c r="L173">
        <v>81</v>
      </c>
      <c r="M173">
        <v>98</v>
      </c>
      <c r="N173">
        <v>56</v>
      </c>
      <c r="O173" s="4">
        <v>78.333333333333329</v>
      </c>
      <c r="P173" t="str">
        <f t="shared" si="4"/>
        <v>C</v>
      </c>
      <c r="Q173" t="str">
        <f t="shared" si="5"/>
        <v>Hayır</v>
      </c>
    </row>
    <row r="174" spans="1:17" x14ac:dyDescent="0.3">
      <c r="A174">
        <v>173</v>
      </c>
      <c r="B174">
        <v>18</v>
      </c>
      <c r="C174" t="s">
        <v>659</v>
      </c>
      <c r="D174" t="s">
        <v>664</v>
      </c>
      <c r="E174" t="s">
        <v>669</v>
      </c>
      <c r="F174">
        <v>3</v>
      </c>
      <c r="G174">
        <v>74</v>
      </c>
      <c r="H174" t="s">
        <v>674</v>
      </c>
      <c r="I174">
        <v>45</v>
      </c>
      <c r="J174" t="s">
        <v>675</v>
      </c>
      <c r="K174" t="s">
        <v>680</v>
      </c>
      <c r="L174">
        <v>74</v>
      </c>
      <c r="M174">
        <v>93</v>
      </c>
      <c r="N174">
        <v>70</v>
      </c>
      <c r="O174" s="5">
        <v>79</v>
      </c>
      <c r="P174" t="str">
        <f t="shared" si="4"/>
        <v>C</v>
      </c>
      <c r="Q174" t="str">
        <f t="shared" si="5"/>
        <v>Evet</v>
      </c>
    </row>
    <row r="175" spans="1:17" x14ac:dyDescent="0.3">
      <c r="A175">
        <v>174</v>
      </c>
      <c r="B175">
        <v>18</v>
      </c>
      <c r="C175" t="s">
        <v>659</v>
      </c>
      <c r="D175" t="s">
        <v>663</v>
      </c>
      <c r="E175" t="s">
        <v>665</v>
      </c>
      <c r="F175">
        <v>2</v>
      </c>
      <c r="G175">
        <v>66</v>
      </c>
      <c r="H175" t="s">
        <v>674</v>
      </c>
      <c r="I175">
        <v>10</v>
      </c>
      <c r="J175" t="s">
        <v>674</v>
      </c>
      <c r="K175" t="s">
        <v>107</v>
      </c>
      <c r="L175">
        <v>92</v>
      </c>
      <c r="M175">
        <v>54</v>
      </c>
      <c r="N175">
        <v>94</v>
      </c>
      <c r="O175">
        <v>80</v>
      </c>
      <c r="P175" t="str">
        <f t="shared" si="4"/>
        <v>B</v>
      </c>
      <c r="Q175" t="str">
        <f t="shared" si="5"/>
        <v>Hayır</v>
      </c>
    </row>
    <row r="176" spans="1:17" x14ac:dyDescent="0.3">
      <c r="A176">
        <v>175</v>
      </c>
      <c r="B176">
        <v>18</v>
      </c>
      <c r="C176" t="s">
        <v>660</v>
      </c>
      <c r="D176" t="s">
        <v>663</v>
      </c>
      <c r="E176" t="s">
        <v>670</v>
      </c>
      <c r="F176">
        <v>1</v>
      </c>
      <c r="G176">
        <v>56</v>
      </c>
      <c r="H176" t="s">
        <v>674</v>
      </c>
      <c r="I176">
        <v>45</v>
      </c>
      <c r="J176" t="s">
        <v>675</v>
      </c>
      <c r="K176" t="s">
        <v>681</v>
      </c>
      <c r="L176">
        <v>80</v>
      </c>
      <c r="M176">
        <v>21</v>
      </c>
      <c r="N176">
        <v>96</v>
      </c>
      <c r="O176" s="4">
        <v>65.666666666666671</v>
      </c>
      <c r="P176" t="str">
        <f t="shared" si="4"/>
        <v>C</v>
      </c>
      <c r="Q176" t="str">
        <f t="shared" si="5"/>
        <v>Hayır</v>
      </c>
    </row>
    <row r="177" spans="1:17" x14ac:dyDescent="0.3">
      <c r="A177">
        <v>176</v>
      </c>
      <c r="B177">
        <v>16</v>
      </c>
      <c r="C177" t="s">
        <v>661</v>
      </c>
      <c r="D177" t="s">
        <v>664</v>
      </c>
      <c r="E177" t="s">
        <v>666</v>
      </c>
      <c r="F177">
        <v>4</v>
      </c>
      <c r="G177">
        <v>80</v>
      </c>
      <c r="H177" t="s">
        <v>674</v>
      </c>
      <c r="I177">
        <v>10</v>
      </c>
      <c r="J177" t="s">
        <v>675</v>
      </c>
      <c r="K177" t="s">
        <v>677</v>
      </c>
      <c r="L177">
        <v>98</v>
      </c>
      <c r="M177">
        <v>42</v>
      </c>
      <c r="N177">
        <v>51</v>
      </c>
      <c r="O177" s="4">
        <v>63.666666666666664</v>
      </c>
      <c r="P177" t="str">
        <f t="shared" si="4"/>
        <v>C</v>
      </c>
      <c r="Q177" t="str">
        <f t="shared" si="5"/>
        <v>Hayır</v>
      </c>
    </row>
    <row r="178" spans="1:17" x14ac:dyDescent="0.3">
      <c r="A178">
        <v>177</v>
      </c>
      <c r="B178">
        <v>18</v>
      </c>
      <c r="C178" t="s">
        <v>661</v>
      </c>
      <c r="D178" t="s">
        <v>663</v>
      </c>
      <c r="E178" t="s">
        <v>668</v>
      </c>
      <c r="F178">
        <v>6</v>
      </c>
      <c r="G178">
        <v>91</v>
      </c>
      <c r="H178" t="s">
        <v>674</v>
      </c>
      <c r="I178">
        <v>75</v>
      </c>
      <c r="J178" t="s">
        <v>675</v>
      </c>
      <c r="K178" t="s">
        <v>679</v>
      </c>
      <c r="L178">
        <v>94</v>
      </c>
      <c r="M178">
        <v>36</v>
      </c>
      <c r="N178">
        <v>64</v>
      </c>
      <c r="O178" s="4">
        <v>64.666666666666671</v>
      </c>
      <c r="P178" t="str">
        <f t="shared" si="4"/>
        <v>C</v>
      </c>
      <c r="Q178" t="str">
        <f t="shared" si="5"/>
        <v>Hayır</v>
      </c>
    </row>
    <row r="179" spans="1:17" x14ac:dyDescent="0.3">
      <c r="A179">
        <v>178</v>
      </c>
      <c r="B179">
        <v>14</v>
      </c>
      <c r="C179" t="s">
        <v>660</v>
      </c>
      <c r="D179" t="s">
        <v>663</v>
      </c>
      <c r="E179" t="s">
        <v>669</v>
      </c>
      <c r="F179">
        <v>3</v>
      </c>
      <c r="G179">
        <v>90</v>
      </c>
      <c r="H179" t="s">
        <v>674</v>
      </c>
      <c r="I179">
        <v>20</v>
      </c>
      <c r="J179" t="s">
        <v>674</v>
      </c>
      <c r="K179" t="s">
        <v>107</v>
      </c>
      <c r="L179">
        <v>100</v>
      </c>
      <c r="M179">
        <v>58</v>
      </c>
      <c r="N179">
        <v>55</v>
      </c>
      <c r="O179">
        <v>71</v>
      </c>
      <c r="P179" t="str">
        <f t="shared" si="4"/>
        <v>C</v>
      </c>
      <c r="Q179" t="str">
        <f t="shared" si="5"/>
        <v>Hayır</v>
      </c>
    </row>
    <row r="180" spans="1:17" x14ac:dyDescent="0.3">
      <c r="A180">
        <v>179</v>
      </c>
      <c r="B180">
        <v>19</v>
      </c>
      <c r="C180" t="s">
        <v>659</v>
      </c>
      <c r="D180" t="s">
        <v>663</v>
      </c>
      <c r="E180" t="s">
        <v>667</v>
      </c>
      <c r="F180">
        <v>1</v>
      </c>
      <c r="G180">
        <v>62</v>
      </c>
      <c r="H180" t="s">
        <v>674</v>
      </c>
      <c r="I180">
        <v>45</v>
      </c>
      <c r="J180" t="s">
        <v>675</v>
      </c>
      <c r="K180" t="s">
        <v>678</v>
      </c>
      <c r="L180">
        <v>97</v>
      </c>
      <c r="M180">
        <v>98</v>
      </c>
      <c r="N180">
        <v>86</v>
      </c>
      <c r="O180" s="4">
        <v>93.666666666666671</v>
      </c>
      <c r="P180" t="str">
        <f t="shared" si="4"/>
        <v>A</v>
      </c>
      <c r="Q180" t="str">
        <f t="shared" si="5"/>
        <v>Hayır</v>
      </c>
    </row>
    <row r="181" spans="1:17" x14ac:dyDescent="0.3">
      <c r="A181">
        <v>180</v>
      </c>
      <c r="B181">
        <v>17</v>
      </c>
      <c r="C181" t="s">
        <v>660</v>
      </c>
      <c r="D181" t="s">
        <v>664</v>
      </c>
      <c r="E181" t="s">
        <v>669</v>
      </c>
      <c r="F181">
        <v>1</v>
      </c>
      <c r="G181">
        <v>72</v>
      </c>
      <c r="H181" t="s">
        <v>674</v>
      </c>
      <c r="I181">
        <v>75</v>
      </c>
      <c r="J181" t="s">
        <v>674</v>
      </c>
      <c r="K181" t="s">
        <v>678</v>
      </c>
      <c r="L181">
        <v>83</v>
      </c>
      <c r="M181">
        <v>58</v>
      </c>
      <c r="N181">
        <v>72</v>
      </c>
      <c r="O181">
        <v>71</v>
      </c>
      <c r="P181" t="str">
        <f t="shared" si="4"/>
        <v>C</v>
      </c>
      <c r="Q181" t="str">
        <f t="shared" si="5"/>
        <v>Hayır</v>
      </c>
    </row>
    <row r="182" spans="1:17" x14ac:dyDescent="0.3">
      <c r="A182">
        <v>181</v>
      </c>
      <c r="B182">
        <v>19</v>
      </c>
      <c r="C182" t="s">
        <v>659</v>
      </c>
      <c r="D182" t="s">
        <v>663</v>
      </c>
      <c r="E182" t="s">
        <v>667</v>
      </c>
      <c r="F182">
        <v>6</v>
      </c>
      <c r="G182">
        <v>78</v>
      </c>
      <c r="H182" t="s">
        <v>674</v>
      </c>
      <c r="I182">
        <v>45</v>
      </c>
      <c r="J182" t="s">
        <v>674</v>
      </c>
      <c r="K182" t="s">
        <v>680</v>
      </c>
      <c r="L182">
        <v>35</v>
      </c>
      <c r="M182">
        <v>46</v>
      </c>
      <c r="N182">
        <v>80</v>
      </c>
      <c r="O182" s="4">
        <v>53.666666666666664</v>
      </c>
      <c r="P182" t="str">
        <f t="shared" si="4"/>
        <v>D</v>
      </c>
      <c r="Q182" t="str">
        <f t="shared" si="5"/>
        <v>Evet</v>
      </c>
    </row>
    <row r="183" spans="1:17" x14ac:dyDescent="0.3">
      <c r="A183">
        <v>182</v>
      </c>
      <c r="B183">
        <v>14</v>
      </c>
      <c r="C183" t="s">
        <v>660</v>
      </c>
      <c r="D183" t="s">
        <v>663</v>
      </c>
      <c r="E183" t="s">
        <v>668</v>
      </c>
      <c r="F183">
        <v>3</v>
      </c>
      <c r="G183">
        <v>90</v>
      </c>
      <c r="H183" t="s">
        <v>674</v>
      </c>
      <c r="I183">
        <v>45</v>
      </c>
      <c r="J183" t="s">
        <v>674</v>
      </c>
      <c r="K183" t="s">
        <v>107</v>
      </c>
      <c r="L183">
        <v>97</v>
      </c>
      <c r="M183">
        <v>76</v>
      </c>
      <c r="N183">
        <v>48</v>
      </c>
      <c r="O183" s="4">
        <v>73.666666666666671</v>
      </c>
      <c r="P183" t="str">
        <f t="shared" si="4"/>
        <v>C</v>
      </c>
      <c r="Q183" t="str">
        <f t="shared" si="5"/>
        <v>Hayır</v>
      </c>
    </row>
    <row r="184" spans="1:17" x14ac:dyDescent="0.3">
      <c r="A184">
        <v>183</v>
      </c>
      <c r="B184">
        <v>16</v>
      </c>
      <c r="C184" t="s">
        <v>660</v>
      </c>
      <c r="D184" t="s">
        <v>663</v>
      </c>
      <c r="E184" t="s">
        <v>667</v>
      </c>
      <c r="F184">
        <v>7</v>
      </c>
      <c r="G184">
        <v>60</v>
      </c>
      <c r="H184" t="s">
        <v>674</v>
      </c>
      <c r="I184">
        <v>75</v>
      </c>
      <c r="J184" t="s">
        <v>675</v>
      </c>
      <c r="K184" t="s">
        <v>680</v>
      </c>
      <c r="L184">
        <v>77</v>
      </c>
      <c r="M184">
        <v>94</v>
      </c>
      <c r="N184">
        <v>55</v>
      </c>
      <c r="O184" s="4">
        <v>75.333333333333329</v>
      </c>
      <c r="P184" t="str">
        <f t="shared" si="4"/>
        <v>C</v>
      </c>
      <c r="Q184" t="str">
        <f t="shared" si="5"/>
        <v>Hayır</v>
      </c>
    </row>
    <row r="185" spans="1:17" x14ac:dyDescent="0.3">
      <c r="A185">
        <v>184</v>
      </c>
      <c r="B185">
        <v>18</v>
      </c>
      <c r="C185" t="s">
        <v>661</v>
      </c>
      <c r="D185" t="s">
        <v>664</v>
      </c>
      <c r="E185" t="s">
        <v>669</v>
      </c>
      <c r="F185">
        <v>4</v>
      </c>
      <c r="G185">
        <v>57</v>
      </c>
      <c r="H185" t="s">
        <v>674</v>
      </c>
      <c r="I185">
        <v>45</v>
      </c>
      <c r="J185" t="s">
        <v>675</v>
      </c>
      <c r="K185" t="s">
        <v>678</v>
      </c>
      <c r="L185">
        <v>81</v>
      </c>
      <c r="M185">
        <v>95</v>
      </c>
      <c r="N185">
        <v>60</v>
      </c>
      <c r="O185" s="4">
        <v>78.666666666666671</v>
      </c>
      <c r="P185" t="str">
        <f t="shared" si="4"/>
        <v>C</v>
      </c>
      <c r="Q185" t="str">
        <f t="shared" si="5"/>
        <v>Hayır</v>
      </c>
    </row>
    <row r="186" spans="1:17" x14ac:dyDescent="0.3">
      <c r="A186">
        <v>185</v>
      </c>
      <c r="B186">
        <v>16</v>
      </c>
      <c r="C186" t="s">
        <v>661</v>
      </c>
      <c r="D186" t="s">
        <v>664</v>
      </c>
      <c r="E186" t="s">
        <v>668</v>
      </c>
      <c r="F186">
        <v>1</v>
      </c>
      <c r="G186">
        <v>97</v>
      </c>
      <c r="H186" t="s">
        <v>674</v>
      </c>
      <c r="I186">
        <v>20</v>
      </c>
      <c r="J186" t="s">
        <v>675</v>
      </c>
      <c r="K186" t="s">
        <v>681</v>
      </c>
      <c r="L186">
        <v>88</v>
      </c>
      <c r="M186">
        <v>37</v>
      </c>
      <c r="N186">
        <v>85</v>
      </c>
      <c r="O186">
        <v>70</v>
      </c>
      <c r="P186" t="str">
        <f t="shared" si="4"/>
        <v>C</v>
      </c>
      <c r="Q186" t="str">
        <f t="shared" si="5"/>
        <v>Hayır</v>
      </c>
    </row>
    <row r="187" spans="1:17" x14ac:dyDescent="0.3">
      <c r="A187">
        <v>186</v>
      </c>
      <c r="B187">
        <v>16</v>
      </c>
      <c r="C187" t="s">
        <v>661</v>
      </c>
      <c r="D187" t="s">
        <v>663</v>
      </c>
      <c r="E187" t="s">
        <v>668</v>
      </c>
      <c r="F187">
        <v>3</v>
      </c>
      <c r="G187">
        <v>57</v>
      </c>
      <c r="H187" t="s">
        <v>675</v>
      </c>
      <c r="I187">
        <v>20</v>
      </c>
      <c r="J187" t="s">
        <v>674</v>
      </c>
      <c r="K187" t="s">
        <v>677</v>
      </c>
      <c r="L187">
        <v>44</v>
      </c>
      <c r="M187">
        <v>60</v>
      </c>
      <c r="N187">
        <v>68</v>
      </c>
      <c r="O187" s="4">
        <v>57.333333333333336</v>
      </c>
      <c r="P187" t="str">
        <f t="shared" si="4"/>
        <v>D</v>
      </c>
      <c r="Q187" t="str">
        <f t="shared" si="5"/>
        <v>Evet</v>
      </c>
    </row>
    <row r="188" spans="1:17" x14ac:dyDescent="0.3">
      <c r="A188">
        <v>187</v>
      </c>
      <c r="B188">
        <v>14</v>
      </c>
      <c r="C188" t="s">
        <v>659</v>
      </c>
      <c r="D188" t="s">
        <v>664</v>
      </c>
      <c r="E188" t="s">
        <v>667</v>
      </c>
      <c r="F188">
        <v>7</v>
      </c>
      <c r="G188">
        <v>100</v>
      </c>
      <c r="H188" t="s">
        <v>674</v>
      </c>
      <c r="I188">
        <v>45</v>
      </c>
      <c r="J188" t="s">
        <v>675</v>
      </c>
      <c r="K188" t="s">
        <v>680</v>
      </c>
      <c r="L188">
        <v>72</v>
      </c>
      <c r="M188">
        <v>70</v>
      </c>
      <c r="N188">
        <v>46</v>
      </c>
      <c r="O188" s="4">
        <v>62.666666666666664</v>
      </c>
      <c r="P188" t="str">
        <f t="shared" si="4"/>
        <v>C</v>
      </c>
      <c r="Q188" t="str">
        <f t="shared" si="5"/>
        <v>Hayır</v>
      </c>
    </row>
    <row r="189" spans="1:17" x14ac:dyDescent="0.3">
      <c r="A189">
        <v>188</v>
      </c>
      <c r="B189">
        <v>16</v>
      </c>
      <c r="C189" t="s">
        <v>661</v>
      </c>
      <c r="D189" t="s">
        <v>664</v>
      </c>
      <c r="E189" t="s">
        <v>666</v>
      </c>
      <c r="F189">
        <v>3</v>
      </c>
      <c r="G189">
        <v>80</v>
      </c>
      <c r="H189" t="s">
        <v>674</v>
      </c>
      <c r="I189">
        <v>20</v>
      </c>
      <c r="J189" t="s">
        <v>674</v>
      </c>
      <c r="K189" t="s">
        <v>681</v>
      </c>
      <c r="L189">
        <v>85</v>
      </c>
      <c r="M189">
        <v>41</v>
      </c>
      <c r="N189">
        <v>68</v>
      </c>
      <c r="O189" s="4">
        <v>64.666666666666671</v>
      </c>
      <c r="P189" t="str">
        <f t="shared" si="4"/>
        <v>C</v>
      </c>
      <c r="Q189" t="str">
        <f t="shared" si="5"/>
        <v>Hayır</v>
      </c>
    </row>
    <row r="190" spans="1:17" x14ac:dyDescent="0.3">
      <c r="A190">
        <v>189</v>
      </c>
      <c r="B190">
        <v>15</v>
      </c>
      <c r="C190" t="s">
        <v>659</v>
      </c>
      <c r="D190" t="s">
        <v>664</v>
      </c>
      <c r="E190" t="s">
        <v>666</v>
      </c>
      <c r="F190">
        <v>4</v>
      </c>
      <c r="G190">
        <v>75</v>
      </c>
      <c r="H190" t="s">
        <v>674</v>
      </c>
      <c r="I190">
        <v>10</v>
      </c>
      <c r="J190" t="s">
        <v>675</v>
      </c>
      <c r="K190" t="s">
        <v>677</v>
      </c>
      <c r="L190">
        <v>99</v>
      </c>
      <c r="M190">
        <v>23</v>
      </c>
      <c r="N190">
        <v>53</v>
      </c>
      <c r="O190" s="4">
        <v>58.333333333333336</v>
      </c>
      <c r="P190" t="str">
        <f t="shared" si="4"/>
        <v>D</v>
      </c>
      <c r="Q190" t="str">
        <f t="shared" si="5"/>
        <v>Hayır</v>
      </c>
    </row>
    <row r="191" spans="1:17" x14ac:dyDescent="0.3">
      <c r="A191">
        <v>190</v>
      </c>
      <c r="B191">
        <v>15</v>
      </c>
      <c r="C191" t="s">
        <v>660</v>
      </c>
      <c r="D191" t="s">
        <v>664</v>
      </c>
      <c r="E191" t="s">
        <v>669</v>
      </c>
      <c r="F191">
        <v>6</v>
      </c>
      <c r="G191">
        <v>59</v>
      </c>
      <c r="H191" t="s">
        <v>674</v>
      </c>
      <c r="I191">
        <v>45</v>
      </c>
      <c r="J191" t="s">
        <v>675</v>
      </c>
      <c r="K191" t="s">
        <v>679</v>
      </c>
      <c r="L191">
        <v>80</v>
      </c>
      <c r="M191">
        <v>93</v>
      </c>
      <c r="N191">
        <v>74</v>
      </c>
      <c r="O191" s="4">
        <v>82.333333333333329</v>
      </c>
      <c r="P191" t="str">
        <f t="shared" si="4"/>
        <v>B</v>
      </c>
      <c r="Q191" t="str">
        <f t="shared" si="5"/>
        <v>Evet</v>
      </c>
    </row>
    <row r="192" spans="1:17" x14ac:dyDescent="0.3">
      <c r="A192">
        <v>191</v>
      </c>
      <c r="B192">
        <v>18</v>
      </c>
      <c r="C192" t="s">
        <v>661</v>
      </c>
      <c r="D192" t="s">
        <v>663</v>
      </c>
      <c r="E192" t="s">
        <v>666</v>
      </c>
      <c r="F192">
        <v>2</v>
      </c>
      <c r="G192">
        <v>93</v>
      </c>
      <c r="H192" t="s">
        <v>674</v>
      </c>
      <c r="I192">
        <v>45</v>
      </c>
      <c r="J192" t="s">
        <v>675</v>
      </c>
      <c r="K192" t="s">
        <v>679</v>
      </c>
      <c r="L192">
        <v>50</v>
      </c>
      <c r="M192">
        <v>90</v>
      </c>
      <c r="N192">
        <v>82</v>
      </c>
      <c r="O192">
        <v>74</v>
      </c>
      <c r="P192" t="str">
        <f t="shared" si="4"/>
        <v>C</v>
      </c>
      <c r="Q192" t="str">
        <f t="shared" si="5"/>
        <v>Evet</v>
      </c>
    </row>
    <row r="193" spans="1:17" x14ac:dyDescent="0.3">
      <c r="A193">
        <v>192</v>
      </c>
      <c r="B193">
        <v>17</v>
      </c>
      <c r="C193" t="s">
        <v>661</v>
      </c>
      <c r="D193" t="s">
        <v>664</v>
      </c>
      <c r="E193" t="s">
        <v>667</v>
      </c>
      <c r="F193">
        <v>3</v>
      </c>
      <c r="G193">
        <v>59</v>
      </c>
      <c r="H193" t="s">
        <v>674</v>
      </c>
      <c r="I193">
        <v>45</v>
      </c>
      <c r="J193" t="s">
        <v>675</v>
      </c>
      <c r="K193" t="s">
        <v>107</v>
      </c>
      <c r="L193">
        <v>75</v>
      </c>
      <c r="M193">
        <v>69</v>
      </c>
      <c r="N193">
        <v>91</v>
      </c>
      <c r="O193" s="4">
        <v>78.333333333333329</v>
      </c>
      <c r="P193" t="str">
        <f t="shared" si="4"/>
        <v>C</v>
      </c>
      <c r="Q193" t="str">
        <f t="shared" si="5"/>
        <v>Evet</v>
      </c>
    </row>
    <row r="194" spans="1:17" x14ac:dyDescent="0.3">
      <c r="A194">
        <v>193</v>
      </c>
      <c r="B194">
        <v>17</v>
      </c>
      <c r="C194" t="s">
        <v>660</v>
      </c>
      <c r="D194" t="s">
        <v>664</v>
      </c>
      <c r="E194" t="s">
        <v>665</v>
      </c>
      <c r="F194">
        <v>3</v>
      </c>
      <c r="G194">
        <v>70</v>
      </c>
      <c r="H194" t="s">
        <v>674</v>
      </c>
      <c r="I194">
        <v>20</v>
      </c>
      <c r="J194" t="s">
        <v>674</v>
      </c>
      <c r="K194" t="s">
        <v>678</v>
      </c>
      <c r="L194">
        <v>50</v>
      </c>
      <c r="M194">
        <v>71</v>
      </c>
      <c r="N194">
        <v>53</v>
      </c>
      <c r="O194">
        <v>58</v>
      </c>
      <c r="P194" t="str">
        <f t="shared" ref="P194:P257" si="6">IF(O194&gt;=90,"A",
IF(O194&gt;=80,"B",
IF(O194&gt;=60,"C",
IF(O194&gt;=40,"D","F"))))</f>
        <v>D</v>
      </c>
      <c r="Q194" t="str">
        <f t="shared" si="5"/>
        <v>Evet</v>
      </c>
    </row>
    <row r="195" spans="1:17" x14ac:dyDescent="0.3">
      <c r="A195">
        <v>194</v>
      </c>
      <c r="B195">
        <v>16</v>
      </c>
      <c r="C195" t="s">
        <v>659</v>
      </c>
      <c r="D195" t="s">
        <v>664</v>
      </c>
      <c r="E195" t="s">
        <v>668</v>
      </c>
      <c r="F195">
        <v>2</v>
      </c>
      <c r="G195">
        <v>52</v>
      </c>
      <c r="H195" t="s">
        <v>674</v>
      </c>
      <c r="I195">
        <v>10</v>
      </c>
      <c r="J195" t="s">
        <v>675</v>
      </c>
      <c r="K195" t="s">
        <v>681</v>
      </c>
      <c r="L195">
        <v>47</v>
      </c>
      <c r="M195">
        <v>65</v>
      </c>
      <c r="N195">
        <v>71</v>
      </c>
      <c r="O195">
        <v>61</v>
      </c>
      <c r="P195" t="str">
        <f t="shared" si="6"/>
        <v>C</v>
      </c>
      <c r="Q195" t="str">
        <f t="shared" ref="Q195:Q258" si="7">IF(L195&lt;O195,"Evet","Hayır")</f>
        <v>Evet</v>
      </c>
    </row>
    <row r="196" spans="1:17" x14ac:dyDescent="0.3">
      <c r="A196">
        <v>195</v>
      </c>
      <c r="B196">
        <v>19</v>
      </c>
      <c r="C196" t="s">
        <v>660</v>
      </c>
      <c r="D196" t="s">
        <v>664</v>
      </c>
      <c r="E196" t="s">
        <v>668</v>
      </c>
      <c r="F196">
        <v>4</v>
      </c>
      <c r="G196">
        <v>51</v>
      </c>
      <c r="H196" t="s">
        <v>674</v>
      </c>
      <c r="I196">
        <v>10</v>
      </c>
      <c r="J196" t="s">
        <v>674</v>
      </c>
      <c r="K196" t="s">
        <v>107</v>
      </c>
      <c r="L196">
        <v>99</v>
      </c>
      <c r="M196">
        <v>83</v>
      </c>
      <c r="N196">
        <v>76</v>
      </c>
      <c r="O196">
        <v>86</v>
      </c>
      <c r="P196" t="str">
        <f t="shared" si="6"/>
        <v>B</v>
      </c>
      <c r="Q196" t="str">
        <f t="shared" si="7"/>
        <v>Hayır</v>
      </c>
    </row>
    <row r="197" spans="1:17" x14ac:dyDescent="0.3">
      <c r="A197">
        <v>196</v>
      </c>
      <c r="B197">
        <v>14</v>
      </c>
      <c r="C197" t="s">
        <v>661</v>
      </c>
      <c r="D197" t="s">
        <v>664</v>
      </c>
      <c r="E197" t="s">
        <v>670</v>
      </c>
      <c r="F197">
        <v>3</v>
      </c>
      <c r="G197">
        <v>87</v>
      </c>
      <c r="H197" t="s">
        <v>674</v>
      </c>
      <c r="I197">
        <v>45</v>
      </c>
      <c r="J197" t="s">
        <v>675</v>
      </c>
      <c r="K197" t="s">
        <v>680</v>
      </c>
      <c r="L197">
        <v>75</v>
      </c>
      <c r="M197">
        <v>48</v>
      </c>
      <c r="N197">
        <v>85</v>
      </c>
      <c r="O197" s="4">
        <v>69.333333333333329</v>
      </c>
      <c r="P197" t="str">
        <f t="shared" si="6"/>
        <v>C</v>
      </c>
      <c r="Q197" t="str">
        <f t="shared" si="7"/>
        <v>Hayır</v>
      </c>
    </row>
    <row r="198" spans="1:17" x14ac:dyDescent="0.3">
      <c r="A198">
        <v>197</v>
      </c>
      <c r="B198">
        <v>16</v>
      </c>
      <c r="C198" t="s">
        <v>660</v>
      </c>
      <c r="D198" t="s">
        <v>664</v>
      </c>
      <c r="E198" t="s">
        <v>669</v>
      </c>
      <c r="F198">
        <v>5</v>
      </c>
      <c r="G198">
        <v>60</v>
      </c>
      <c r="H198" t="s">
        <v>674</v>
      </c>
      <c r="I198">
        <v>10</v>
      </c>
      <c r="J198" t="s">
        <v>674</v>
      </c>
      <c r="K198" t="s">
        <v>681</v>
      </c>
      <c r="L198">
        <v>56</v>
      </c>
      <c r="M198">
        <v>27</v>
      </c>
      <c r="N198">
        <v>61</v>
      </c>
      <c r="O198">
        <v>48</v>
      </c>
      <c r="P198" t="str">
        <f t="shared" si="6"/>
        <v>D</v>
      </c>
      <c r="Q198" t="str">
        <f t="shared" si="7"/>
        <v>Hayır</v>
      </c>
    </row>
    <row r="199" spans="1:17" x14ac:dyDescent="0.3">
      <c r="A199">
        <v>198</v>
      </c>
      <c r="B199">
        <v>14</v>
      </c>
      <c r="C199" t="s">
        <v>660</v>
      </c>
      <c r="D199" t="s">
        <v>664</v>
      </c>
      <c r="E199" t="s">
        <v>666</v>
      </c>
      <c r="F199">
        <v>4</v>
      </c>
      <c r="G199">
        <v>80</v>
      </c>
      <c r="H199" t="s">
        <v>674</v>
      </c>
      <c r="I199">
        <v>45</v>
      </c>
      <c r="J199" t="s">
        <v>674</v>
      </c>
      <c r="K199" t="s">
        <v>680</v>
      </c>
      <c r="L199">
        <v>92</v>
      </c>
      <c r="M199">
        <v>59</v>
      </c>
      <c r="N199">
        <v>79</v>
      </c>
      <c r="O199" s="4">
        <v>76.666666666666671</v>
      </c>
      <c r="P199" t="str">
        <f t="shared" si="6"/>
        <v>C</v>
      </c>
      <c r="Q199" t="str">
        <f t="shared" si="7"/>
        <v>Hayır</v>
      </c>
    </row>
    <row r="200" spans="1:17" x14ac:dyDescent="0.3">
      <c r="A200">
        <v>199</v>
      </c>
      <c r="B200">
        <v>16</v>
      </c>
      <c r="C200" t="s">
        <v>660</v>
      </c>
      <c r="D200" t="s">
        <v>663</v>
      </c>
      <c r="E200" t="s">
        <v>669</v>
      </c>
      <c r="F200">
        <v>2</v>
      </c>
      <c r="G200">
        <v>86</v>
      </c>
      <c r="H200" t="s">
        <v>674</v>
      </c>
      <c r="I200">
        <v>10</v>
      </c>
      <c r="J200" t="s">
        <v>674</v>
      </c>
      <c r="K200" t="s">
        <v>681</v>
      </c>
      <c r="L200">
        <v>55</v>
      </c>
      <c r="M200">
        <v>47</v>
      </c>
      <c r="N200">
        <v>58</v>
      </c>
      <c r="O200" s="4">
        <v>53.333333333333336</v>
      </c>
      <c r="P200" t="str">
        <f t="shared" si="6"/>
        <v>D</v>
      </c>
      <c r="Q200" t="str">
        <f t="shared" si="7"/>
        <v>Hayır</v>
      </c>
    </row>
    <row r="201" spans="1:17" x14ac:dyDescent="0.3">
      <c r="A201">
        <v>200</v>
      </c>
      <c r="B201">
        <v>19</v>
      </c>
      <c r="C201" t="s">
        <v>660</v>
      </c>
      <c r="D201" t="s">
        <v>663</v>
      </c>
      <c r="E201" t="s">
        <v>666</v>
      </c>
      <c r="F201">
        <v>3</v>
      </c>
      <c r="G201">
        <v>75</v>
      </c>
      <c r="H201" t="s">
        <v>674</v>
      </c>
      <c r="I201">
        <v>20</v>
      </c>
      <c r="J201" t="s">
        <v>675</v>
      </c>
      <c r="K201" t="s">
        <v>680</v>
      </c>
      <c r="L201">
        <v>75</v>
      </c>
      <c r="M201">
        <v>49</v>
      </c>
      <c r="N201">
        <v>84</v>
      </c>
      <c r="O201" s="4">
        <v>69.333333333333329</v>
      </c>
      <c r="P201" t="str">
        <f t="shared" si="6"/>
        <v>C</v>
      </c>
      <c r="Q201" t="str">
        <f t="shared" si="7"/>
        <v>Hayır</v>
      </c>
    </row>
    <row r="202" spans="1:17" x14ac:dyDescent="0.3">
      <c r="A202">
        <v>201</v>
      </c>
      <c r="B202">
        <v>16</v>
      </c>
      <c r="C202" t="s">
        <v>659</v>
      </c>
      <c r="D202" t="s">
        <v>663</v>
      </c>
      <c r="E202" t="s">
        <v>665</v>
      </c>
      <c r="F202">
        <v>7</v>
      </c>
      <c r="G202">
        <v>83</v>
      </c>
      <c r="H202" t="s">
        <v>674</v>
      </c>
      <c r="I202">
        <v>75</v>
      </c>
      <c r="J202" t="s">
        <v>674</v>
      </c>
      <c r="K202" t="s">
        <v>107</v>
      </c>
      <c r="L202">
        <v>70</v>
      </c>
      <c r="M202">
        <v>40</v>
      </c>
      <c r="N202">
        <v>45</v>
      </c>
      <c r="O202" s="4">
        <v>51.666666666666664</v>
      </c>
      <c r="P202" t="str">
        <f t="shared" si="6"/>
        <v>D</v>
      </c>
      <c r="Q202" t="str">
        <f t="shared" si="7"/>
        <v>Hayır</v>
      </c>
    </row>
    <row r="203" spans="1:17" x14ac:dyDescent="0.3">
      <c r="A203">
        <v>202</v>
      </c>
      <c r="B203">
        <v>19</v>
      </c>
      <c r="C203" t="s">
        <v>661</v>
      </c>
      <c r="D203" t="s">
        <v>664</v>
      </c>
      <c r="E203" t="s">
        <v>665</v>
      </c>
      <c r="F203">
        <v>3</v>
      </c>
      <c r="G203">
        <v>62</v>
      </c>
      <c r="H203" t="s">
        <v>674</v>
      </c>
      <c r="I203">
        <v>20</v>
      </c>
      <c r="J203" t="s">
        <v>675</v>
      </c>
      <c r="K203" t="s">
        <v>681</v>
      </c>
      <c r="L203">
        <v>87</v>
      </c>
      <c r="M203">
        <v>85</v>
      </c>
      <c r="N203">
        <v>99</v>
      </c>
      <c r="O203" s="4">
        <v>90.333333333333329</v>
      </c>
      <c r="P203" t="str">
        <f t="shared" si="6"/>
        <v>A</v>
      </c>
      <c r="Q203" t="str">
        <f t="shared" si="7"/>
        <v>Evet</v>
      </c>
    </row>
    <row r="204" spans="1:17" x14ac:dyDescent="0.3">
      <c r="A204">
        <v>203</v>
      </c>
      <c r="B204">
        <v>16</v>
      </c>
      <c r="C204" t="s">
        <v>659</v>
      </c>
      <c r="D204" t="s">
        <v>663</v>
      </c>
      <c r="E204" t="s">
        <v>667</v>
      </c>
      <c r="F204">
        <v>2</v>
      </c>
      <c r="G204">
        <v>91</v>
      </c>
      <c r="H204" t="s">
        <v>674</v>
      </c>
      <c r="I204">
        <v>20</v>
      </c>
      <c r="J204" t="s">
        <v>675</v>
      </c>
      <c r="K204" t="s">
        <v>681</v>
      </c>
      <c r="L204">
        <v>41</v>
      </c>
      <c r="M204">
        <v>32</v>
      </c>
      <c r="N204">
        <v>56</v>
      </c>
      <c r="O204">
        <v>43</v>
      </c>
      <c r="P204" t="str">
        <f t="shared" si="6"/>
        <v>D</v>
      </c>
      <c r="Q204" t="str">
        <f t="shared" si="7"/>
        <v>Evet</v>
      </c>
    </row>
    <row r="205" spans="1:17" x14ac:dyDescent="0.3">
      <c r="A205">
        <v>204</v>
      </c>
      <c r="B205">
        <v>18</v>
      </c>
      <c r="C205" t="s">
        <v>661</v>
      </c>
      <c r="D205" t="s">
        <v>663</v>
      </c>
      <c r="E205" t="s">
        <v>666</v>
      </c>
      <c r="F205">
        <v>2</v>
      </c>
      <c r="G205">
        <v>60</v>
      </c>
      <c r="H205" t="s">
        <v>674</v>
      </c>
      <c r="I205">
        <v>75</v>
      </c>
      <c r="J205" t="s">
        <v>674</v>
      </c>
      <c r="K205" t="s">
        <v>677</v>
      </c>
      <c r="L205">
        <v>59</v>
      </c>
      <c r="M205">
        <v>30</v>
      </c>
      <c r="N205">
        <v>69</v>
      </c>
      <c r="O205" s="4">
        <v>52.666666666666664</v>
      </c>
      <c r="P205" t="str">
        <f t="shared" si="6"/>
        <v>D</v>
      </c>
      <c r="Q205" t="str">
        <f t="shared" si="7"/>
        <v>Hayır</v>
      </c>
    </row>
    <row r="206" spans="1:17" x14ac:dyDescent="0.3">
      <c r="A206">
        <v>205</v>
      </c>
      <c r="B206">
        <v>16</v>
      </c>
      <c r="C206" t="s">
        <v>659</v>
      </c>
      <c r="D206" t="s">
        <v>663</v>
      </c>
      <c r="E206" t="s">
        <v>665</v>
      </c>
      <c r="F206">
        <v>7</v>
      </c>
      <c r="G206">
        <v>80</v>
      </c>
      <c r="H206" t="s">
        <v>674</v>
      </c>
      <c r="I206">
        <v>10</v>
      </c>
      <c r="J206" t="s">
        <v>674</v>
      </c>
      <c r="K206" t="s">
        <v>681</v>
      </c>
      <c r="L206">
        <v>64</v>
      </c>
      <c r="M206">
        <v>92</v>
      </c>
      <c r="N206">
        <v>43</v>
      </c>
      <c r="O206" s="4">
        <v>66.333333333333329</v>
      </c>
      <c r="P206" t="str">
        <f t="shared" si="6"/>
        <v>C</v>
      </c>
      <c r="Q206" t="str">
        <f t="shared" si="7"/>
        <v>Evet</v>
      </c>
    </row>
    <row r="207" spans="1:17" x14ac:dyDescent="0.3">
      <c r="A207">
        <v>206</v>
      </c>
      <c r="B207">
        <v>15</v>
      </c>
      <c r="C207" t="s">
        <v>660</v>
      </c>
      <c r="D207" t="s">
        <v>664</v>
      </c>
      <c r="E207" t="s">
        <v>669</v>
      </c>
      <c r="F207">
        <v>3</v>
      </c>
      <c r="G207">
        <v>92</v>
      </c>
      <c r="H207" t="s">
        <v>674</v>
      </c>
      <c r="I207">
        <v>20</v>
      </c>
      <c r="J207" t="s">
        <v>675</v>
      </c>
      <c r="K207" t="s">
        <v>681</v>
      </c>
      <c r="L207">
        <v>51</v>
      </c>
      <c r="M207">
        <v>95</v>
      </c>
      <c r="N207">
        <v>72</v>
      </c>
      <c r="O207" s="4">
        <v>72.666666666666671</v>
      </c>
      <c r="P207" t="str">
        <f t="shared" si="6"/>
        <v>C</v>
      </c>
      <c r="Q207" t="str">
        <f t="shared" si="7"/>
        <v>Evet</v>
      </c>
    </row>
    <row r="208" spans="1:17" x14ac:dyDescent="0.3">
      <c r="A208">
        <v>207</v>
      </c>
      <c r="B208">
        <v>18</v>
      </c>
      <c r="C208" t="s">
        <v>660</v>
      </c>
      <c r="D208" t="s">
        <v>664</v>
      </c>
      <c r="E208" t="s">
        <v>669</v>
      </c>
      <c r="F208">
        <v>6</v>
      </c>
      <c r="G208">
        <v>90</v>
      </c>
      <c r="H208" t="s">
        <v>674</v>
      </c>
      <c r="I208">
        <v>20</v>
      </c>
      <c r="J208" t="s">
        <v>675</v>
      </c>
      <c r="K208" t="s">
        <v>681</v>
      </c>
      <c r="L208">
        <v>88</v>
      </c>
      <c r="M208">
        <v>67</v>
      </c>
      <c r="N208">
        <v>87</v>
      </c>
      <c r="O208" s="4">
        <v>80.666666666666671</v>
      </c>
      <c r="P208" t="str">
        <f t="shared" si="6"/>
        <v>B</v>
      </c>
      <c r="Q208" t="str">
        <f t="shared" si="7"/>
        <v>Hayır</v>
      </c>
    </row>
    <row r="209" spans="1:17" x14ac:dyDescent="0.3">
      <c r="A209">
        <v>208</v>
      </c>
      <c r="B209">
        <v>19</v>
      </c>
      <c r="C209" t="s">
        <v>660</v>
      </c>
      <c r="D209" t="s">
        <v>663</v>
      </c>
      <c r="E209" t="s">
        <v>666</v>
      </c>
      <c r="F209">
        <v>2</v>
      </c>
      <c r="G209">
        <v>53</v>
      </c>
      <c r="H209" t="s">
        <v>674</v>
      </c>
      <c r="I209">
        <v>20</v>
      </c>
      <c r="J209" t="s">
        <v>674</v>
      </c>
      <c r="K209" t="s">
        <v>681</v>
      </c>
      <c r="L209">
        <v>100</v>
      </c>
      <c r="M209">
        <v>65</v>
      </c>
      <c r="N209">
        <v>96</v>
      </c>
      <c r="O209">
        <v>87</v>
      </c>
      <c r="P209" t="str">
        <f t="shared" si="6"/>
        <v>B</v>
      </c>
      <c r="Q209" t="str">
        <f t="shared" si="7"/>
        <v>Hayır</v>
      </c>
    </row>
    <row r="210" spans="1:17" x14ac:dyDescent="0.3">
      <c r="A210">
        <v>209</v>
      </c>
      <c r="B210">
        <v>15</v>
      </c>
      <c r="C210" t="s">
        <v>660</v>
      </c>
      <c r="D210" t="s">
        <v>664</v>
      </c>
      <c r="E210" t="s">
        <v>666</v>
      </c>
      <c r="F210">
        <v>1</v>
      </c>
      <c r="G210">
        <v>68</v>
      </c>
      <c r="H210" t="s">
        <v>674</v>
      </c>
      <c r="I210">
        <v>75</v>
      </c>
      <c r="J210" t="s">
        <v>674</v>
      </c>
      <c r="K210" t="s">
        <v>680</v>
      </c>
      <c r="L210">
        <v>33</v>
      </c>
      <c r="M210">
        <v>39</v>
      </c>
      <c r="N210">
        <v>66</v>
      </c>
      <c r="O210">
        <v>46</v>
      </c>
      <c r="P210" t="str">
        <f t="shared" si="6"/>
        <v>D</v>
      </c>
      <c r="Q210" t="str">
        <f t="shared" si="7"/>
        <v>Evet</v>
      </c>
    </row>
    <row r="211" spans="1:17" x14ac:dyDescent="0.3">
      <c r="A211">
        <v>210</v>
      </c>
      <c r="B211">
        <v>18</v>
      </c>
      <c r="C211" t="s">
        <v>661</v>
      </c>
      <c r="D211" t="s">
        <v>663</v>
      </c>
      <c r="E211" t="s">
        <v>667</v>
      </c>
      <c r="F211">
        <v>7</v>
      </c>
      <c r="G211">
        <v>93</v>
      </c>
      <c r="H211" t="s">
        <v>674</v>
      </c>
      <c r="I211">
        <v>75</v>
      </c>
      <c r="J211" t="s">
        <v>674</v>
      </c>
      <c r="K211" t="s">
        <v>677</v>
      </c>
      <c r="L211">
        <v>91</v>
      </c>
      <c r="M211">
        <v>66</v>
      </c>
      <c r="N211">
        <v>49</v>
      </c>
      <c r="O211" s="4">
        <v>68.666666666666671</v>
      </c>
      <c r="P211" t="str">
        <f t="shared" si="6"/>
        <v>C</v>
      </c>
      <c r="Q211" t="str">
        <f t="shared" si="7"/>
        <v>Hayır</v>
      </c>
    </row>
    <row r="212" spans="1:17" x14ac:dyDescent="0.3">
      <c r="A212">
        <v>211</v>
      </c>
      <c r="B212">
        <v>15</v>
      </c>
      <c r="C212" t="s">
        <v>659</v>
      </c>
      <c r="D212" t="s">
        <v>663</v>
      </c>
      <c r="E212" t="s">
        <v>670</v>
      </c>
      <c r="F212">
        <v>6</v>
      </c>
      <c r="G212">
        <v>93</v>
      </c>
      <c r="H212" t="s">
        <v>674</v>
      </c>
      <c r="I212">
        <v>10</v>
      </c>
      <c r="J212" t="s">
        <v>674</v>
      </c>
      <c r="K212" t="s">
        <v>677</v>
      </c>
      <c r="L212">
        <v>54</v>
      </c>
      <c r="M212">
        <v>89</v>
      </c>
      <c r="N212">
        <v>48</v>
      </c>
      <c r="O212" s="4">
        <v>63.666666666666664</v>
      </c>
      <c r="P212" t="str">
        <f t="shared" si="6"/>
        <v>C</v>
      </c>
      <c r="Q212" t="str">
        <f t="shared" si="7"/>
        <v>Evet</v>
      </c>
    </row>
    <row r="213" spans="1:17" x14ac:dyDescent="0.3">
      <c r="A213">
        <v>212</v>
      </c>
      <c r="B213">
        <v>18</v>
      </c>
      <c r="C213" t="s">
        <v>661</v>
      </c>
      <c r="D213" t="s">
        <v>664</v>
      </c>
      <c r="E213" t="s">
        <v>666</v>
      </c>
      <c r="F213">
        <v>4</v>
      </c>
      <c r="G213">
        <v>82</v>
      </c>
      <c r="H213" t="s">
        <v>674</v>
      </c>
      <c r="I213">
        <v>75</v>
      </c>
      <c r="J213" t="s">
        <v>674</v>
      </c>
      <c r="K213" t="s">
        <v>679</v>
      </c>
      <c r="L213">
        <v>46</v>
      </c>
      <c r="M213">
        <v>27</v>
      </c>
      <c r="N213">
        <v>88</v>
      </c>
      <c r="O213" s="4">
        <v>53.666666666666664</v>
      </c>
      <c r="P213" t="str">
        <f t="shared" si="6"/>
        <v>D</v>
      </c>
      <c r="Q213" t="str">
        <f t="shared" si="7"/>
        <v>Evet</v>
      </c>
    </row>
    <row r="214" spans="1:17" x14ac:dyDescent="0.3">
      <c r="A214">
        <v>213</v>
      </c>
      <c r="B214">
        <v>18</v>
      </c>
      <c r="C214" t="s">
        <v>661</v>
      </c>
      <c r="D214" t="s">
        <v>663</v>
      </c>
      <c r="E214" t="s">
        <v>666</v>
      </c>
      <c r="F214">
        <v>2</v>
      </c>
      <c r="G214">
        <v>55</v>
      </c>
      <c r="H214" t="s">
        <v>675</v>
      </c>
      <c r="I214">
        <v>10</v>
      </c>
      <c r="J214" t="s">
        <v>675</v>
      </c>
      <c r="K214" t="s">
        <v>677</v>
      </c>
      <c r="L214">
        <v>75</v>
      </c>
      <c r="M214">
        <v>74</v>
      </c>
      <c r="N214">
        <v>62</v>
      </c>
      <c r="O214" s="4">
        <v>70.333333333333329</v>
      </c>
      <c r="P214" t="str">
        <f t="shared" si="6"/>
        <v>C</v>
      </c>
      <c r="Q214" t="str">
        <f t="shared" si="7"/>
        <v>Hayır</v>
      </c>
    </row>
    <row r="215" spans="1:17" x14ac:dyDescent="0.3">
      <c r="A215">
        <v>214</v>
      </c>
      <c r="B215">
        <v>16</v>
      </c>
      <c r="C215" t="s">
        <v>661</v>
      </c>
      <c r="D215" t="s">
        <v>663</v>
      </c>
      <c r="E215" t="s">
        <v>667</v>
      </c>
      <c r="F215">
        <v>3</v>
      </c>
      <c r="G215">
        <v>70</v>
      </c>
      <c r="H215" t="s">
        <v>674</v>
      </c>
      <c r="I215">
        <v>10</v>
      </c>
      <c r="J215" t="s">
        <v>675</v>
      </c>
      <c r="K215" t="s">
        <v>678</v>
      </c>
      <c r="L215">
        <v>100</v>
      </c>
      <c r="M215">
        <v>80</v>
      </c>
      <c r="N215">
        <v>62</v>
      </c>
      <c r="O215" s="4">
        <v>80.666666666666671</v>
      </c>
      <c r="P215" t="str">
        <f t="shared" si="6"/>
        <v>B</v>
      </c>
      <c r="Q215" t="str">
        <f t="shared" si="7"/>
        <v>Hayır</v>
      </c>
    </row>
    <row r="216" spans="1:17" x14ac:dyDescent="0.3">
      <c r="A216">
        <v>215</v>
      </c>
      <c r="B216">
        <v>18</v>
      </c>
      <c r="C216" t="s">
        <v>659</v>
      </c>
      <c r="D216" t="s">
        <v>664</v>
      </c>
      <c r="E216" t="s">
        <v>665</v>
      </c>
      <c r="F216">
        <v>4</v>
      </c>
      <c r="G216">
        <v>98</v>
      </c>
      <c r="H216" t="s">
        <v>674</v>
      </c>
      <c r="I216">
        <v>45</v>
      </c>
      <c r="J216" t="s">
        <v>674</v>
      </c>
      <c r="K216" t="s">
        <v>681</v>
      </c>
      <c r="L216">
        <v>43</v>
      </c>
      <c r="M216">
        <v>48</v>
      </c>
      <c r="N216">
        <v>89</v>
      </c>
      <c r="O216" s="5">
        <v>60</v>
      </c>
      <c r="P216" t="str">
        <f t="shared" si="6"/>
        <v>C</v>
      </c>
      <c r="Q216" t="str">
        <f t="shared" si="7"/>
        <v>Evet</v>
      </c>
    </row>
    <row r="217" spans="1:17" x14ac:dyDescent="0.3">
      <c r="A217">
        <v>216</v>
      </c>
      <c r="B217">
        <v>15</v>
      </c>
      <c r="C217" t="s">
        <v>659</v>
      </c>
      <c r="D217" t="s">
        <v>663</v>
      </c>
      <c r="E217" t="s">
        <v>670</v>
      </c>
      <c r="F217">
        <v>5</v>
      </c>
      <c r="G217">
        <v>55</v>
      </c>
      <c r="H217" t="s">
        <v>674</v>
      </c>
      <c r="I217">
        <v>20</v>
      </c>
      <c r="J217" t="s">
        <v>674</v>
      </c>
      <c r="K217" t="s">
        <v>681</v>
      </c>
      <c r="L217">
        <v>76</v>
      </c>
      <c r="M217">
        <v>52</v>
      </c>
      <c r="N217">
        <v>75</v>
      </c>
      <c r="O217" s="4">
        <v>67.666666666666671</v>
      </c>
      <c r="P217" t="str">
        <f t="shared" si="6"/>
        <v>C</v>
      </c>
      <c r="Q217" t="str">
        <f t="shared" si="7"/>
        <v>Hayır</v>
      </c>
    </row>
    <row r="218" spans="1:17" x14ac:dyDescent="0.3">
      <c r="A218">
        <v>217</v>
      </c>
      <c r="B218">
        <v>14</v>
      </c>
      <c r="C218" t="s">
        <v>660</v>
      </c>
      <c r="D218" t="s">
        <v>664</v>
      </c>
      <c r="E218" t="s">
        <v>665</v>
      </c>
      <c r="F218">
        <v>4</v>
      </c>
      <c r="G218">
        <v>90</v>
      </c>
      <c r="H218" t="s">
        <v>674</v>
      </c>
      <c r="I218">
        <v>10</v>
      </c>
      <c r="J218" t="s">
        <v>675</v>
      </c>
      <c r="K218" t="s">
        <v>677</v>
      </c>
      <c r="L218">
        <v>78</v>
      </c>
      <c r="M218">
        <v>81</v>
      </c>
      <c r="N218">
        <v>53</v>
      </c>
      <c r="O218" s="4">
        <v>70.666666666666671</v>
      </c>
      <c r="P218" t="str">
        <f t="shared" si="6"/>
        <v>C</v>
      </c>
      <c r="Q218" t="str">
        <f t="shared" si="7"/>
        <v>Hayır</v>
      </c>
    </row>
    <row r="219" spans="1:17" x14ac:dyDescent="0.3">
      <c r="A219">
        <v>218</v>
      </c>
      <c r="B219">
        <v>14</v>
      </c>
      <c r="C219" t="s">
        <v>659</v>
      </c>
      <c r="D219" t="s">
        <v>663</v>
      </c>
      <c r="E219" t="s">
        <v>666</v>
      </c>
      <c r="F219">
        <v>1</v>
      </c>
      <c r="G219">
        <v>71</v>
      </c>
      <c r="H219" t="s">
        <v>674</v>
      </c>
      <c r="I219">
        <v>10</v>
      </c>
      <c r="J219" t="s">
        <v>675</v>
      </c>
      <c r="K219" t="s">
        <v>678</v>
      </c>
      <c r="L219">
        <v>49</v>
      </c>
      <c r="M219">
        <v>64</v>
      </c>
      <c r="N219">
        <v>70</v>
      </c>
      <c r="O219" s="5">
        <v>61</v>
      </c>
      <c r="P219" t="str">
        <f t="shared" si="6"/>
        <v>C</v>
      </c>
      <c r="Q219" t="str">
        <f t="shared" si="7"/>
        <v>Evet</v>
      </c>
    </row>
    <row r="220" spans="1:17" x14ac:dyDescent="0.3">
      <c r="A220">
        <v>219</v>
      </c>
      <c r="B220">
        <v>16</v>
      </c>
      <c r="C220" t="s">
        <v>661</v>
      </c>
      <c r="D220" t="s">
        <v>664</v>
      </c>
      <c r="E220" t="s">
        <v>666</v>
      </c>
      <c r="F220">
        <v>6</v>
      </c>
      <c r="G220">
        <v>87</v>
      </c>
      <c r="H220" t="s">
        <v>675</v>
      </c>
      <c r="I220">
        <v>45</v>
      </c>
      <c r="J220" t="s">
        <v>675</v>
      </c>
      <c r="K220" t="s">
        <v>678</v>
      </c>
      <c r="L220">
        <v>56</v>
      </c>
      <c r="M220">
        <v>45</v>
      </c>
      <c r="N220">
        <v>66</v>
      </c>
      <c r="O220" s="4">
        <v>55.666666666666664</v>
      </c>
      <c r="P220" t="str">
        <f t="shared" si="6"/>
        <v>D</v>
      </c>
      <c r="Q220" t="str">
        <f t="shared" si="7"/>
        <v>Hayır</v>
      </c>
    </row>
    <row r="221" spans="1:17" x14ac:dyDescent="0.3">
      <c r="A221">
        <v>220</v>
      </c>
      <c r="B221">
        <v>19</v>
      </c>
      <c r="C221" t="s">
        <v>661</v>
      </c>
      <c r="D221" t="s">
        <v>664</v>
      </c>
      <c r="E221" t="s">
        <v>667</v>
      </c>
      <c r="F221">
        <v>4</v>
      </c>
      <c r="G221">
        <v>53</v>
      </c>
      <c r="H221" t="s">
        <v>674</v>
      </c>
      <c r="I221">
        <v>20</v>
      </c>
      <c r="J221" t="s">
        <v>675</v>
      </c>
      <c r="K221" t="s">
        <v>678</v>
      </c>
      <c r="L221">
        <v>46</v>
      </c>
      <c r="M221">
        <v>33</v>
      </c>
      <c r="N221">
        <v>92</v>
      </c>
      <c r="O221">
        <v>57</v>
      </c>
      <c r="P221" t="str">
        <f t="shared" si="6"/>
        <v>D</v>
      </c>
      <c r="Q221" t="str">
        <f t="shared" si="7"/>
        <v>Evet</v>
      </c>
    </row>
    <row r="222" spans="1:17" x14ac:dyDescent="0.3">
      <c r="A222">
        <v>221</v>
      </c>
      <c r="B222">
        <v>14</v>
      </c>
      <c r="C222" t="s">
        <v>660</v>
      </c>
      <c r="D222" t="s">
        <v>664</v>
      </c>
      <c r="E222" t="s">
        <v>668</v>
      </c>
      <c r="F222">
        <v>6</v>
      </c>
      <c r="G222">
        <v>51</v>
      </c>
      <c r="H222" t="s">
        <v>674</v>
      </c>
      <c r="I222">
        <v>20</v>
      </c>
      <c r="J222" t="s">
        <v>675</v>
      </c>
      <c r="K222" t="s">
        <v>681</v>
      </c>
      <c r="L222">
        <v>92</v>
      </c>
      <c r="M222">
        <v>57</v>
      </c>
      <c r="N222">
        <v>87</v>
      </c>
      <c r="O222" s="4">
        <v>78.666666666666671</v>
      </c>
      <c r="P222" t="str">
        <f t="shared" si="6"/>
        <v>C</v>
      </c>
      <c r="Q222" t="str">
        <f t="shared" si="7"/>
        <v>Hayır</v>
      </c>
    </row>
    <row r="223" spans="1:17" x14ac:dyDescent="0.3">
      <c r="A223">
        <v>222</v>
      </c>
      <c r="B223">
        <v>16</v>
      </c>
      <c r="C223" t="s">
        <v>661</v>
      </c>
      <c r="D223" t="s">
        <v>663</v>
      </c>
      <c r="E223" t="s">
        <v>666</v>
      </c>
      <c r="F223">
        <v>7</v>
      </c>
      <c r="G223">
        <v>65</v>
      </c>
      <c r="H223" t="s">
        <v>674</v>
      </c>
      <c r="I223">
        <v>20</v>
      </c>
      <c r="J223" t="s">
        <v>674</v>
      </c>
      <c r="K223" t="s">
        <v>677</v>
      </c>
      <c r="L223">
        <v>33</v>
      </c>
      <c r="M223">
        <v>54</v>
      </c>
      <c r="N223">
        <v>43</v>
      </c>
      <c r="O223" s="4">
        <v>43.333333333333336</v>
      </c>
      <c r="P223" t="str">
        <f t="shared" si="6"/>
        <v>D</v>
      </c>
      <c r="Q223" t="str">
        <f t="shared" si="7"/>
        <v>Evet</v>
      </c>
    </row>
    <row r="224" spans="1:17" x14ac:dyDescent="0.3">
      <c r="A224">
        <v>223</v>
      </c>
      <c r="B224">
        <v>18</v>
      </c>
      <c r="C224" t="s">
        <v>659</v>
      </c>
      <c r="D224" t="s">
        <v>664</v>
      </c>
      <c r="E224" t="s">
        <v>667</v>
      </c>
      <c r="F224">
        <v>3</v>
      </c>
      <c r="G224">
        <v>94</v>
      </c>
      <c r="H224" t="s">
        <v>674</v>
      </c>
      <c r="I224">
        <v>10</v>
      </c>
      <c r="J224" t="s">
        <v>675</v>
      </c>
      <c r="K224" t="s">
        <v>677</v>
      </c>
      <c r="L224">
        <v>47</v>
      </c>
      <c r="M224">
        <v>71</v>
      </c>
      <c r="N224">
        <v>64</v>
      </c>
      <c r="O224" s="4">
        <v>60.666666666666664</v>
      </c>
      <c r="P224" t="str">
        <f t="shared" si="6"/>
        <v>C</v>
      </c>
      <c r="Q224" t="str">
        <f t="shared" si="7"/>
        <v>Evet</v>
      </c>
    </row>
    <row r="225" spans="1:17" x14ac:dyDescent="0.3">
      <c r="A225">
        <v>224</v>
      </c>
      <c r="B225">
        <v>15</v>
      </c>
      <c r="C225" t="s">
        <v>661</v>
      </c>
      <c r="D225" t="s">
        <v>663</v>
      </c>
      <c r="E225" t="s">
        <v>668</v>
      </c>
      <c r="F225">
        <v>5</v>
      </c>
      <c r="G225">
        <v>84</v>
      </c>
      <c r="H225" t="s">
        <v>674</v>
      </c>
      <c r="I225">
        <v>75</v>
      </c>
      <c r="J225" t="s">
        <v>675</v>
      </c>
      <c r="K225" t="s">
        <v>680</v>
      </c>
      <c r="L225">
        <v>90</v>
      </c>
      <c r="M225">
        <v>30</v>
      </c>
      <c r="N225">
        <v>100</v>
      </c>
      <c r="O225" s="4">
        <v>73.333333333333329</v>
      </c>
      <c r="P225" t="str">
        <f t="shared" si="6"/>
        <v>C</v>
      </c>
      <c r="Q225" t="str">
        <f t="shared" si="7"/>
        <v>Hayır</v>
      </c>
    </row>
    <row r="226" spans="1:17" x14ac:dyDescent="0.3">
      <c r="A226">
        <v>225</v>
      </c>
      <c r="B226">
        <v>18</v>
      </c>
      <c r="C226" t="s">
        <v>659</v>
      </c>
      <c r="D226" t="s">
        <v>664</v>
      </c>
      <c r="E226" t="s">
        <v>665</v>
      </c>
      <c r="F226">
        <v>4</v>
      </c>
      <c r="G226">
        <v>81</v>
      </c>
      <c r="H226" t="s">
        <v>674</v>
      </c>
      <c r="I226">
        <v>20</v>
      </c>
      <c r="J226" t="s">
        <v>674</v>
      </c>
      <c r="K226" t="s">
        <v>678</v>
      </c>
      <c r="L226">
        <v>53</v>
      </c>
      <c r="M226">
        <v>38</v>
      </c>
      <c r="N226">
        <v>43</v>
      </c>
      <c r="O226" s="4">
        <v>44.666666666666664</v>
      </c>
      <c r="P226" t="str">
        <f t="shared" si="6"/>
        <v>D</v>
      </c>
      <c r="Q226" t="str">
        <f t="shared" si="7"/>
        <v>Hayır</v>
      </c>
    </row>
    <row r="227" spans="1:17" x14ac:dyDescent="0.3">
      <c r="A227">
        <v>226</v>
      </c>
      <c r="B227">
        <v>15</v>
      </c>
      <c r="C227" t="s">
        <v>661</v>
      </c>
      <c r="D227" t="s">
        <v>664</v>
      </c>
      <c r="E227" t="s">
        <v>669</v>
      </c>
      <c r="F227">
        <v>2</v>
      </c>
      <c r="G227">
        <v>100</v>
      </c>
      <c r="H227" t="s">
        <v>674</v>
      </c>
      <c r="I227">
        <v>75</v>
      </c>
      <c r="J227" t="s">
        <v>674</v>
      </c>
      <c r="K227" t="s">
        <v>107</v>
      </c>
      <c r="L227">
        <v>47</v>
      </c>
      <c r="M227">
        <v>41</v>
      </c>
      <c r="N227">
        <v>65</v>
      </c>
      <c r="O227">
        <v>51</v>
      </c>
      <c r="P227" t="str">
        <f t="shared" si="6"/>
        <v>D</v>
      </c>
      <c r="Q227" t="str">
        <f t="shared" si="7"/>
        <v>Evet</v>
      </c>
    </row>
    <row r="228" spans="1:17" x14ac:dyDescent="0.3">
      <c r="A228">
        <v>227</v>
      </c>
      <c r="B228">
        <v>18</v>
      </c>
      <c r="C228" t="s">
        <v>660</v>
      </c>
      <c r="D228" t="s">
        <v>664</v>
      </c>
      <c r="E228" t="s">
        <v>670</v>
      </c>
      <c r="F228">
        <v>3</v>
      </c>
      <c r="G228">
        <v>67</v>
      </c>
      <c r="H228" t="s">
        <v>674</v>
      </c>
      <c r="I228">
        <v>45</v>
      </c>
      <c r="J228" t="s">
        <v>675</v>
      </c>
      <c r="K228" t="s">
        <v>679</v>
      </c>
      <c r="L228">
        <v>86</v>
      </c>
      <c r="M228">
        <v>20</v>
      </c>
      <c r="N228">
        <v>94</v>
      </c>
      <c r="O228" s="4">
        <v>66.666666666666671</v>
      </c>
      <c r="P228" t="str">
        <f t="shared" si="6"/>
        <v>C</v>
      </c>
      <c r="Q228" t="str">
        <f t="shared" si="7"/>
        <v>Hayır</v>
      </c>
    </row>
    <row r="229" spans="1:17" x14ac:dyDescent="0.3">
      <c r="A229">
        <v>228</v>
      </c>
      <c r="B229">
        <v>17</v>
      </c>
      <c r="C229" t="s">
        <v>660</v>
      </c>
      <c r="D229" t="s">
        <v>664</v>
      </c>
      <c r="E229" t="s">
        <v>670</v>
      </c>
      <c r="F229">
        <v>6</v>
      </c>
      <c r="G229">
        <v>93</v>
      </c>
      <c r="H229" t="s">
        <v>675</v>
      </c>
      <c r="I229">
        <v>10</v>
      </c>
      <c r="J229" t="s">
        <v>675</v>
      </c>
      <c r="K229" t="s">
        <v>677</v>
      </c>
      <c r="L229">
        <v>94</v>
      </c>
      <c r="M229">
        <v>24</v>
      </c>
      <c r="N229">
        <v>65</v>
      </c>
      <c r="O229">
        <v>61</v>
      </c>
      <c r="P229" t="str">
        <f t="shared" si="6"/>
        <v>C</v>
      </c>
      <c r="Q229" t="str">
        <f t="shared" si="7"/>
        <v>Hayır</v>
      </c>
    </row>
    <row r="230" spans="1:17" x14ac:dyDescent="0.3">
      <c r="A230">
        <v>229</v>
      </c>
      <c r="B230">
        <v>17</v>
      </c>
      <c r="C230" t="s">
        <v>659</v>
      </c>
      <c r="D230" t="s">
        <v>664</v>
      </c>
      <c r="E230" t="s">
        <v>668</v>
      </c>
      <c r="F230">
        <v>7</v>
      </c>
      <c r="G230">
        <v>56</v>
      </c>
      <c r="H230" t="s">
        <v>675</v>
      </c>
      <c r="I230">
        <v>20</v>
      </c>
      <c r="J230" t="s">
        <v>675</v>
      </c>
      <c r="K230" t="s">
        <v>678</v>
      </c>
      <c r="L230">
        <v>82</v>
      </c>
      <c r="M230">
        <v>63</v>
      </c>
      <c r="N230">
        <v>67</v>
      </c>
      <c r="O230" s="4">
        <v>70.666666666666671</v>
      </c>
      <c r="P230" t="str">
        <f t="shared" si="6"/>
        <v>C</v>
      </c>
      <c r="Q230" t="str">
        <f t="shared" si="7"/>
        <v>Hayır</v>
      </c>
    </row>
    <row r="231" spans="1:17" x14ac:dyDescent="0.3">
      <c r="A231">
        <v>230</v>
      </c>
      <c r="B231">
        <v>15</v>
      </c>
      <c r="C231" t="s">
        <v>660</v>
      </c>
      <c r="D231" t="s">
        <v>663</v>
      </c>
      <c r="E231" t="s">
        <v>665</v>
      </c>
      <c r="F231">
        <v>7</v>
      </c>
      <c r="G231">
        <v>59</v>
      </c>
      <c r="H231" t="s">
        <v>674</v>
      </c>
      <c r="I231">
        <v>75</v>
      </c>
      <c r="J231" t="s">
        <v>674</v>
      </c>
      <c r="K231" t="s">
        <v>681</v>
      </c>
      <c r="L231">
        <v>94</v>
      </c>
      <c r="M231">
        <v>45</v>
      </c>
      <c r="N231">
        <v>83</v>
      </c>
      <c r="O231">
        <v>74</v>
      </c>
      <c r="P231" t="str">
        <f t="shared" si="6"/>
        <v>C</v>
      </c>
      <c r="Q231" t="str">
        <f t="shared" si="7"/>
        <v>Hayır</v>
      </c>
    </row>
    <row r="232" spans="1:17" x14ac:dyDescent="0.3">
      <c r="A232">
        <v>231</v>
      </c>
      <c r="B232">
        <v>16</v>
      </c>
      <c r="C232" t="s">
        <v>661</v>
      </c>
      <c r="D232" t="s">
        <v>664</v>
      </c>
      <c r="E232" t="s">
        <v>669</v>
      </c>
      <c r="F232">
        <v>7</v>
      </c>
      <c r="G232">
        <v>74</v>
      </c>
      <c r="H232" t="s">
        <v>674</v>
      </c>
      <c r="I232">
        <v>10</v>
      </c>
      <c r="J232" t="s">
        <v>675</v>
      </c>
      <c r="K232" t="s">
        <v>681</v>
      </c>
      <c r="L232">
        <v>53</v>
      </c>
      <c r="M232">
        <v>82</v>
      </c>
      <c r="N232">
        <v>80</v>
      </c>
      <c r="O232" s="4">
        <v>71.666666666666671</v>
      </c>
      <c r="P232" t="str">
        <f t="shared" si="6"/>
        <v>C</v>
      </c>
      <c r="Q232" t="str">
        <f t="shared" si="7"/>
        <v>Evet</v>
      </c>
    </row>
    <row r="233" spans="1:17" x14ac:dyDescent="0.3">
      <c r="A233">
        <v>232</v>
      </c>
      <c r="B233">
        <v>19</v>
      </c>
      <c r="C233" t="s">
        <v>661</v>
      </c>
      <c r="D233" t="s">
        <v>664</v>
      </c>
      <c r="E233" t="s">
        <v>665</v>
      </c>
      <c r="F233">
        <v>2</v>
      </c>
      <c r="G233">
        <v>98</v>
      </c>
      <c r="H233" t="s">
        <v>674</v>
      </c>
      <c r="I233">
        <v>10</v>
      </c>
      <c r="J233" t="s">
        <v>675</v>
      </c>
      <c r="K233" t="s">
        <v>679</v>
      </c>
      <c r="L233">
        <v>98</v>
      </c>
      <c r="M233">
        <v>41</v>
      </c>
      <c r="N233">
        <v>93</v>
      </c>
      <c r="O233" s="4">
        <v>77.333333333333329</v>
      </c>
      <c r="P233" t="str">
        <f t="shared" si="6"/>
        <v>C</v>
      </c>
      <c r="Q233" t="str">
        <f t="shared" si="7"/>
        <v>Hayır</v>
      </c>
    </row>
    <row r="234" spans="1:17" x14ac:dyDescent="0.3">
      <c r="A234">
        <v>233</v>
      </c>
      <c r="B234">
        <v>14</v>
      </c>
      <c r="C234" t="s">
        <v>660</v>
      </c>
      <c r="D234" t="s">
        <v>663</v>
      </c>
      <c r="E234" t="s">
        <v>668</v>
      </c>
      <c r="F234">
        <v>1</v>
      </c>
      <c r="G234">
        <v>85</v>
      </c>
      <c r="H234" t="s">
        <v>674</v>
      </c>
      <c r="I234">
        <v>45</v>
      </c>
      <c r="J234" t="s">
        <v>674</v>
      </c>
      <c r="K234" t="s">
        <v>678</v>
      </c>
      <c r="L234">
        <v>51</v>
      </c>
      <c r="M234">
        <v>36</v>
      </c>
      <c r="N234">
        <v>49</v>
      </c>
      <c r="O234" s="4">
        <v>45.333333333333336</v>
      </c>
      <c r="P234" t="str">
        <f t="shared" si="6"/>
        <v>D</v>
      </c>
      <c r="Q234" t="str">
        <f t="shared" si="7"/>
        <v>Hayır</v>
      </c>
    </row>
    <row r="235" spans="1:17" x14ac:dyDescent="0.3">
      <c r="A235">
        <v>234</v>
      </c>
      <c r="B235">
        <v>18</v>
      </c>
      <c r="C235" t="s">
        <v>659</v>
      </c>
      <c r="D235" t="s">
        <v>663</v>
      </c>
      <c r="E235" t="s">
        <v>669</v>
      </c>
      <c r="F235">
        <v>1</v>
      </c>
      <c r="G235">
        <v>56</v>
      </c>
      <c r="H235" t="s">
        <v>674</v>
      </c>
      <c r="I235">
        <v>20</v>
      </c>
      <c r="J235" t="s">
        <v>675</v>
      </c>
      <c r="K235" t="s">
        <v>678</v>
      </c>
      <c r="L235">
        <v>76</v>
      </c>
      <c r="M235">
        <v>51</v>
      </c>
      <c r="N235">
        <v>44</v>
      </c>
      <c r="O235">
        <v>57</v>
      </c>
      <c r="P235" t="str">
        <f t="shared" si="6"/>
        <v>D</v>
      </c>
      <c r="Q235" t="str">
        <f t="shared" si="7"/>
        <v>Hayır</v>
      </c>
    </row>
    <row r="236" spans="1:17" x14ac:dyDescent="0.3">
      <c r="A236">
        <v>235</v>
      </c>
      <c r="B236">
        <v>16</v>
      </c>
      <c r="C236" t="s">
        <v>660</v>
      </c>
      <c r="D236" t="s">
        <v>664</v>
      </c>
      <c r="E236" t="s">
        <v>666</v>
      </c>
      <c r="F236">
        <v>6</v>
      </c>
      <c r="G236">
        <v>98</v>
      </c>
      <c r="H236" t="s">
        <v>674</v>
      </c>
      <c r="I236">
        <v>45</v>
      </c>
      <c r="J236" t="s">
        <v>674</v>
      </c>
      <c r="K236" t="s">
        <v>681</v>
      </c>
      <c r="L236">
        <v>37</v>
      </c>
      <c r="M236">
        <v>31</v>
      </c>
      <c r="N236">
        <v>47</v>
      </c>
      <c r="O236" s="4">
        <v>38.333333333333336</v>
      </c>
      <c r="P236" t="str">
        <f t="shared" si="6"/>
        <v>F</v>
      </c>
      <c r="Q236" t="str">
        <f t="shared" si="7"/>
        <v>Evet</v>
      </c>
    </row>
    <row r="237" spans="1:17" x14ac:dyDescent="0.3">
      <c r="A237">
        <v>236</v>
      </c>
      <c r="B237">
        <v>18</v>
      </c>
      <c r="C237" t="s">
        <v>661</v>
      </c>
      <c r="D237" t="s">
        <v>664</v>
      </c>
      <c r="E237" t="s">
        <v>669</v>
      </c>
      <c r="F237">
        <v>3</v>
      </c>
      <c r="G237">
        <v>88</v>
      </c>
      <c r="H237" t="s">
        <v>674</v>
      </c>
      <c r="I237">
        <v>75</v>
      </c>
      <c r="J237" t="s">
        <v>675</v>
      </c>
      <c r="K237" t="s">
        <v>681</v>
      </c>
      <c r="L237">
        <v>50</v>
      </c>
      <c r="M237">
        <v>47</v>
      </c>
      <c r="N237">
        <v>77</v>
      </c>
      <c r="O237">
        <v>58</v>
      </c>
      <c r="P237" t="str">
        <f t="shared" si="6"/>
        <v>D</v>
      </c>
      <c r="Q237" t="str">
        <f t="shared" si="7"/>
        <v>Evet</v>
      </c>
    </row>
    <row r="238" spans="1:17" x14ac:dyDescent="0.3">
      <c r="A238">
        <v>237</v>
      </c>
      <c r="B238">
        <v>17</v>
      </c>
      <c r="C238" t="s">
        <v>659</v>
      </c>
      <c r="D238" t="s">
        <v>664</v>
      </c>
      <c r="E238" t="s">
        <v>666</v>
      </c>
      <c r="F238">
        <v>3</v>
      </c>
      <c r="G238">
        <v>87</v>
      </c>
      <c r="H238" t="s">
        <v>675</v>
      </c>
      <c r="I238">
        <v>45</v>
      </c>
      <c r="J238" t="s">
        <v>675</v>
      </c>
      <c r="K238" t="s">
        <v>677</v>
      </c>
      <c r="L238">
        <v>68</v>
      </c>
      <c r="M238">
        <v>48</v>
      </c>
      <c r="N238">
        <v>55</v>
      </c>
      <c r="O238">
        <v>57</v>
      </c>
      <c r="P238" t="str">
        <f t="shared" si="6"/>
        <v>D</v>
      </c>
      <c r="Q238" t="str">
        <f t="shared" si="7"/>
        <v>Hayır</v>
      </c>
    </row>
    <row r="239" spans="1:17" x14ac:dyDescent="0.3">
      <c r="A239">
        <v>238</v>
      </c>
      <c r="B239">
        <v>16</v>
      </c>
      <c r="C239" t="s">
        <v>661</v>
      </c>
      <c r="D239" t="s">
        <v>663</v>
      </c>
      <c r="E239" t="s">
        <v>668</v>
      </c>
      <c r="F239">
        <v>2</v>
      </c>
      <c r="G239">
        <v>78</v>
      </c>
      <c r="H239" t="s">
        <v>674</v>
      </c>
      <c r="I239">
        <v>20</v>
      </c>
      <c r="J239" t="s">
        <v>675</v>
      </c>
      <c r="K239" t="s">
        <v>680</v>
      </c>
      <c r="L239">
        <v>74</v>
      </c>
      <c r="M239">
        <v>72</v>
      </c>
      <c r="N239">
        <v>50</v>
      </c>
      <c r="O239" s="4">
        <v>65.333333333333329</v>
      </c>
      <c r="P239" t="str">
        <f t="shared" si="6"/>
        <v>C</v>
      </c>
      <c r="Q239" t="str">
        <f t="shared" si="7"/>
        <v>Hayır</v>
      </c>
    </row>
    <row r="240" spans="1:17" x14ac:dyDescent="0.3">
      <c r="A240">
        <v>239</v>
      </c>
      <c r="B240">
        <v>15</v>
      </c>
      <c r="C240" t="s">
        <v>661</v>
      </c>
      <c r="D240" t="s">
        <v>663</v>
      </c>
      <c r="E240" t="s">
        <v>668</v>
      </c>
      <c r="F240">
        <v>6</v>
      </c>
      <c r="G240">
        <v>70</v>
      </c>
      <c r="H240" t="s">
        <v>674</v>
      </c>
      <c r="I240">
        <v>75</v>
      </c>
      <c r="J240" t="s">
        <v>675</v>
      </c>
      <c r="K240" t="s">
        <v>680</v>
      </c>
      <c r="L240">
        <v>63</v>
      </c>
      <c r="M240">
        <v>87</v>
      </c>
      <c r="N240">
        <v>61</v>
      </c>
      <c r="O240" s="4">
        <v>70.333333333333329</v>
      </c>
      <c r="P240" t="str">
        <f t="shared" si="6"/>
        <v>C</v>
      </c>
      <c r="Q240" t="str">
        <f t="shared" si="7"/>
        <v>Evet</v>
      </c>
    </row>
    <row r="241" spans="1:17" x14ac:dyDescent="0.3">
      <c r="A241">
        <v>240</v>
      </c>
      <c r="B241">
        <v>17</v>
      </c>
      <c r="C241" t="s">
        <v>661</v>
      </c>
      <c r="D241" t="s">
        <v>663</v>
      </c>
      <c r="E241" t="s">
        <v>666</v>
      </c>
      <c r="F241">
        <v>4</v>
      </c>
      <c r="G241">
        <v>56</v>
      </c>
      <c r="H241" t="s">
        <v>674</v>
      </c>
      <c r="I241">
        <v>10</v>
      </c>
      <c r="J241" t="s">
        <v>674</v>
      </c>
      <c r="K241" t="s">
        <v>679</v>
      </c>
      <c r="L241">
        <v>59</v>
      </c>
      <c r="M241">
        <v>73</v>
      </c>
      <c r="N241">
        <v>49</v>
      </c>
      <c r="O241" s="4">
        <v>60.333333333333336</v>
      </c>
      <c r="P241" t="str">
        <f t="shared" si="6"/>
        <v>C</v>
      </c>
      <c r="Q241" t="str">
        <f t="shared" si="7"/>
        <v>Evet</v>
      </c>
    </row>
    <row r="242" spans="1:17" x14ac:dyDescent="0.3">
      <c r="A242">
        <v>241</v>
      </c>
      <c r="B242">
        <v>14</v>
      </c>
      <c r="C242" t="s">
        <v>660</v>
      </c>
      <c r="D242" t="s">
        <v>663</v>
      </c>
      <c r="E242" t="s">
        <v>669</v>
      </c>
      <c r="F242">
        <v>6</v>
      </c>
      <c r="G242">
        <v>81</v>
      </c>
      <c r="H242" t="s">
        <v>674</v>
      </c>
      <c r="I242">
        <v>75</v>
      </c>
      <c r="J242" t="s">
        <v>675</v>
      </c>
      <c r="K242" t="s">
        <v>107</v>
      </c>
      <c r="L242">
        <v>38</v>
      </c>
      <c r="M242">
        <v>21</v>
      </c>
      <c r="N242">
        <v>95</v>
      </c>
      <c r="O242" s="4">
        <v>51.333333333333336</v>
      </c>
      <c r="P242" t="str">
        <f t="shared" si="6"/>
        <v>D</v>
      </c>
      <c r="Q242" t="str">
        <f t="shared" si="7"/>
        <v>Evet</v>
      </c>
    </row>
    <row r="243" spans="1:17" x14ac:dyDescent="0.3">
      <c r="A243">
        <v>242</v>
      </c>
      <c r="B243">
        <v>17</v>
      </c>
      <c r="C243" t="s">
        <v>659</v>
      </c>
      <c r="D243" t="s">
        <v>663</v>
      </c>
      <c r="E243" t="s">
        <v>666</v>
      </c>
      <c r="F243">
        <v>1</v>
      </c>
      <c r="G243">
        <v>56</v>
      </c>
      <c r="H243" t="s">
        <v>674</v>
      </c>
      <c r="I243">
        <v>10</v>
      </c>
      <c r="J243" t="s">
        <v>674</v>
      </c>
      <c r="K243" t="s">
        <v>681</v>
      </c>
      <c r="L243">
        <v>81</v>
      </c>
      <c r="M243">
        <v>47</v>
      </c>
      <c r="N243">
        <v>77</v>
      </c>
      <c r="O243" s="4">
        <v>68.333333333333329</v>
      </c>
      <c r="P243" t="str">
        <f t="shared" si="6"/>
        <v>C</v>
      </c>
      <c r="Q243" t="str">
        <f t="shared" si="7"/>
        <v>Hayır</v>
      </c>
    </row>
    <row r="244" spans="1:17" x14ac:dyDescent="0.3">
      <c r="A244">
        <v>243</v>
      </c>
      <c r="B244">
        <v>14</v>
      </c>
      <c r="C244" t="s">
        <v>659</v>
      </c>
      <c r="D244" t="s">
        <v>663</v>
      </c>
      <c r="E244" t="s">
        <v>669</v>
      </c>
      <c r="F244">
        <v>3</v>
      </c>
      <c r="G244">
        <v>80</v>
      </c>
      <c r="H244" t="s">
        <v>675</v>
      </c>
      <c r="I244">
        <v>10</v>
      </c>
      <c r="J244" t="s">
        <v>675</v>
      </c>
      <c r="K244" t="s">
        <v>107</v>
      </c>
      <c r="L244">
        <v>68</v>
      </c>
      <c r="M244">
        <v>51</v>
      </c>
      <c r="N244">
        <v>90</v>
      </c>
      <c r="O244" s="4">
        <v>69.666666666666671</v>
      </c>
      <c r="P244" t="str">
        <f t="shared" si="6"/>
        <v>C</v>
      </c>
      <c r="Q244" t="str">
        <f t="shared" si="7"/>
        <v>Evet</v>
      </c>
    </row>
    <row r="245" spans="1:17" x14ac:dyDescent="0.3">
      <c r="A245">
        <v>244</v>
      </c>
      <c r="B245">
        <v>17</v>
      </c>
      <c r="C245" t="s">
        <v>661</v>
      </c>
      <c r="D245" t="s">
        <v>664</v>
      </c>
      <c r="E245" t="s">
        <v>668</v>
      </c>
      <c r="F245">
        <v>2</v>
      </c>
      <c r="G245">
        <v>77</v>
      </c>
      <c r="H245" t="s">
        <v>674</v>
      </c>
      <c r="I245">
        <v>20</v>
      </c>
      <c r="J245" t="s">
        <v>675</v>
      </c>
      <c r="K245" t="s">
        <v>677</v>
      </c>
      <c r="L245">
        <v>96</v>
      </c>
      <c r="M245">
        <v>32</v>
      </c>
      <c r="N245">
        <v>86</v>
      </c>
      <c r="O245" s="4">
        <v>71.333333333333329</v>
      </c>
      <c r="P245" t="str">
        <f t="shared" si="6"/>
        <v>C</v>
      </c>
      <c r="Q245" t="str">
        <f t="shared" si="7"/>
        <v>Hayır</v>
      </c>
    </row>
    <row r="246" spans="1:17" x14ac:dyDescent="0.3">
      <c r="A246">
        <v>245</v>
      </c>
      <c r="B246">
        <v>17</v>
      </c>
      <c r="C246" t="s">
        <v>660</v>
      </c>
      <c r="D246" t="s">
        <v>663</v>
      </c>
      <c r="E246" t="s">
        <v>665</v>
      </c>
      <c r="F246">
        <v>4</v>
      </c>
      <c r="G246">
        <v>80</v>
      </c>
      <c r="H246" t="s">
        <v>675</v>
      </c>
      <c r="I246">
        <v>10</v>
      </c>
      <c r="J246" t="s">
        <v>674</v>
      </c>
      <c r="K246" t="s">
        <v>681</v>
      </c>
      <c r="L246">
        <v>79</v>
      </c>
      <c r="M246">
        <v>66</v>
      </c>
      <c r="N246">
        <v>46</v>
      </c>
      <c r="O246" s="4">
        <v>63.666666666666664</v>
      </c>
      <c r="P246" t="str">
        <f t="shared" si="6"/>
        <v>C</v>
      </c>
      <c r="Q246" t="str">
        <f t="shared" si="7"/>
        <v>Hayır</v>
      </c>
    </row>
    <row r="247" spans="1:17" x14ac:dyDescent="0.3">
      <c r="A247">
        <v>246</v>
      </c>
      <c r="B247">
        <v>14</v>
      </c>
      <c r="C247" t="s">
        <v>659</v>
      </c>
      <c r="D247" t="s">
        <v>663</v>
      </c>
      <c r="E247" t="s">
        <v>668</v>
      </c>
      <c r="F247">
        <v>5</v>
      </c>
      <c r="G247">
        <v>91</v>
      </c>
      <c r="H247" t="s">
        <v>674</v>
      </c>
      <c r="I247">
        <v>75</v>
      </c>
      <c r="J247" t="s">
        <v>674</v>
      </c>
      <c r="K247" t="s">
        <v>680</v>
      </c>
      <c r="L247">
        <v>52</v>
      </c>
      <c r="M247">
        <v>42</v>
      </c>
      <c r="N247">
        <v>64</v>
      </c>
      <c r="O247" s="4">
        <v>52.666666666666664</v>
      </c>
      <c r="P247" t="str">
        <f t="shared" si="6"/>
        <v>D</v>
      </c>
      <c r="Q247" t="str">
        <f t="shared" si="7"/>
        <v>Evet</v>
      </c>
    </row>
    <row r="248" spans="1:17" x14ac:dyDescent="0.3">
      <c r="A248">
        <v>247</v>
      </c>
      <c r="B248">
        <v>18</v>
      </c>
      <c r="C248" t="s">
        <v>661</v>
      </c>
      <c r="D248" t="s">
        <v>663</v>
      </c>
      <c r="E248" t="s">
        <v>665</v>
      </c>
      <c r="F248">
        <v>1</v>
      </c>
      <c r="G248">
        <v>71</v>
      </c>
      <c r="H248" t="s">
        <v>674</v>
      </c>
      <c r="I248">
        <v>45</v>
      </c>
      <c r="J248" t="s">
        <v>675</v>
      </c>
      <c r="K248" t="s">
        <v>677</v>
      </c>
      <c r="L248">
        <v>70</v>
      </c>
      <c r="M248">
        <v>46</v>
      </c>
      <c r="N248">
        <v>59</v>
      </c>
      <c r="O248" s="4">
        <v>58.333333333333336</v>
      </c>
      <c r="P248" t="str">
        <f t="shared" si="6"/>
        <v>D</v>
      </c>
      <c r="Q248" t="str">
        <f t="shared" si="7"/>
        <v>Hayır</v>
      </c>
    </row>
    <row r="249" spans="1:17" x14ac:dyDescent="0.3">
      <c r="A249">
        <v>248</v>
      </c>
      <c r="B249">
        <v>16</v>
      </c>
      <c r="C249" t="s">
        <v>659</v>
      </c>
      <c r="D249" t="s">
        <v>664</v>
      </c>
      <c r="E249" t="s">
        <v>668</v>
      </c>
      <c r="F249">
        <v>4</v>
      </c>
      <c r="G249">
        <v>72</v>
      </c>
      <c r="H249" t="s">
        <v>674</v>
      </c>
      <c r="I249">
        <v>10</v>
      </c>
      <c r="J249" t="s">
        <v>675</v>
      </c>
      <c r="K249" t="s">
        <v>107</v>
      </c>
      <c r="L249">
        <v>98</v>
      </c>
      <c r="M249">
        <v>20</v>
      </c>
      <c r="N249">
        <v>76</v>
      </c>
      <c r="O249" s="4">
        <v>64.666666666666671</v>
      </c>
      <c r="P249" t="str">
        <f t="shared" si="6"/>
        <v>C</v>
      </c>
      <c r="Q249" t="str">
        <f t="shared" si="7"/>
        <v>Hayır</v>
      </c>
    </row>
    <row r="250" spans="1:17" x14ac:dyDescent="0.3">
      <c r="A250">
        <v>249</v>
      </c>
      <c r="B250">
        <v>18</v>
      </c>
      <c r="C250" t="s">
        <v>661</v>
      </c>
      <c r="D250" t="s">
        <v>664</v>
      </c>
      <c r="E250" t="s">
        <v>670</v>
      </c>
      <c r="F250">
        <v>4</v>
      </c>
      <c r="G250">
        <v>53</v>
      </c>
      <c r="H250" t="s">
        <v>674</v>
      </c>
      <c r="I250">
        <v>45</v>
      </c>
      <c r="J250" t="s">
        <v>675</v>
      </c>
      <c r="K250" t="s">
        <v>680</v>
      </c>
      <c r="L250">
        <v>41</v>
      </c>
      <c r="M250">
        <v>78</v>
      </c>
      <c r="N250">
        <v>79</v>
      </c>
      <c r="O250" s="5">
        <v>66</v>
      </c>
      <c r="P250" t="str">
        <f t="shared" si="6"/>
        <v>C</v>
      </c>
      <c r="Q250" t="str">
        <f t="shared" si="7"/>
        <v>Evet</v>
      </c>
    </row>
    <row r="251" spans="1:17" x14ac:dyDescent="0.3">
      <c r="A251">
        <v>250</v>
      </c>
      <c r="B251">
        <v>14</v>
      </c>
      <c r="C251" t="s">
        <v>660</v>
      </c>
      <c r="D251" t="s">
        <v>663</v>
      </c>
      <c r="E251" t="s">
        <v>667</v>
      </c>
      <c r="F251">
        <v>3</v>
      </c>
      <c r="G251">
        <v>64</v>
      </c>
      <c r="H251" t="s">
        <v>674</v>
      </c>
      <c r="I251">
        <v>10</v>
      </c>
      <c r="J251" t="s">
        <v>675</v>
      </c>
      <c r="K251" t="s">
        <v>677</v>
      </c>
      <c r="L251">
        <v>30</v>
      </c>
      <c r="M251">
        <v>98</v>
      </c>
      <c r="N251">
        <v>55</v>
      </c>
      <c r="O251">
        <v>61</v>
      </c>
      <c r="P251" t="str">
        <f t="shared" si="6"/>
        <v>C</v>
      </c>
      <c r="Q251" t="str">
        <f t="shared" si="7"/>
        <v>Evet</v>
      </c>
    </row>
    <row r="252" spans="1:17" x14ac:dyDescent="0.3">
      <c r="A252">
        <v>251</v>
      </c>
      <c r="B252">
        <v>15</v>
      </c>
      <c r="C252" t="s">
        <v>660</v>
      </c>
      <c r="D252" t="s">
        <v>664</v>
      </c>
      <c r="E252" t="s">
        <v>670</v>
      </c>
      <c r="F252">
        <v>7</v>
      </c>
      <c r="G252">
        <v>54</v>
      </c>
      <c r="H252" t="s">
        <v>674</v>
      </c>
      <c r="I252">
        <v>45</v>
      </c>
      <c r="J252" t="s">
        <v>675</v>
      </c>
      <c r="K252" t="s">
        <v>107</v>
      </c>
      <c r="L252">
        <v>61</v>
      </c>
      <c r="M252">
        <v>87</v>
      </c>
      <c r="N252">
        <v>79</v>
      </c>
      <c r="O252" s="4">
        <v>75.666666666666671</v>
      </c>
      <c r="P252" t="str">
        <f t="shared" si="6"/>
        <v>C</v>
      </c>
      <c r="Q252" t="str">
        <f t="shared" si="7"/>
        <v>Evet</v>
      </c>
    </row>
    <row r="253" spans="1:17" x14ac:dyDescent="0.3">
      <c r="A253">
        <v>252</v>
      </c>
      <c r="B253">
        <v>16</v>
      </c>
      <c r="C253" t="s">
        <v>659</v>
      </c>
      <c r="D253" t="s">
        <v>664</v>
      </c>
      <c r="E253" t="s">
        <v>668</v>
      </c>
      <c r="F253">
        <v>5</v>
      </c>
      <c r="G253">
        <v>57</v>
      </c>
      <c r="H253" t="s">
        <v>674</v>
      </c>
      <c r="I253">
        <v>75</v>
      </c>
      <c r="J253" t="s">
        <v>674</v>
      </c>
      <c r="K253" t="s">
        <v>679</v>
      </c>
      <c r="L253">
        <v>74</v>
      </c>
      <c r="M253">
        <v>90</v>
      </c>
      <c r="N253">
        <v>61</v>
      </c>
      <c r="O253">
        <v>75</v>
      </c>
      <c r="P253" t="str">
        <f t="shared" si="6"/>
        <v>C</v>
      </c>
      <c r="Q253" t="str">
        <f t="shared" si="7"/>
        <v>Evet</v>
      </c>
    </row>
    <row r="254" spans="1:17" x14ac:dyDescent="0.3">
      <c r="A254">
        <v>253</v>
      </c>
      <c r="B254">
        <v>15</v>
      </c>
      <c r="C254" t="s">
        <v>659</v>
      </c>
      <c r="D254" t="s">
        <v>663</v>
      </c>
      <c r="E254" t="s">
        <v>669</v>
      </c>
      <c r="F254">
        <v>3</v>
      </c>
      <c r="G254">
        <v>71</v>
      </c>
      <c r="H254" t="s">
        <v>674</v>
      </c>
      <c r="I254">
        <v>10</v>
      </c>
      <c r="J254" t="s">
        <v>674</v>
      </c>
      <c r="K254" t="s">
        <v>677</v>
      </c>
      <c r="L254">
        <v>30</v>
      </c>
      <c r="M254">
        <v>62</v>
      </c>
      <c r="N254">
        <v>68</v>
      </c>
      <c r="O254" s="4">
        <v>53.333333333333336</v>
      </c>
      <c r="P254" t="str">
        <f t="shared" si="6"/>
        <v>D</v>
      </c>
      <c r="Q254" t="str">
        <f t="shared" si="7"/>
        <v>Evet</v>
      </c>
    </row>
    <row r="255" spans="1:17" x14ac:dyDescent="0.3">
      <c r="A255">
        <v>254</v>
      </c>
      <c r="B255">
        <v>15</v>
      </c>
      <c r="C255" t="s">
        <v>661</v>
      </c>
      <c r="D255" t="s">
        <v>664</v>
      </c>
      <c r="E255" t="s">
        <v>669</v>
      </c>
      <c r="F255">
        <v>1</v>
      </c>
      <c r="G255">
        <v>70</v>
      </c>
      <c r="H255" t="s">
        <v>675</v>
      </c>
      <c r="I255">
        <v>20</v>
      </c>
      <c r="J255" t="s">
        <v>674</v>
      </c>
      <c r="K255" t="s">
        <v>677</v>
      </c>
      <c r="L255">
        <v>51</v>
      </c>
      <c r="M255">
        <v>84</v>
      </c>
      <c r="N255">
        <v>85</v>
      </c>
      <c r="O255" s="4">
        <v>73.333333333333329</v>
      </c>
      <c r="P255" t="str">
        <f t="shared" si="6"/>
        <v>C</v>
      </c>
      <c r="Q255" t="str">
        <f t="shared" si="7"/>
        <v>Evet</v>
      </c>
    </row>
    <row r="256" spans="1:17" x14ac:dyDescent="0.3">
      <c r="A256">
        <v>255</v>
      </c>
      <c r="B256">
        <v>17</v>
      </c>
      <c r="C256" t="s">
        <v>660</v>
      </c>
      <c r="D256" t="s">
        <v>664</v>
      </c>
      <c r="E256" t="s">
        <v>668</v>
      </c>
      <c r="F256">
        <v>7</v>
      </c>
      <c r="G256">
        <v>97</v>
      </c>
      <c r="H256" t="s">
        <v>674</v>
      </c>
      <c r="I256">
        <v>45</v>
      </c>
      <c r="J256" t="s">
        <v>675</v>
      </c>
      <c r="K256" t="s">
        <v>678</v>
      </c>
      <c r="L256">
        <v>98</v>
      </c>
      <c r="M256">
        <v>52</v>
      </c>
      <c r="N256">
        <v>54</v>
      </c>
      <c r="O256">
        <v>68</v>
      </c>
      <c r="P256" t="str">
        <f t="shared" si="6"/>
        <v>C</v>
      </c>
      <c r="Q256" t="str">
        <f t="shared" si="7"/>
        <v>Hayır</v>
      </c>
    </row>
    <row r="257" spans="1:17" x14ac:dyDescent="0.3">
      <c r="A257">
        <v>256</v>
      </c>
      <c r="B257">
        <v>14</v>
      </c>
      <c r="C257" t="s">
        <v>661</v>
      </c>
      <c r="D257" t="s">
        <v>663</v>
      </c>
      <c r="E257" t="s">
        <v>669</v>
      </c>
      <c r="F257">
        <v>1</v>
      </c>
      <c r="G257">
        <v>56</v>
      </c>
      <c r="H257" t="s">
        <v>674</v>
      </c>
      <c r="I257">
        <v>75</v>
      </c>
      <c r="J257" t="s">
        <v>675</v>
      </c>
      <c r="K257" t="s">
        <v>679</v>
      </c>
      <c r="L257">
        <v>95</v>
      </c>
      <c r="M257">
        <v>29</v>
      </c>
      <c r="N257">
        <v>44</v>
      </c>
      <c r="O257">
        <v>56</v>
      </c>
      <c r="P257" t="str">
        <f t="shared" si="6"/>
        <v>D</v>
      </c>
      <c r="Q257" t="str">
        <f t="shared" si="7"/>
        <v>Hayır</v>
      </c>
    </row>
    <row r="258" spans="1:17" x14ac:dyDescent="0.3">
      <c r="A258">
        <v>257</v>
      </c>
      <c r="B258">
        <v>18</v>
      </c>
      <c r="C258" t="s">
        <v>661</v>
      </c>
      <c r="D258" t="s">
        <v>664</v>
      </c>
      <c r="E258" t="s">
        <v>667</v>
      </c>
      <c r="F258">
        <v>4</v>
      </c>
      <c r="G258">
        <v>58</v>
      </c>
      <c r="H258" t="s">
        <v>675</v>
      </c>
      <c r="I258">
        <v>45</v>
      </c>
      <c r="J258" t="s">
        <v>675</v>
      </c>
      <c r="K258" t="s">
        <v>680</v>
      </c>
      <c r="L258">
        <v>59</v>
      </c>
      <c r="M258">
        <v>27</v>
      </c>
      <c r="N258">
        <v>58</v>
      </c>
      <c r="O258">
        <v>48</v>
      </c>
      <c r="P258" t="str">
        <f t="shared" ref="P258:P320" si="8">IF(O258&gt;=90,"A",
IF(O258&gt;=80,"B",
IF(O258&gt;=60,"C",
IF(O258&gt;=40,"D","F"))))</f>
        <v>D</v>
      </c>
      <c r="Q258" t="str">
        <f t="shared" si="7"/>
        <v>Hayır</v>
      </c>
    </row>
    <row r="259" spans="1:17" x14ac:dyDescent="0.3">
      <c r="A259">
        <v>258</v>
      </c>
      <c r="B259">
        <v>14</v>
      </c>
      <c r="C259" t="s">
        <v>659</v>
      </c>
      <c r="D259" t="s">
        <v>663</v>
      </c>
      <c r="E259" t="s">
        <v>669</v>
      </c>
      <c r="F259">
        <v>1</v>
      </c>
      <c r="G259">
        <v>88</v>
      </c>
      <c r="H259" t="s">
        <v>674</v>
      </c>
      <c r="I259">
        <v>20</v>
      </c>
      <c r="J259" t="s">
        <v>674</v>
      </c>
      <c r="K259" t="s">
        <v>681</v>
      </c>
      <c r="L259">
        <v>36</v>
      </c>
      <c r="M259">
        <v>46</v>
      </c>
      <c r="N259">
        <v>73</v>
      </c>
      <c r="O259" s="4">
        <v>51.666666666666664</v>
      </c>
      <c r="P259" t="str">
        <f t="shared" si="8"/>
        <v>D</v>
      </c>
      <c r="Q259" t="str">
        <f t="shared" ref="Q259:Q320" si="9">IF(L259&lt;O259,"Evet","Hayır")</f>
        <v>Evet</v>
      </c>
    </row>
    <row r="260" spans="1:17" x14ac:dyDescent="0.3">
      <c r="A260">
        <v>259</v>
      </c>
      <c r="B260">
        <v>15</v>
      </c>
      <c r="C260" t="s">
        <v>660</v>
      </c>
      <c r="D260" t="s">
        <v>663</v>
      </c>
      <c r="E260" t="s">
        <v>669</v>
      </c>
      <c r="F260">
        <v>5</v>
      </c>
      <c r="G260">
        <v>51</v>
      </c>
      <c r="H260" t="s">
        <v>674</v>
      </c>
      <c r="I260">
        <v>10</v>
      </c>
      <c r="J260" t="s">
        <v>674</v>
      </c>
      <c r="K260" t="s">
        <v>678</v>
      </c>
      <c r="L260">
        <v>86</v>
      </c>
      <c r="M260">
        <v>92</v>
      </c>
      <c r="N260">
        <v>94</v>
      </c>
      <c r="O260" s="4">
        <v>90.666666666666671</v>
      </c>
      <c r="P260" t="str">
        <f t="shared" si="8"/>
        <v>A</v>
      </c>
      <c r="Q260" t="str">
        <f t="shared" si="9"/>
        <v>Evet</v>
      </c>
    </row>
    <row r="261" spans="1:17" x14ac:dyDescent="0.3">
      <c r="A261">
        <v>260</v>
      </c>
      <c r="B261">
        <v>17</v>
      </c>
      <c r="C261" t="s">
        <v>661</v>
      </c>
      <c r="D261" t="s">
        <v>663</v>
      </c>
      <c r="E261" t="s">
        <v>667</v>
      </c>
      <c r="F261">
        <v>7</v>
      </c>
      <c r="G261">
        <v>83</v>
      </c>
      <c r="H261" t="s">
        <v>674</v>
      </c>
      <c r="I261">
        <v>45</v>
      </c>
      <c r="J261" t="s">
        <v>675</v>
      </c>
      <c r="K261" t="s">
        <v>679</v>
      </c>
      <c r="L261">
        <v>33</v>
      </c>
      <c r="M261">
        <v>82</v>
      </c>
      <c r="N261">
        <v>47</v>
      </c>
      <c r="O261">
        <v>54</v>
      </c>
      <c r="P261" t="str">
        <f t="shared" si="8"/>
        <v>D</v>
      </c>
      <c r="Q261" t="str">
        <f t="shared" si="9"/>
        <v>Evet</v>
      </c>
    </row>
    <row r="262" spans="1:17" x14ac:dyDescent="0.3">
      <c r="A262">
        <v>261</v>
      </c>
      <c r="B262">
        <v>18</v>
      </c>
      <c r="C262" t="s">
        <v>660</v>
      </c>
      <c r="D262" t="s">
        <v>663</v>
      </c>
      <c r="E262" t="s">
        <v>665</v>
      </c>
      <c r="F262">
        <v>7</v>
      </c>
      <c r="G262">
        <v>87</v>
      </c>
      <c r="H262" t="s">
        <v>674</v>
      </c>
      <c r="I262">
        <v>20</v>
      </c>
      <c r="J262" t="s">
        <v>674</v>
      </c>
      <c r="K262" t="s">
        <v>679</v>
      </c>
      <c r="L262">
        <v>57</v>
      </c>
      <c r="M262">
        <v>95</v>
      </c>
      <c r="N262">
        <v>55</v>
      </c>
      <c r="O262">
        <v>69</v>
      </c>
      <c r="P262" t="str">
        <f t="shared" si="8"/>
        <v>C</v>
      </c>
      <c r="Q262" t="str">
        <f t="shared" si="9"/>
        <v>Evet</v>
      </c>
    </row>
    <row r="263" spans="1:17" x14ac:dyDescent="0.3">
      <c r="A263">
        <v>262</v>
      </c>
      <c r="B263">
        <v>15</v>
      </c>
      <c r="C263" t="s">
        <v>660</v>
      </c>
      <c r="D263" t="s">
        <v>664</v>
      </c>
      <c r="E263" t="s">
        <v>666</v>
      </c>
      <c r="F263">
        <v>2</v>
      </c>
      <c r="G263">
        <v>81</v>
      </c>
      <c r="H263" t="s">
        <v>674</v>
      </c>
      <c r="I263">
        <v>75</v>
      </c>
      <c r="J263" t="s">
        <v>675</v>
      </c>
      <c r="K263" t="s">
        <v>678</v>
      </c>
      <c r="L263">
        <v>44</v>
      </c>
      <c r="M263">
        <v>76</v>
      </c>
      <c r="N263">
        <v>88</v>
      </c>
      <c r="O263" s="4">
        <v>69.333333333333329</v>
      </c>
      <c r="P263" t="str">
        <f t="shared" si="8"/>
        <v>C</v>
      </c>
      <c r="Q263" t="str">
        <f t="shared" si="9"/>
        <v>Evet</v>
      </c>
    </row>
    <row r="264" spans="1:17" x14ac:dyDescent="0.3">
      <c r="A264">
        <v>263</v>
      </c>
      <c r="B264">
        <v>15</v>
      </c>
      <c r="C264" t="s">
        <v>660</v>
      </c>
      <c r="D264" t="s">
        <v>664</v>
      </c>
      <c r="E264" t="s">
        <v>670</v>
      </c>
      <c r="F264">
        <v>3</v>
      </c>
      <c r="G264">
        <v>64</v>
      </c>
      <c r="H264" t="s">
        <v>675</v>
      </c>
      <c r="I264">
        <v>45</v>
      </c>
      <c r="J264" t="s">
        <v>675</v>
      </c>
      <c r="K264" t="s">
        <v>680</v>
      </c>
      <c r="L264">
        <v>51</v>
      </c>
      <c r="M264">
        <v>94</v>
      </c>
      <c r="N264">
        <v>74</v>
      </c>
      <c r="O264">
        <v>73</v>
      </c>
      <c r="P264" t="str">
        <f t="shared" si="8"/>
        <v>C</v>
      </c>
      <c r="Q264" t="str">
        <f t="shared" si="9"/>
        <v>Evet</v>
      </c>
    </row>
    <row r="265" spans="1:17" x14ac:dyDescent="0.3">
      <c r="A265">
        <v>264</v>
      </c>
      <c r="B265">
        <v>19</v>
      </c>
      <c r="C265" t="s">
        <v>661</v>
      </c>
      <c r="D265" t="s">
        <v>663</v>
      </c>
      <c r="E265" t="s">
        <v>665</v>
      </c>
      <c r="F265">
        <v>2</v>
      </c>
      <c r="G265">
        <v>55</v>
      </c>
      <c r="H265" t="s">
        <v>674</v>
      </c>
      <c r="I265">
        <v>75</v>
      </c>
      <c r="J265" t="s">
        <v>675</v>
      </c>
      <c r="K265" t="s">
        <v>679</v>
      </c>
      <c r="L265">
        <v>90</v>
      </c>
      <c r="M265">
        <v>43</v>
      </c>
      <c r="N265">
        <v>98</v>
      </c>
      <c r="O265">
        <v>77</v>
      </c>
      <c r="P265" t="str">
        <f t="shared" si="8"/>
        <v>C</v>
      </c>
      <c r="Q265" t="str">
        <f t="shared" si="9"/>
        <v>Hayır</v>
      </c>
    </row>
    <row r="266" spans="1:17" x14ac:dyDescent="0.3">
      <c r="A266">
        <v>265</v>
      </c>
      <c r="B266">
        <v>19</v>
      </c>
      <c r="C266" t="s">
        <v>661</v>
      </c>
      <c r="D266" t="s">
        <v>663</v>
      </c>
      <c r="E266" t="s">
        <v>667</v>
      </c>
      <c r="F266">
        <v>1</v>
      </c>
      <c r="G266">
        <v>100</v>
      </c>
      <c r="H266" t="s">
        <v>674</v>
      </c>
      <c r="I266">
        <v>45</v>
      </c>
      <c r="J266" t="s">
        <v>675</v>
      </c>
      <c r="K266" t="s">
        <v>107</v>
      </c>
      <c r="L266">
        <v>68</v>
      </c>
      <c r="M266">
        <v>100</v>
      </c>
      <c r="N266">
        <v>76</v>
      </c>
      <c r="O266" s="4">
        <v>81.333333333333329</v>
      </c>
      <c r="P266" t="str">
        <f t="shared" si="8"/>
        <v>B</v>
      </c>
      <c r="Q266" t="str">
        <f t="shared" si="9"/>
        <v>Evet</v>
      </c>
    </row>
    <row r="267" spans="1:17" x14ac:dyDescent="0.3">
      <c r="A267">
        <v>266</v>
      </c>
      <c r="B267">
        <v>17</v>
      </c>
      <c r="C267" t="s">
        <v>661</v>
      </c>
      <c r="D267" t="s">
        <v>664</v>
      </c>
      <c r="E267" t="s">
        <v>667</v>
      </c>
      <c r="F267">
        <v>3</v>
      </c>
      <c r="G267">
        <v>93</v>
      </c>
      <c r="H267" t="s">
        <v>674</v>
      </c>
      <c r="I267">
        <v>10</v>
      </c>
      <c r="J267" t="s">
        <v>675</v>
      </c>
      <c r="K267" t="s">
        <v>679</v>
      </c>
      <c r="L267">
        <v>49</v>
      </c>
      <c r="M267">
        <v>25</v>
      </c>
      <c r="N267">
        <v>53</v>
      </c>
      <c r="O267" s="4">
        <v>42.333333333333336</v>
      </c>
      <c r="P267" t="str">
        <f t="shared" si="8"/>
        <v>D</v>
      </c>
      <c r="Q267" t="str">
        <f t="shared" si="9"/>
        <v>Hayır</v>
      </c>
    </row>
    <row r="268" spans="1:17" x14ac:dyDescent="0.3">
      <c r="A268">
        <v>267</v>
      </c>
      <c r="B268">
        <v>16</v>
      </c>
      <c r="C268" t="s">
        <v>660</v>
      </c>
      <c r="D268" t="s">
        <v>664</v>
      </c>
      <c r="E268" t="s">
        <v>670</v>
      </c>
      <c r="F268">
        <v>3</v>
      </c>
      <c r="G268">
        <v>87</v>
      </c>
      <c r="H268" t="s">
        <v>674</v>
      </c>
      <c r="I268">
        <v>10</v>
      </c>
      <c r="J268" t="s">
        <v>675</v>
      </c>
      <c r="K268" t="s">
        <v>680</v>
      </c>
      <c r="L268">
        <v>74</v>
      </c>
      <c r="M268">
        <v>99</v>
      </c>
      <c r="N268">
        <v>90</v>
      </c>
      <c r="O268" s="4">
        <v>87.666666666666671</v>
      </c>
      <c r="P268" t="str">
        <f t="shared" si="8"/>
        <v>B</v>
      </c>
      <c r="Q268" t="str">
        <f t="shared" si="9"/>
        <v>Evet</v>
      </c>
    </row>
    <row r="269" spans="1:17" x14ac:dyDescent="0.3">
      <c r="A269">
        <v>268</v>
      </c>
      <c r="B269">
        <v>16</v>
      </c>
      <c r="C269" t="s">
        <v>660</v>
      </c>
      <c r="D269" t="s">
        <v>664</v>
      </c>
      <c r="E269" t="s">
        <v>667</v>
      </c>
      <c r="F269">
        <v>3</v>
      </c>
      <c r="G269">
        <v>59</v>
      </c>
      <c r="H269" t="s">
        <v>674</v>
      </c>
      <c r="I269">
        <v>45</v>
      </c>
      <c r="J269" t="s">
        <v>674</v>
      </c>
      <c r="K269" t="s">
        <v>107</v>
      </c>
      <c r="L269">
        <v>44</v>
      </c>
      <c r="M269">
        <v>20</v>
      </c>
      <c r="N269">
        <v>87</v>
      </c>
      <c r="O269" s="4">
        <v>50.333333333333336</v>
      </c>
      <c r="P269" t="str">
        <f t="shared" si="8"/>
        <v>D</v>
      </c>
      <c r="Q269" t="str">
        <f t="shared" si="9"/>
        <v>Evet</v>
      </c>
    </row>
    <row r="270" spans="1:17" x14ac:dyDescent="0.3">
      <c r="A270">
        <v>269</v>
      </c>
      <c r="B270">
        <v>17</v>
      </c>
      <c r="C270" t="s">
        <v>660</v>
      </c>
      <c r="D270" t="s">
        <v>664</v>
      </c>
      <c r="E270" t="s">
        <v>668</v>
      </c>
      <c r="F270">
        <v>2</v>
      </c>
      <c r="G270">
        <v>72</v>
      </c>
      <c r="H270" t="s">
        <v>675</v>
      </c>
      <c r="I270">
        <v>10</v>
      </c>
      <c r="J270" t="s">
        <v>675</v>
      </c>
      <c r="K270" t="s">
        <v>678</v>
      </c>
      <c r="L270">
        <v>75</v>
      </c>
      <c r="M270">
        <v>50</v>
      </c>
      <c r="N270">
        <v>42</v>
      </c>
      <c r="O270" s="4">
        <v>55.666666666666664</v>
      </c>
      <c r="P270" t="str">
        <f t="shared" si="8"/>
        <v>D</v>
      </c>
      <c r="Q270" t="str">
        <f t="shared" si="9"/>
        <v>Hayır</v>
      </c>
    </row>
    <row r="271" spans="1:17" x14ac:dyDescent="0.3">
      <c r="A271">
        <v>270</v>
      </c>
      <c r="B271">
        <v>17</v>
      </c>
      <c r="C271" t="s">
        <v>659</v>
      </c>
      <c r="D271" t="s">
        <v>664</v>
      </c>
      <c r="E271" t="s">
        <v>666</v>
      </c>
      <c r="F271">
        <v>3</v>
      </c>
      <c r="G271">
        <v>86</v>
      </c>
      <c r="H271" t="s">
        <v>674</v>
      </c>
      <c r="I271">
        <v>20</v>
      </c>
      <c r="J271" t="s">
        <v>674</v>
      </c>
      <c r="K271" t="s">
        <v>681</v>
      </c>
      <c r="L271">
        <v>54</v>
      </c>
      <c r="M271">
        <v>57</v>
      </c>
      <c r="N271">
        <v>98</v>
      </c>
      <c r="O271" s="4">
        <v>69.666666666666671</v>
      </c>
      <c r="P271" t="str">
        <f t="shared" si="8"/>
        <v>C</v>
      </c>
      <c r="Q271" t="str">
        <f t="shared" si="9"/>
        <v>Evet</v>
      </c>
    </row>
    <row r="272" spans="1:17" x14ac:dyDescent="0.3">
      <c r="A272">
        <v>271</v>
      </c>
      <c r="B272">
        <v>15</v>
      </c>
      <c r="C272" t="s">
        <v>661</v>
      </c>
      <c r="D272" t="s">
        <v>663</v>
      </c>
      <c r="E272" t="s">
        <v>670</v>
      </c>
      <c r="F272">
        <v>5</v>
      </c>
      <c r="G272">
        <v>55</v>
      </c>
      <c r="H272" t="s">
        <v>674</v>
      </c>
      <c r="I272">
        <v>45</v>
      </c>
      <c r="J272" t="s">
        <v>675</v>
      </c>
      <c r="K272" t="s">
        <v>679</v>
      </c>
      <c r="L272">
        <v>95</v>
      </c>
      <c r="M272">
        <v>65</v>
      </c>
      <c r="N272">
        <v>52</v>
      </c>
      <c r="O272" s="4">
        <v>70.666666666666671</v>
      </c>
      <c r="P272" t="str">
        <f t="shared" si="8"/>
        <v>C</v>
      </c>
      <c r="Q272" t="str">
        <f t="shared" si="9"/>
        <v>Hayır</v>
      </c>
    </row>
    <row r="273" spans="1:17" x14ac:dyDescent="0.3">
      <c r="A273">
        <v>272</v>
      </c>
      <c r="B273">
        <v>14</v>
      </c>
      <c r="C273" t="s">
        <v>659</v>
      </c>
      <c r="D273" t="s">
        <v>664</v>
      </c>
      <c r="E273" t="s">
        <v>667</v>
      </c>
      <c r="F273">
        <v>4</v>
      </c>
      <c r="G273">
        <v>98</v>
      </c>
      <c r="H273" t="s">
        <v>674</v>
      </c>
      <c r="I273">
        <v>10</v>
      </c>
      <c r="J273" t="s">
        <v>675</v>
      </c>
      <c r="K273" t="s">
        <v>679</v>
      </c>
      <c r="L273">
        <v>30</v>
      </c>
      <c r="M273">
        <v>43</v>
      </c>
      <c r="N273">
        <v>78</v>
      </c>
      <c r="O273" s="4">
        <v>50.333333333333336</v>
      </c>
      <c r="P273" t="str">
        <f t="shared" si="8"/>
        <v>D</v>
      </c>
      <c r="Q273" t="str">
        <f t="shared" si="9"/>
        <v>Evet</v>
      </c>
    </row>
    <row r="274" spans="1:17" x14ac:dyDescent="0.3">
      <c r="A274">
        <v>273</v>
      </c>
      <c r="B274">
        <v>14</v>
      </c>
      <c r="C274" t="s">
        <v>661</v>
      </c>
      <c r="D274" t="s">
        <v>664</v>
      </c>
      <c r="E274" t="s">
        <v>666</v>
      </c>
      <c r="F274">
        <v>3</v>
      </c>
      <c r="G274">
        <v>98</v>
      </c>
      <c r="H274" t="s">
        <v>674</v>
      </c>
      <c r="I274">
        <v>10</v>
      </c>
      <c r="J274" t="s">
        <v>675</v>
      </c>
      <c r="K274" t="s">
        <v>107</v>
      </c>
      <c r="L274">
        <v>71</v>
      </c>
      <c r="M274">
        <v>48</v>
      </c>
      <c r="N274">
        <v>55</v>
      </c>
      <c r="O274" s="5">
        <v>58</v>
      </c>
      <c r="P274" t="str">
        <f t="shared" si="8"/>
        <v>D</v>
      </c>
      <c r="Q274" t="str">
        <f t="shared" si="9"/>
        <v>Hayır</v>
      </c>
    </row>
    <row r="275" spans="1:17" x14ac:dyDescent="0.3">
      <c r="A275">
        <v>274</v>
      </c>
      <c r="B275">
        <v>19</v>
      </c>
      <c r="C275" t="s">
        <v>660</v>
      </c>
      <c r="D275" t="s">
        <v>663</v>
      </c>
      <c r="E275" t="s">
        <v>669</v>
      </c>
      <c r="F275">
        <v>7</v>
      </c>
      <c r="G275">
        <v>58</v>
      </c>
      <c r="H275" t="s">
        <v>674</v>
      </c>
      <c r="I275">
        <v>10</v>
      </c>
      <c r="J275" t="s">
        <v>674</v>
      </c>
      <c r="K275" t="s">
        <v>678</v>
      </c>
      <c r="L275">
        <v>53</v>
      </c>
      <c r="M275">
        <v>61</v>
      </c>
      <c r="N275">
        <v>80</v>
      </c>
      <c r="O275" s="4">
        <v>64.666666666666671</v>
      </c>
      <c r="P275" t="str">
        <f t="shared" si="8"/>
        <v>C</v>
      </c>
      <c r="Q275" t="str">
        <f t="shared" si="9"/>
        <v>Evet</v>
      </c>
    </row>
    <row r="276" spans="1:17" x14ac:dyDescent="0.3">
      <c r="A276">
        <v>275</v>
      </c>
      <c r="B276">
        <v>16</v>
      </c>
      <c r="C276" t="s">
        <v>661</v>
      </c>
      <c r="D276" t="s">
        <v>664</v>
      </c>
      <c r="E276" t="s">
        <v>669</v>
      </c>
      <c r="F276">
        <v>4</v>
      </c>
      <c r="G276">
        <v>60</v>
      </c>
      <c r="H276" t="s">
        <v>674</v>
      </c>
      <c r="I276">
        <v>20</v>
      </c>
      <c r="J276" t="s">
        <v>675</v>
      </c>
      <c r="K276" t="s">
        <v>107</v>
      </c>
      <c r="L276">
        <v>41</v>
      </c>
      <c r="M276">
        <v>71</v>
      </c>
      <c r="N276">
        <v>49</v>
      </c>
      <c r="O276" s="4">
        <v>53.666666666666664</v>
      </c>
      <c r="P276" t="str">
        <f t="shared" si="8"/>
        <v>D</v>
      </c>
      <c r="Q276" t="str">
        <f t="shared" si="9"/>
        <v>Evet</v>
      </c>
    </row>
    <row r="277" spans="1:17" x14ac:dyDescent="0.3">
      <c r="A277">
        <v>276</v>
      </c>
      <c r="B277">
        <v>16</v>
      </c>
      <c r="C277" t="s">
        <v>661</v>
      </c>
      <c r="D277" t="s">
        <v>663</v>
      </c>
      <c r="E277" t="s">
        <v>669</v>
      </c>
      <c r="F277">
        <v>4</v>
      </c>
      <c r="G277">
        <v>68</v>
      </c>
      <c r="H277" t="s">
        <v>674</v>
      </c>
      <c r="I277">
        <v>45</v>
      </c>
      <c r="J277" t="s">
        <v>675</v>
      </c>
      <c r="K277" t="s">
        <v>107</v>
      </c>
      <c r="L277">
        <v>85</v>
      </c>
      <c r="M277">
        <v>58</v>
      </c>
      <c r="N277">
        <v>50</v>
      </c>
      <c r="O277" s="4">
        <v>64.333333333333329</v>
      </c>
      <c r="P277" t="str">
        <f t="shared" si="8"/>
        <v>C</v>
      </c>
      <c r="Q277" t="str">
        <f t="shared" si="9"/>
        <v>Hayır</v>
      </c>
    </row>
    <row r="278" spans="1:17" x14ac:dyDescent="0.3">
      <c r="A278">
        <v>277</v>
      </c>
      <c r="B278">
        <v>16</v>
      </c>
      <c r="C278" t="s">
        <v>660</v>
      </c>
      <c r="D278" t="s">
        <v>663</v>
      </c>
      <c r="E278" t="s">
        <v>668</v>
      </c>
      <c r="F278">
        <v>6</v>
      </c>
      <c r="G278">
        <v>73</v>
      </c>
      <c r="H278" t="s">
        <v>674</v>
      </c>
      <c r="I278">
        <v>20</v>
      </c>
      <c r="J278" t="s">
        <v>675</v>
      </c>
      <c r="K278" t="s">
        <v>681</v>
      </c>
      <c r="L278">
        <v>44</v>
      </c>
      <c r="M278">
        <v>83</v>
      </c>
      <c r="N278">
        <v>48</v>
      </c>
      <c r="O278" s="4">
        <v>58.333333333333336</v>
      </c>
      <c r="P278" t="str">
        <f t="shared" si="8"/>
        <v>D</v>
      </c>
      <c r="Q278" t="str">
        <f t="shared" si="9"/>
        <v>Evet</v>
      </c>
    </row>
    <row r="279" spans="1:17" x14ac:dyDescent="0.3">
      <c r="A279">
        <v>278</v>
      </c>
      <c r="B279">
        <v>18</v>
      </c>
      <c r="C279" t="s">
        <v>660</v>
      </c>
      <c r="D279" t="s">
        <v>664</v>
      </c>
      <c r="E279" t="s">
        <v>669</v>
      </c>
      <c r="F279">
        <v>5</v>
      </c>
      <c r="G279">
        <v>72</v>
      </c>
      <c r="H279" t="s">
        <v>674</v>
      </c>
      <c r="I279">
        <v>10</v>
      </c>
      <c r="J279" t="s">
        <v>674</v>
      </c>
      <c r="K279" t="s">
        <v>677</v>
      </c>
      <c r="L279">
        <v>96</v>
      </c>
      <c r="M279">
        <v>94</v>
      </c>
      <c r="N279">
        <v>71</v>
      </c>
      <c r="O279">
        <v>87</v>
      </c>
      <c r="P279" t="str">
        <f t="shared" si="8"/>
        <v>B</v>
      </c>
      <c r="Q279" t="str">
        <f t="shared" si="9"/>
        <v>Hayır</v>
      </c>
    </row>
    <row r="280" spans="1:17" x14ac:dyDescent="0.3">
      <c r="A280">
        <v>279</v>
      </c>
      <c r="B280">
        <v>14</v>
      </c>
      <c r="C280" t="s">
        <v>660</v>
      </c>
      <c r="D280" t="s">
        <v>663</v>
      </c>
      <c r="E280" t="s">
        <v>667</v>
      </c>
      <c r="F280">
        <v>5</v>
      </c>
      <c r="G280">
        <v>84</v>
      </c>
      <c r="H280" t="s">
        <v>674</v>
      </c>
      <c r="I280">
        <v>45</v>
      </c>
      <c r="J280" t="s">
        <v>675</v>
      </c>
      <c r="K280" t="s">
        <v>678</v>
      </c>
      <c r="L280">
        <v>77</v>
      </c>
      <c r="M280">
        <v>81</v>
      </c>
      <c r="N280">
        <v>53</v>
      </c>
      <c r="O280" s="4">
        <v>70.333333333333329</v>
      </c>
      <c r="P280" t="str">
        <f t="shared" si="8"/>
        <v>C</v>
      </c>
      <c r="Q280" t="str">
        <f t="shared" si="9"/>
        <v>Hayır</v>
      </c>
    </row>
    <row r="281" spans="1:17" x14ac:dyDescent="0.3">
      <c r="A281">
        <v>280</v>
      </c>
      <c r="B281">
        <v>14</v>
      </c>
      <c r="C281" t="s">
        <v>660</v>
      </c>
      <c r="D281" t="s">
        <v>663</v>
      </c>
      <c r="E281" t="s">
        <v>665</v>
      </c>
      <c r="F281">
        <v>3</v>
      </c>
      <c r="G281">
        <v>74</v>
      </c>
      <c r="H281" t="s">
        <v>674</v>
      </c>
      <c r="I281">
        <v>75</v>
      </c>
      <c r="J281" t="s">
        <v>674</v>
      </c>
      <c r="K281" t="s">
        <v>678</v>
      </c>
      <c r="L281">
        <v>74</v>
      </c>
      <c r="M281">
        <v>32</v>
      </c>
      <c r="N281">
        <v>82</v>
      </c>
      <c r="O281" s="4">
        <v>62.666666666666664</v>
      </c>
      <c r="P281" t="str">
        <f t="shared" si="8"/>
        <v>C</v>
      </c>
      <c r="Q281" t="str">
        <f t="shared" si="9"/>
        <v>Hayır</v>
      </c>
    </row>
    <row r="282" spans="1:17" x14ac:dyDescent="0.3">
      <c r="A282">
        <v>281</v>
      </c>
      <c r="B282">
        <v>15</v>
      </c>
      <c r="C282" t="s">
        <v>659</v>
      </c>
      <c r="D282" t="s">
        <v>664</v>
      </c>
      <c r="E282" t="s">
        <v>667</v>
      </c>
      <c r="F282">
        <v>6</v>
      </c>
      <c r="G282">
        <v>59</v>
      </c>
      <c r="H282" t="s">
        <v>674</v>
      </c>
      <c r="I282">
        <v>10</v>
      </c>
      <c r="J282" t="s">
        <v>675</v>
      </c>
      <c r="K282" t="s">
        <v>107</v>
      </c>
      <c r="L282">
        <v>64</v>
      </c>
      <c r="M282">
        <v>77</v>
      </c>
      <c r="N282">
        <v>88</v>
      </c>
      <c r="O282" s="4">
        <v>76.333333333333329</v>
      </c>
      <c r="P282" t="str">
        <f t="shared" si="8"/>
        <v>C</v>
      </c>
      <c r="Q282" t="str">
        <f t="shared" si="9"/>
        <v>Evet</v>
      </c>
    </row>
    <row r="283" spans="1:17" x14ac:dyDescent="0.3">
      <c r="A283">
        <v>282</v>
      </c>
      <c r="B283">
        <v>16</v>
      </c>
      <c r="C283" t="s">
        <v>659</v>
      </c>
      <c r="D283" t="s">
        <v>664</v>
      </c>
      <c r="E283" t="s">
        <v>670</v>
      </c>
      <c r="F283">
        <v>3</v>
      </c>
      <c r="G283">
        <v>63</v>
      </c>
      <c r="H283" t="s">
        <v>674</v>
      </c>
      <c r="I283">
        <v>10</v>
      </c>
      <c r="J283" t="s">
        <v>675</v>
      </c>
      <c r="K283" t="s">
        <v>107</v>
      </c>
      <c r="L283">
        <v>36</v>
      </c>
      <c r="M283">
        <v>81</v>
      </c>
      <c r="N283">
        <v>82</v>
      </c>
      <c r="O283" s="4">
        <v>66.333333333333329</v>
      </c>
      <c r="P283" t="str">
        <f t="shared" si="8"/>
        <v>C</v>
      </c>
      <c r="Q283" t="str">
        <f t="shared" si="9"/>
        <v>Evet</v>
      </c>
    </row>
    <row r="284" spans="1:17" x14ac:dyDescent="0.3">
      <c r="A284">
        <v>283</v>
      </c>
      <c r="B284">
        <v>18</v>
      </c>
      <c r="C284" t="s">
        <v>661</v>
      </c>
      <c r="D284" t="s">
        <v>664</v>
      </c>
      <c r="E284" t="s">
        <v>668</v>
      </c>
      <c r="F284">
        <v>4</v>
      </c>
      <c r="G284">
        <v>71</v>
      </c>
      <c r="H284" t="s">
        <v>674</v>
      </c>
      <c r="I284">
        <v>10</v>
      </c>
      <c r="J284" t="s">
        <v>675</v>
      </c>
      <c r="K284" t="s">
        <v>678</v>
      </c>
      <c r="L284">
        <v>86</v>
      </c>
      <c r="M284">
        <v>89</v>
      </c>
      <c r="N284">
        <v>44</v>
      </c>
      <c r="O284">
        <v>73</v>
      </c>
      <c r="P284" t="str">
        <f t="shared" si="8"/>
        <v>C</v>
      </c>
      <c r="Q284" t="str">
        <f t="shared" si="9"/>
        <v>Hayır</v>
      </c>
    </row>
    <row r="285" spans="1:17" x14ac:dyDescent="0.3">
      <c r="A285">
        <v>284</v>
      </c>
      <c r="B285">
        <v>16</v>
      </c>
      <c r="C285" t="s">
        <v>661</v>
      </c>
      <c r="D285" t="s">
        <v>664</v>
      </c>
      <c r="E285" t="s">
        <v>669</v>
      </c>
      <c r="F285">
        <v>3</v>
      </c>
      <c r="G285">
        <v>76</v>
      </c>
      <c r="H285" t="s">
        <v>674</v>
      </c>
      <c r="I285">
        <v>20</v>
      </c>
      <c r="J285" t="s">
        <v>674</v>
      </c>
      <c r="K285" t="s">
        <v>681</v>
      </c>
      <c r="L285">
        <v>38</v>
      </c>
      <c r="M285">
        <v>62</v>
      </c>
      <c r="N285">
        <v>95</v>
      </c>
      <c r="O285">
        <v>65</v>
      </c>
      <c r="P285" t="str">
        <f t="shared" si="8"/>
        <v>C</v>
      </c>
      <c r="Q285" t="str">
        <f t="shared" si="9"/>
        <v>Evet</v>
      </c>
    </row>
    <row r="286" spans="1:17" x14ac:dyDescent="0.3">
      <c r="A286">
        <v>285</v>
      </c>
      <c r="B286">
        <v>16</v>
      </c>
      <c r="C286" t="s">
        <v>659</v>
      </c>
      <c r="D286" t="s">
        <v>664</v>
      </c>
      <c r="E286" t="s">
        <v>667</v>
      </c>
      <c r="F286">
        <v>6</v>
      </c>
      <c r="G286">
        <v>96</v>
      </c>
      <c r="H286" t="s">
        <v>674</v>
      </c>
      <c r="I286">
        <v>10</v>
      </c>
      <c r="J286" t="s">
        <v>674</v>
      </c>
      <c r="K286" t="s">
        <v>677</v>
      </c>
      <c r="L286">
        <v>55</v>
      </c>
      <c r="M286">
        <v>47</v>
      </c>
      <c r="N286">
        <v>46</v>
      </c>
      <c r="O286" s="4">
        <v>49.333333333333336</v>
      </c>
      <c r="P286" t="str">
        <f t="shared" si="8"/>
        <v>D</v>
      </c>
      <c r="Q286" t="str">
        <f t="shared" si="9"/>
        <v>Hayır</v>
      </c>
    </row>
    <row r="287" spans="1:17" x14ac:dyDescent="0.3">
      <c r="A287">
        <v>286</v>
      </c>
      <c r="B287">
        <v>19</v>
      </c>
      <c r="C287" t="s">
        <v>659</v>
      </c>
      <c r="D287" t="s">
        <v>663</v>
      </c>
      <c r="E287" t="s">
        <v>669</v>
      </c>
      <c r="F287">
        <v>1</v>
      </c>
      <c r="G287">
        <v>55</v>
      </c>
      <c r="H287" t="s">
        <v>674</v>
      </c>
      <c r="I287">
        <v>45</v>
      </c>
      <c r="J287" t="s">
        <v>675</v>
      </c>
      <c r="K287" t="s">
        <v>681</v>
      </c>
      <c r="L287">
        <v>58</v>
      </c>
      <c r="M287">
        <v>43</v>
      </c>
      <c r="N287">
        <v>62</v>
      </c>
      <c r="O287" s="4">
        <v>54.333333333333336</v>
      </c>
      <c r="P287" t="str">
        <f t="shared" si="8"/>
        <v>D</v>
      </c>
      <c r="Q287" t="str">
        <f t="shared" si="9"/>
        <v>Hayır</v>
      </c>
    </row>
    <row r="288" spans="1:17" x14ac:dyDescent="0.3">
      <c r="A288">
        <v>287</v>
      </c>
      <c r="B288">
        <v>14</v>
      </c>
      <c r="C288" t="s">
        <v>660</v>
      </c>
      <c r="D288" t="s">
        <v>663</v>
      </c>
      <c r="E288" t="s">
        <v>665</v>
      </c>
      <c r="F288">
        <v>6</v>
      </c>
      <c r="G288">
        <v>90</v>
      </c>
      <c r="H288" t="s">
        <v>674</v>
      </c>
      <c r="I288">
        <v>45</v>
      </c>
      <c r="J288" t="s">
        <v>675</v>
      </c>
      <c r="K288" t="s">
        <v>677</v>
      </c>
      <c r="L288">
        <v>38</v>
      </c>
      <c r="M288">
        <v>48</v>
      </c>
      <c r="N288">
        <v>78</v>
      </c>
      <c r="O288" s="4">
        <v>54.666666666666664</v>
      </c>
      <c r="P288" t="str">
        <f t="shared" si="8"/>
        <v>D</v>
      </c>
      <c r="Q288" t="str">
        <f t="shared" si="9"/>
        <v>Evet</v>
      </c>
    </row>
    <row r="289" spans="1:17" x14ac:dyDescent="0.3">
      <c r="A289">
        <v>288</v>
      </c>
      <c r="B289">
        <v>17</v>
      </c>
      <c r="C289" t="s">
        <v>661</v>
      </c>
      <c r="D289" t="s">
        <v>663</v>
      </c>
      <c r="E289" t="s">
        <v>670</v>
      </c>
      <c r="F289">
        <v>2</v>
      </c>
      <c r="G289">
        <v>66</v>
      </c>
      <c r="H289" t="s">
        <v>674</v>
      </c>
      <c r="I289">
        <v>45</v>
      </c>
      <c r="J289" t="s">
        <v>674</v>
      </c>
      <c r="K289" t="s">
        <v>678</v>
      </c>
      <c r="L289">
        <v>40</v>
      </c>
      <c r="M289">
        <v>83</v>
      </c>
      <c r="N289">
        <v>76</v>
      </c>
      <c r="O289" s="4">
        <v>66.333333333333329</v>
      </c>
      <c r="P289" t="str">
        <f t="shared" si="8"/>
        <v>C</v>
      </c>
      <c r="Q289" t="str">
        <f t="shared" si="9"/>
        <v>Evet</v>
      </c>
    </row>
    <row r="290" spans="1:17" x14ac:dyDescent="0.3">
      <c r="A290">
        <v>289</v>
      </c>
      <c r="B290">
        <v>17</v>
      </c>
      <c r="C290" t="s">
        <v>661</v>
      </c>
      <c r="D290" t="s">
        <v>663</v>
      </c>
      <c r="E290" t="s">
        <v>665</v>
      </c>
      <c r="F290">
        <v>3</v>
      </c>
      <c r="G290">
        <v>86</v>
      </c>
      <c r="H290" t="s">
        <v>675</v>
      </c>
      <c r="I290">
        <v>10</v>
      </c>
      <c r="J290" t="s">
        <v>674</v>
      </c>
      <c r="K290" t="s">
        <v>107</v>
      </c>
      <c r="L290">
        <v>98</v>
      </c>
      <c r="M290">
        <v>94</v>
      </c>
      <c r="N290">
        <v>52</v>
      </c>
      <c r="O290" s="4">
        <v>81.333333333333329</v>
      </c>
      <c r="P290" t="str">
        <f t="shared" si="8"/>
        <v>B</v>
      </c>
      <c r="Q290" t="str">
        <f t="shared" si="9"/>
        <v>Hayır</v>
      </c>
    </row>
    <row r="291" spans="1:17" x14ac:dyDescent="0.3">
      <c r="A291">
        <v>290</v>
      </c>
      <c r="B291">
        <v>16</v>
      </c>
      <c r="C291" t="s">
        <v>661</v>
      </c>
      <c r="D291" t="s">
        <v>663</v>
      </c>
      <c r="E291" t="s">
        <v>666</v>
      </c>
      <c r="F291">
        <v>3</v>
      </c>
      <c r="G291">
        <v>63</v>
      </c>
      <c r="H291" t="s">
        <v>674</v>
      </c>
      <c r="I291">
        <v>20</v>
      </c>
      <c r="J291" t="s">
        <v>674</v>
      </c>
      <c r="K291" t="s">
        <v>679</v>
      </c>
      <c r="L291">
        <v>42</v>
      </c>
      <c r="M291">
        <v>54</v>
      </c>
      <c r="N291">
        <v>86</v>
      </c>
      <c r="O291" s="4">
        <v>60.666666666666664</v>
      </c>
      <c r="P291" t="str">
        <f t="shared" si="8"/>
        <v>C</v>
      </c>
      <c r="Q291" t="str">
        <f t="shared" si="9"/>
        <v>Evet</v>
      </c>
    </row>
    <row r="292" spans="1:17" x14ac:dyDescent="0.3">
      <c r="A292">
        <v>291</v>
      </c>
      <c r="B292">
        <v>18</v>
      </c>
      <c r="C292" t="s">
        <v>659</v>
      </c>
      <c r="D292" t="s">
        <v>663</v>
      </c>
      <c r="E292" t="s">
        <v>666</v>
      </c>
      <c r="F292">
        <v>6</v>
      </c>
      <c r="G292">
        <v>69</v>
      </c>
      <c r="H292" t="s">
        <v>674</v>
      </c>
      <c r="I292">
        <v>45</v>
      </c>
      <c r="J292" t="s">
        <v>675</v>
      </c>
      <c r="K292" t="s">
        <v>680</v>
      </c>
      <c r="L292">
        <v>38</v>
      </c>
      <c r="M292">
        <v>92</v>
      </c>
      <c r="N292">
        <v>99</v>
      </c>
      <c r="O292" s="4">
        <v>76.333333333333329</v>
      </c>
      <c r="P292" t="str">
        <f t="shared" si="8"/>
        <v>C</v>
      </c>
      <c r="Q292" t="str">
        <f t="shared" si="9"/>
        <v>Evet</v>
      </c>
    </row>
    <row r="293" spans="1:17" x14ac:dyDescent="0.3">
      <c r="A293">
        <v>292</v>
      </c>
      <c r="B293">
        <v>15</v>
      </c>
      <c r="C293" t="s">
        <v>659</v>
      </c>
      <c r="D293" t="s">
        <v>663</v>
      </c>
      <c r="E293" t="s">
        <v>670</v>
      </c>
      <c r="F293">
        <v>6</v>
      </c>
      <c r="G293">
        <v>72</v>
      </c>
      <c r="H293" t="s">
        <v>675</v>
      </c>
      <c r="I293">
        <v>45</v>
      </c>
      <c r="J293" t="s">
        <v>674</v>
      </c>
      <c r="K293" t="s">
        <v>678</v>
      </c>
      <c r="L293">
        <v>37</v>
      </c>
      <c r="M293">
        <v>36</v>
      </c>
      <c r="N293">
        <v>85</v>
      </c>
      <c r="O293" s="4">
        <v>52.666666666666664</v>
      </c>
      <c r="P293" t="str">
        <f t="shared" si="8"/>
        <v>D</v>
      </c>
      <c r="Q293" t="str">
        <f t="shared" si="9"/>
        <v>Evet</v>
      </c>
    </row>
    <row r="294" spans="1:17" x14ac:dyDescent="0.3">
      <c r="A294">
        <v>293</v>
      </c>
      <c r="B294">
        <v>19</v>
      </c>
      <c r="C294" t="s">
        <v>660</v>
      </c>
      <c r="D294" t="s">
        <v>663</v>
      </c>
      <c r="E294" t="s">
        <v>670</v>
      </c>
      <c r="F294">
        <v>3</v>
      </c>
      <c r="G294">
        <v>88</v>
      </c>
      <c r="H294" t="s">
        <v>675</v>
      </c>
      <c r="I294">
        <v>75</v>
      </c>
      <c r="J294" t="s">
        <v>674</v>
      </c>
      <c r="K294" t="s">
        <v>679</v>
      </c>
      <c r="L294">
        <v>77</v>
      </c>
      <c r="M294">
        <v>47</v>
      </c>
      <c r="N294">
        <v>86</v>
      </c>
      <c r="O294">
        <v>70</v>
      </c>
      <c r="P294" t="str">
        <f t="shared" si="8"/>
        <v>C</v>
      </c>
      <c r="Q294" t="str">
        <f t="shared" si="9"/>
        <v>Hayır</v>
      </c>
    </row>
    <row r="295" spans="1:17" x14ac:dyDescent="0.3">
      <c r="A295">
        <v>294</v>
      </c>
      <c r="B295">
        <v>15</v>
      </c>
      <c r="C295" t="s">
        <v>659</v>
      </c>
      <c r="D295" t="s">
        <v>664</v>
      </c>
      <c r="E295" t="s">
        <v>665</v>
      </c>
      <c r="F295">
        <v>4</v>
      </c>
      <c r="G295">
        <v>58</v>
      </c>
      <c r="H295" t="s">
        <v>674</v>
      </c>
      <c r="I295">
        <v>10</v>
      </c>
      <c r="J295" t="s">
        <v>675</v>
      </c>
      <c r="K295" t="s">
        <v>681</v>
      </c>
      <c r="L295">
        <v>79</v>
      </c>
      <c r="M295">
        <v>64</v>
      </c>
      <c r="N295">
        <v>90</v>
      </c>
      <c r="O295" s="4">
        <v>77.666666666666671</v>
      </c>
      <c r="P295" t="str">
        <f t="shared" si="8"/>
        <v>C</v>
      </c>
      <c r="Q295" t="str">
        <f t="shared" si="9"/>
        <v>Hayır</v>
      </c>
    </row>
    <row r="296" spans="1:17" x14ac:dyDescent="0.3">
      <c r="A296">
        <v>295</v>
      </c>
      <c r="B296">
        <v>17</v>
      </c>
      <c r="C296" t="s">
        <v>660</v>
      </c>
      <c r="D296" t="s">
        <v>663</v>
      </c>
      <c r="E296" t="s">
        <v>668</v>
      </c>
      <c r="F296">
        <v>4</v>
      </c>
      <c r="G296">
        <v>67</v>
      </c>
      <c r="H296" t="s">
        <v>674</v>
      </c>
      <c r="I296">
        <v>75</v>
      </c>
      <c r="J296" t="s">
        <v>675</v>
      </c>
      <c r="K296" t="s">
        <v>107</v>
      </c>
      <c r="L296">
        <v>44</v>
      </c>
      <c r="M296">
        <v>66</v>
      </c>
      <c r="N296">
        <v>97</v>
      </c>
      <c r="O296">
        <v>69</v>
      </c>
      <c r="P296" t="str">
        <f t="shared" si="8"/>
        <v>C</v>
      </c>
      <c r="Q296" t="str">
        <f t="shared" si="9"/>
        <v>Evet</v>
      </c>
    </row>
    <row r="297" spans="1:17" x14ac:dyDescent="0.3">
      <c r="A297">
        <v>296</v>
      </c>
      <c r="B297">
        <v>17</v>
      </c>
      <c r="C297" t="s">
        <v>660</v>
      </c>
      <c r="D297" t="s">
        <v>664</v>
      </c>
      <c r="E297" t="s">
        <v>667</v>
      </c>
      <c r="F297">
        <v>4</v>
      </c>
      <c r="G297">
        <v>76</v>
      </c>
      <c r="H297" t="s">
        <v>674</v>
      </c>
      <c r="I297">
        <v>20</v>
      </c>
      <c r="J297" t="s">
        <v>675</v>
      </c>
      <c r="K297" t="s">
        <v>680</v>
      </c>
      <c r="L297">
        <v>75</v>
      </c>
      <c r="M297">
        <v>95</v>
      </c>
      <c r="N297">
        <v>81</v>
      </c>
      <c r="O297" s="4">
        <v>83.666666666666671</v>
      </c>
      <c r="P297" t="str">
        <f t="shared" si="8"/>
        <v>B</v>
      </c>
      <c r="Q297" t="str">
        <f t="shared" si="9"/>
        <v>Evet</v>
      </c>
    </row>
    <row r="298" spans="1:17" x14ac:dyDescent="0.3">
      <c r="A298">
        <v>297</v>
      </c>
      <c r="B298">
        <v>19</v>
      </c>
      <c r="C298" t="s">
        <v>661</v>
      </c>
      <c r="D298" t="s">
        <v>663</v>
      </c>
      <c r="E298" t="s">
        <v>667</v>
      </c>
      <c r="F298">
        <v>3</v>
      </c>
      <c r="G298">
        <v>83</v>
      </c>
      <c r="H298" t="s">
        <v>674</v>
      </c>
      <c r="I298">
        <v>20</v>
      </c>
      <c r="J298" t="s">
        <v>674</v>
      </c>
      <c r="K298" t="s">
        <v>677</v>
      </c>
      <c r="L298">
        <v>32</v>
      </c>
      <c r="M298">
        <v>56</v>
      </c>
      <c r="N298">
        <v>83</v>
      </c>
      <c r="O298">
        <v>57</v>
      </c>
      <c r="P298" t="str">
        <f t="shared" si="8"/>
        <v>D</v>
      </c>
      <c r="Q298" t="str">
        <f t="shared" si="9"/>
        <v>Evet</v>
      </c>
    </row>
    <row r="299" spans="1:17" x14ac:dyDescent="0.3">
      <c r="A299">
        <v>298</v>
      </c>
      <c r="B299">
        <v>16</v>
      </c>
      <c r="C299" t="s">
        <v>659</v>
      </c>
      <c r="D299" t="s">
        <v>663</v>
      </c>
      <c r="E299" t="s">
        <v>667</v>
      </c>
      <c r="F299">
        <v>7</v>
      </c>
      <c r="G299">
        <v>54</v>
      </c>
      <c r="H299" t="s">
        <v>674</v>
      </c>
      <c r="I299">
        <v>75</v>
      </c>
      <c r="J299" t="s">
        <v>674</v>
      </c>
      <c r="K299" t="s">
        <v>677</v>
      </c>
      <c r="L299">
        <v>65</v>
      </c>
      <c r="M299">
        <v>47</v>
      </c>
      <c r="N299">
        <v>68</v>
      </c>
      <c r="O299">
        <v>60</v>
      </c>
      <c r="P299" t="str">
        <f t="shared" si="8"/>
        <v>C</v>
      </c>
      <c r="Q299" t="str">
        <f t="shared" si="9"/>
        <v>Hayır</v>
      </c>
    </row>
    <row r="300" spans="1:17" x14ac:dyDescent="0.3">
      <c r="A300">
        <v>299</v>
      </c>
      <c r="B300">
        <v>15</v>
      </c>
      <c r="C300" t="s">
        <v>661</v>
      </c>
      <c r="D300" t="s">
        <v>663</v>
      </c>
      <c r="E300" t="s">
        <v>670</v>
      </c>
      <c r="F300">
        <v>2</v>
      </c>
      <c r="G300">
        <v>55</v>
      </c>
      <c r="H300" t="s">
        <v>674</v>
      </c>
      <c r="I300">
        <v>20</v>
      </c>
      <c r="J300" t="s">
        <v>675</v>
      </c>
      <c r="K300" t="s">
        <v>678</v>
      </c>
      <c r="L300">
        <v>76</v>
      </c>
      <c r="M300">
        <v>69</v>
      </c>
      <c r="N300">
        <v>68</v>
      </c>
      <c r="O300">
        <v>71</v>
      </c>
      <c r="P300" t="str">
        <f t="shared" si="8"/>
        <v>C</v>
      </c>
      <c r="Q300" t="str">
        <f t="shared" si="9"/>
        <v>Hayır</v>
      </c>
    </row>
    <row r="301" spans="1:17" x14ac:dyDescent="0.3">
      <c r="A301">
        <v>300</v>
      </c>
      <c r="B301">
        <v>14</v>
      </c>
      <c r="C301" t="s">
        <v>661</v>
      </c>
      <c r="D301" t="s">
        <v>664</v>
      </c>
      <c r="E301" t="s">
        <v>668</v>
      </c>
      <c r="F301">
        <v>6</v>
      </c>
      <c r="G301">
        <v>86</v>
      </c>
      <c r="H301" t="s">
        <v>674</v>
      </c>
      <c r="I301">
        <v>75</v>
      </c>
      <c r="J301" t="s">
        <v>675</v>
      </c>
      <c r="K301" t="s">
        <v>677</v>
      </c>
      <c r="L301">
        <v>73</v>
      </c>
      <c r="M301">
        <v>55</v>
      </c>
      <c r="N301">
        <v>89</v>
      </c>
      <c r="O301" s="4">
        <v>72.333333333333329</v>
      </c>
      <c r="P301" t="str">
        <f t="shared" si="8"/>
        <v>C</v>
      </c>
      <c r="Q301" t="str">
        <f t="shared" si="9"/>
        <v>Hayır</v>
      </c>
    </row>
    <row r="302" spans="1:17" x14ac:dyDescent="0.3">
      <c r="A302">
        <v>301</v>
      </c>
      <c r="B302">
        <v>16</v>
      </c>
      <c r="C302" t="s">
        <v>661</v>
      </c>
      <c r="D302" t="s">
        <v>664</v>
      </c>
      <c r="E302" t="s">
        <v>670</v>
      </c>
      <c r="F302">
        <v>4</v>
      </c>
      <c r="G302">
        <v>68</v>
      </c>
      <c r="H302" t="s">
        <v>674</v>
      </c>
      <c r="I302">
        <v>45</v>
      </c>
      <c r="J302" t="s">
        <v>674</v>
      </c>
      <c r="K302" t="s">
        <v>681</v>
      </c>
      <c r="L302">
        <v>53</v>
      </c>
      <c r="M302">
        <v>92</v>
      </c>
      <c r="N302">
        <v>65</v>
      </c>
      <c r="O302">
        <v>70</v>
      </c>
      <c r="P302" t="str">
        <f t="shared" si="8"/>
        <v>C</v>
      </c>
      <c r="Q302" t="str">
        <f t="shared" si="9"/>
        <v>Evet</v>
      </c>
    </row>
    <row r="303" spans="1:17" x14ac:dyDescent="0.3">
      <c r="A303">
        <v>302</v>
      </c>
      <c r="B303">
        <v>18</v>
      </c>
      <c r="C303" t="s">
        <v>661</v>
      </c>
      <c r="D303" t="s">
        <v>663</v>
      </c>
      <c r="E303" t="s">
        <v>665</v>
      </c>
      <c r="F303">
        <v>2</v>
      </c>
      <c r="G303">
        <v>58</v>
      </c>
      <c r="H303" t="s">
        <v>674</v>
      </c>
      <c r="I303">
        <v>20</v>
      </c>
      <c r="J303" t="s">
        <v>675</v>
      </c>
      <c r="K303" t="s">
        <v>677</v>
      </c>
      <c r="L303">
        <v>35</v>
      </c>
      <c r="M303">
        <v>56</v>
      </c>
      <c r="N303">
        <v>74</v>
      </c>
      <c r="O303">
        <v>55</v>
      </c>
      <c r="P303" t="str">
        <f t="shared" si="8"/>
        <v>D</v>
      </c>
      <c r="Q303" t="str">
        <f t="shared" si="9"/>
        <v>Evet</v>
      </c>
    </row>
    <row r="304" spans="1:17" x14ac:dyDescent="0.3">
      <c r="A304">
        <v>303</v>
      </c>
      <c r="B304">
        <v>14</v>
      </c>
      <c r="C304" t="s">
        <v>661</v>
      </c>
      <c r="D304" t="s">
        <v>663</v>
      </c>
      <c r="E304" t="s">
        <v>666</v>
      </c>
      <c r="F304">
        <v>3</v>
      </c>
      <c r="G304">
        <v>63</v>
      </c>
      <c r="H304" t="s">
        <v>674</v>
      </c>
      <c r="I304">
        <v>20</v>
      </c>
      <c r="J304" t="s">
        <v>675</v>
      </c>
      <c r="K304" t="s">
        <v>678</v>
      </c>
      <c r="L304">
        <v>97</v>
      </c>
      <c r="M304">
        <v>94</v>
      </c>
      <c r="N304">
        <v>73</v>
      </c>
      <c r="O304">
        <v>88</v>
      </c>
      <c r="P304" t="str">
        <f t="shared" si="8"/>
        <v>B</v>
      </c>
      <c r="Q304" t="str">
        <f t="shared" si="9"/>
        <v>Hayır</v>
      </c>
    </row>
    <row r="305" spans="1:17" x14ac:dyDescent="0.3">
      <c r="A305">
        <v>304</v>
      </c>
      <c r="B305">
        <v>19</v>
      </c>
      <c r="C305" t="s">
        <v>659</v>
      </c>
      <c r="D305" t="s">
        <v>664</v>
      </c>
      <c r="E305" t="s">
        <v>667</v>
      </c>
      <c r="F305">
        <v>3</v>
      </c>
      <c r="G305">
        <v>80</v>
      </c>
      <c r="H305" t="s">
        <v>675</v>
      </c>
      <c r="I305">
        <v>75</v>
      </c>
      <c r="J305" t="s">
        <v>674</v>
      </c>
      <c r="K305" t="s">
        <v>678</v>
      </c>
      <c r="L305">
        <v>71</v>
      </c>
      <c r="M305">
        <v>92</v>
      </c>
      <c r="N305">
        <v>63</v>
      </c>
      <c r="O305" s="4">
        <v>75.333333333333329</v>
      </c>
      <c r="P305" t="str">
        <f t="shared" si="8"/>
        <v>C</v>
      </c>
      <c r="Q305" t="str">
        <f t="shared" si="9"/>
        <v>Evet</v>
      </c>
    </row>
    <row r="306" spans="1:17" x14ac:dyDescent="0.3">
      <c r="A306">
        <v>305</v>
      </c>
      <c r="B306">
        <v>17</v>
      </c>
      <c r="C306" t="s">
        <v>660</v>
      </c>
      <c r="D306" t="s">
        <v>663</v>
      </c>
      <c r="E306" t="s">
        <v>667</v>
      </c>
      <c r="F306">
        <v>1</v>
      </c>
      <c r="G306">
        <v>98</v>
      </c>
      <c r="H306" t="s">
        <v>674</v>
      </c>
      <c r="I306">
        <v>75</v>
      </c>
      <c r="J306" t="s">
        <v>675</v>
      </c>
      <c r="K306" t="s">
        <v>681</v>
      </c>
      <c r="L306">
        <v>53</v>
      </c>
      <c r="M306">
        <v>53</v>
      </c>
      <c r="N306">
        <v>52</v>
      </c>
      <c r="O306" s="4">
        <v>52.666666666666664</v>
      </c>
      <c r="P306" t="str">
        <f t="shared" si="8"/>
        <v>D</v>
      </c>
      <c r="Q306" t="str">
        <f t="shared" si="9"/>
        <v>Hayır</v>
      </c>
    </row>
    <row r="307" spans="1:17" x14ac:dyDescent="0.3">
      <c r="A307">
        <v>306</v>
      </c>
      <c r="B307">
        <v>14</v>
      </c>
      <c r="C307" t="s">
        <v>660</v>
      </c>
      <c r="D307" t="s">
        <v>664</v>
      </c>
      <c r="E307" t="s">
        <v>665</v>
      </c>
      <c r="F307">
        <v>2</v>
      </c>
      <c r="G307">
        <v>87</v>
      </c>
      <c r="H307" t="s">
        <v>674</v>
      </c>
      <c r="I307">
        <v>75</v>
      </c>
      <c r="J307" t="s">
        <v>674</v>
      </c>
      <c r="K307" t="s">
        <v>679</v>
      </c>
      <c r="L307">
        <v>87</v>
      </c>
      <c r="M307">
        <v>84</v>
      </c>
      <c r="N307">
        <v>55</v>
      </c>
      <c r="O307" s="4">
        <v>75.333333333333329</v>
      </c>
      <c r="P307" t="str">
        <f t="shared" si="8"/>
        <v>C</v>
      </c>
      <c r="Q307" t="str">
        <f t="shared" si="9"/>
        <v>Hayır</v>
      </c>
    </row>
    <row r="308" spans="1:17" x14ac:dyDescent="0.3">
      <c r="A308">
        <v>307</v>
      </c>
      <c r="B308">
        <v>15</v>
      </c>
      <c r="C308" t="s">
        <v>661</v>
      </c>
      <c r="D308" t="s">
        <v>664</v>
      </c>
      <c r="E308" t="s">
        <v>665</v>
      </c>
      <c r="F308">
        <v>5</v>
      </c>
      <c r="G308">
        <v>90</v>
      </c>
      <c r="H308" t="s">
        <v>674</v>
      </c>
      <c r="I308">
        <v>75</v>
      </c>
      <c r="J308" t="s">
        <v>675</v>
      </c>
      <c r="K308" t="s">
        <v>681</v>
      </c>
      <c r="L308">
        <v>94</v>
      </c>
      <c r="M308">
        <v>91</v>
      </c>
      <c r="N308">
        <v>54</v>
      </c>
      <c r="O308" s="4">
        <v>79.666666666666671</v>
      </c>
      <c r="P308" t="str">
        <f t="shared" si="8"/>
        <v>C</v>
      </c>
      <c r="Q308" t="str">
        <f t="shared" si="9"/>
        <v>Hayır</v>
      </c>
    </row>
    <row r="309" spans="1:17" x14ac:dyDescent="0.3">
      <c r="A309">
        <v>308</v>
      </c>
      <c r="B309">
        <v>17</v>
      </c>
      <c r="C309" t="s">
        <v>659</v>
      </c>
      <c r="D309" t="s">
        <v>663</v>
      </c>
      <c r="E309" t="s">
        <v>666</v>
      </c>
      <c r="F309">
        <v>5</v>
      </c>
      <c r="G309">
        <v>80</v>
      </c>
      <c r="H309" t="s">
        <v>674</v>
      </c>
      <c r="I309">
        <v>20</v>
      </c>
      <c r="J309" t="s">
        <v>675</v>
      </c>
      <c r="K309" t="s">
        <v>679</v>
      </c>
      <c r="L309">
        <v>30</v>
      </c>
      <c r="M309">
        <v>20</v>
      </c>
      <c r="N309">
        <v>83</v>
      </c>
      <c r="O309" s="4">
        <v>44.333333333333336</v>
      </c>
      <c r="P309" t="str">
        <f t="shared" si="8"/>
        <v>D</v>
      </c>
      <c r="Q309" t="str">
        <f t="shared" si="9"/>
        <v>Evet</v>
      </c>
    </row>
    <row r="310" spans="1:17" x14ac:dyDescent="0.3">
      <c r="A310">
        <v>309</v>
      </c>
      <c r="B310">
        <v>15</v>
      </c>
      <c r="C310" t="s">
        <v>660</v>
      </c>
      <c r="D310" t="s">
        <v>664</v>
      </c>
      <c r="E310" t="s">
        <v>666</v>
      </c>
      <c r="F310">
        <v>6</v>
      </c>
      <c r="G310">
        <v>69</v>
      </c>
      <c r="H310" t="s">
        <v>674</v>
      </c>
      <c r="I310">
        <v>75</v>
      </c>
      <c r="J310" t="s">
        <v>674</v>
      </c>
      <c r="K310" t="s">
        <v>681</v>
      </c>
      <c r="L310">
        <v>100</v>
      </c>
      <c r="M310">
        <v>82</v>
      </c>
      <c r="N310">
        <v>62</v>
      </c>
      <c r="O310" s="4">
        <v>81.333333333333329</v>
      </c>
      <c r="P310" t="str">
        <f t="shared" si="8"/>
        <v>B</v>
      </c>
      <c r="Q310" t="str">
        <f t="shared" si="9"/>
        <v>Hayır</v>
      </c>
    </row>
    <row r="311" spans="1:17" x14ac:dyDescent="0.3">
      <c r="A311">
        <v>310</v>
      </c>
      <c r="B311">
        <v>14</v>
      </c>
      <c r="C311" t="s">
        <v>659</v>
      </c>
      <c r="D311" t="s">
        <v>664</v>
      </c>
      <c r="E311" t="s">
        <v>665</v>
      </c>
      <c r="F311">
        <v>5</v>
      </c>
      <c r="G311">
        <v>98</v>
      </c>
      <c r="H311" t="s">
        <v>674</v>
      </c>
      <c r="I311">
        <v>75</v>
      </c>
      <c r="J311" t="s">
        <v>675</v>
      </c>
      <c r="K311" t="s">
        <v>678</v>
      </c>
      <c r="L311">
        <v>52</v>
      </c>
      <c r="M311">
        <v>91</v>
      </c>
      <c r="N311">
        <v>67</v>
      </c>
      <c r="O311">
        <v>70</v>
      </c>
      <c r="P311" t="str">
        <f t="shared" si="8"/>
        <v>C</v>
      </c>
      <c r="Q311" t="str">
        <f t="shared" si="9"/>
        <v>Evet</v>
      </c>
    </row>
    <row r="312" spans="1:17" x14ac:dyDescent="0.3">
      <c r="A312">
        <v>311</v>
      </c>
      <c r="B312">
        <v>17</v>
      </c>
      <c r="C312" t="s">
        <v>659</v>
      </c>
      <c r="D312" t="s">
        <v>664</v>
      </c>
      <c r="E312" t="s">
        <v>665</v>
      </c>
      <c r="F312">
        <v>3</v>
      </c>
      <c r="G312">
        <v>54</v>
      </c>
      <c r="H312" t="s">
        <v>675</v>
      </c>
      <c r="I312">
        <v>75</v>
      </c>
      <c r="J312" t="s">
        <v>674</v>
      </c>
      <c r="K312" t="s">
        <v>679</v>
      </c>
      <c r="L312">
        <v>37</v>
      </c>
      <c r="M312">
        <v>20</v>
      </c>
      <c r="N312">
        <v>51</v>
      </c>
      <c r="O312">
        <v>36</v>
      </c>
      <c r="P312" t="str">
        <f t="shared" si="8"/>
        <v>F</v>
      </c>
      <c r="Q312" t="str">
        <f t="shared" si="9"/>
        <v>Hayır</v>
      </c>
    </row>
    <row r="313" spans="1:17" x14ac:dyDescent="0.3">
      <c r="A313">
        <v>312</v>
      </c>
      <c r="B313">
        <v>18</v>
      </c>
      <c r="C313" t="s">
        <v>661</v>
      </c>
      <c r="D313" t="s">
        <v>664</v>
      </c>
      <c r="E313" t="s">
        <v>665</v>
      </c>
      <c r="F313">
        <v>2</v>
      </c>
      <c r="G313">
        <v>90</v>
      </c>
      <c r="H313" t="s">
        <v>675</v>
      </c>
      <c r="I313">
        <v>20</v>
      </c>
      <c r="J313" t="s">
        <v>675</v>
      </c>
      <c r="K313" t="s">
        <v>678</v>
      </c>
      <c r="L313">
        <v>30</v>
      </c>
      <c r="M313">
        <v>91</v>
      </c>
      <c r="N313">
        <v>87</v>
      </c>
      <c r="O313" s="4">
        <v>69.333333333333329</v>
      </c>
      <c r="P313" t="str">
        <f t="shared" si="8"/>
        <v>C</v>
      </c>
      <c r="Q313" t="str">
        <f t="shared" si="9"/>
        <v>Evet</v>
      </c>
    </row>
    <row r="314" spans="1:17" x14ac:dyDescent="0.3">
      <c r="A314">
        <v>313</v>
      </c>
      <c r="B314">
        <v>14</v>
      </c>
      <c r="C314" t="s">
        <v>659</v>
      </c>
      <c r="D314" t="s">
        <v>663</v>
      </c>
      <c r="E314" t="s">
        <v>667</v>
      </c>
      <c r="F314">
        <v>1</v>
      </c>
      <c r="G314">
        <v>63</v>
      </c>
      <c r="H314" t="s">
        <v>674</v>
      </c>
      <c r="I314">
        <v>45</v>
      </c>
      <c r="J314" t="s">
        <v>674</v>
      </c>
      <c r="K314" t="s">
        <v>680</v>
      </c>
      <c r="L314">
        <v>30</v>
      </c>
      <c r="M314">
        <v>56</v>
      </c>
      <c r="N314">
        <v>60</v>
      </c>
      <c r="O314" s="4">
        <v>48.666666666666664</v>
      </c>
      <c r="P314" t="str">
        <f t="shared" si="8"/>
        <v>D</v>
      </c>
      <c r="Q314" t="str">
        <f t="shared" si="9"/>
        <v>Evet</v>
      </c>
    </row>
    <row r="315" spans="1:17" x14ac:dyDescent="0.3">
      <c r="A315">
        <v>314</v>
      </c>
      <c r="B315">
        <v>15</v>
      </c>
      <c r="C315" t="s">
        <v>661</v>
      </c>
      <c r="D315" t="s">
        <v>663</v>
      </c>
      <c r="E315" t="s">
        <v>668</v>
      </c>
      <c r="F315">
        <v>2</v>
      </c>
      <c r="G315">
        <v>80</v>
      </c>
      <c r="H315" t="s">
        <v>674</v>
      </c>
      <c r="I315">
        <v>75</v>
      </c>
      <c r="J315" t="s">
        <v>675</v>
      </c>
      <c r="K315" t="s">
        <v>680</v>
      </c>
      <c r="L315">
        <v>51</v>
      </c>
      <c r="M315">
        <v>76</v>
      </c>
      <c r="N315">
        <v>72</v>
      </c>
      <c r="O315" s="4">
        <v>66.333333333333329</v>
      </c>
      <c r="P315" t="str">
        <f t="shared" si="8"/>
        <v>C</v>
      </c>
      <c r="Q315" t="str">
        <f t="shared" si="9"/>
        <v>Evet</v>
      </c>
    </row>
    <row r="316" spans="1:17" x14ac:dyDescent="0.3">
      <c r="A316">
        <v>315</v>
      </c>
      <c r="B316">
        <v>15</v>
      </c>
      <c r="C316" t="s">
        <v>661</v>
      </c>
      <c r="D316" t="s">
        <v>664</v>
      </c>
      <c r="E316" t="s">
        <v>669</v>
      </c>
      <c r="F316">
        <v>2</v>
      </c>
      <c r="G316">
        <v>99</v>
      </c>
      <c r="H316" t="s">
        <v>674</v>
      </c>
      <c r="I316">
        <v>20</v>
      </c>
      <c r="J316" t="s">
        <v>674</v>
      </c>
      <c r="K316" t="s">
        <v>679</v>
      </c>
      <c r="L316">
        <v>92</v>
      </c>
      <c r="M316">
        <v>55</v>
      </c>
      <c r="N316">
        <v>57</v>
      </c>
      <c r="O316">
        <v>68</v>
      </c>
      <c r="P316" t="str">
        <f t="shared" si="8"/>
        <v>C</v>
      </c>
      <c r="Q316" t="str">
        <f t="shared" si="9"/>
        <v>Hayır</v>
      </c>
    </row>
    <row r="317" spans="1:17" x14ac:dyDescent="0.3">
      <c r="A317">
        <v>316</v>
      </c>
      <c r="B317">
        <v>17</v>
      </c>
      <c r="C317" t="s">
        <v>661</v>
      </c>
      <c r="D317" t="s">
        <v>663</v>
      </c>
      <c r="E317" t="s">
        <v>669</v>
      </c>
      <c r="F317">
        <v>6</v>
      </c>
      <c r="G317">
        <v>92</v>
      </c>
      <c r="H317" t="s">
        <v>674</v>
      </c>
      <c r="I317">
        <v>45</v>
      </c>
      <c r="J317" t="s">
        <v>674</v>
      </c>
      <c r="K317" t="s">
        <v>107</v>
      </c>
      <c r="L317">
        <v>60</v>
      </c>
      <c r="M317">
        <v>65</v>
      </c>
      <c r="N317">
        <v>94</v>
      </c>
      <c r="O317">
        <v>73</v>
      </c>
      <c r="P317" t="str">
        <f t="shared" si="8"/>
        <v>C</v>
      </c>
      <c r="Q317" t="str">
        <f t="shared" si="9"/>
        <v>Evet</v>
      </c>
    </row>
    <row r="318" spans="1:17" x14ac:dyDescent="0.3">
      <c r="A318">
        <v>317</v>
      </c>
      <c r="B318">
        <v>18</v>
      </c>
      <c r="C318" t="s">
        <v>659</v>
      </c>
      <c r="D318" t="s">
        <v>663</v>
      </c>
      <c r="E318" t="s">
        <v>669</v>
      </c>
      <c r="F318">
        <v>1</v>
      </c>
      <c r="G318">
        <v>93</v>
      </c>
      <c r="H318" t="s">
        <v>674</v>
      </c>
      <c r="I318">
        <v>75</v>
      </c>
      <c r="J318" t="s">
        <v>674</v>
      </c>
      <c r="K318" t="s">
        <v>678</v>
      </c>
      <c r="L318">
        <v>78</v>
      </c>
      <c r="M318">
        <v>57</v>
      </c>
      <c r="N318">
        <v>70</v>
      </c>
      <c r="O318" s="4">
        <v>68.333333333333329</v>
      </c>
      <c r="P318" t="str">
        <f t="shared" si="8"/>
        <v>C</v>
      </c>
      <c r="Q318" t="str">
        <f t="shared" si="9"/>
        <v>Hayır</v>
      </c>
    </row>
    <row r="319" spans="1:17" x14ac:dyDescent="0.3">
      <c r="A319">
        <v>318</v>
      </c>
      <c r="B319">
        <v>18</v>
      </c>
      <c r="C319" t="s">
        <v>659</v>
      </c>
      <c r="D319" t="s">
        <v>664</v>
      </c>
      <c r="E319" t="s">
        <v>666</v>
      </c>
      <c r="F319">
        <v>6</v>
      </c>
      <c r="G319">
        <v>91</v>
      </c>
      <c r="H319" t="s">
        <v>674</v>
      </c>
      <c r="I319">
        <v>10</v>
      </c>
      <c r="J319" t="s">
        <v>675</v>
      </c>
      <c r="K319" t="s">
        <v>680</v>
      </c>
      <c r="L319">
        <v>78</v>
      </c>
      <c r="M319">
        <v>31</v>
      </c>
      <c r="N319">
        <v>79</v>
      </c>
      <c r="O319" s="4">
        <v>62.666666666666664</v>
      </c>
      <c r="P319" t="str">
        <f t="shared" si="8"/>
        <v>C</v>
      </c>
      <c r="Q319" t="str">
        <f t="shared" si="9"/>
        <v>Hayır</v>
      </c>
    </row>
    <row r="320" spans="1:17" x14ac:dyDescent="0.3">
      <c r="A320">
        <v>319</v>
      </c>
      <c r="B320">
        <v>19</v>
      </c>
      <c r="C320" t="s">
        <v>660</v>
      </c>
      <c r="D320" t="s">
        <v>663</v>
      </c>
      <c r="E320" t="s">
        <v>670</v>
      </c>
      <c r="F320">
        <v>1</v>
      </c>
      <c r="G320">
        <v>73</v>
      </c>
      <c r="H320" t="s">
        <v>674</v>
      </c>
      <c r="I320">
        <v>45</v>
      </c>
      <c r="J320" t="s">
        <v>675</v>
      </c>
      <c r="K320" t="s">
        <v>680</v>
      </c>
      <c r="L320">
        <v>32</v>
      </c>
      <c r="M320">
        <v>82</v>
      </c>
      <c r="N320">
        <v>75</v>
      </c>
      <c r="O320">
        <v>63</v>
      </c>
      <c r="P320" t="str">
        <f t="shared" si="8"/>
        <v>C</v>
      </c>
      <c r="Q320" t="str">
        <f t="shared" si="9"/>
        <v>Evet</v>
      </c>
    </row>
    <row r="324" spans="13:15" x14ac:dyDescent="0.3">
      <c r="M324" s="1"/>
    </row>
    <row r="325" spans="13:15" x14ac:dyDescent="0.3">
      <c r="M325" s="1"/>
      <c r="O325" s="1"/>
    </row>
    <row r="327" spans="13:15" x14ac:dyDescent="0.3">
      <c r="M327" s="1"/>
    </row>
    <row r="351" spans="14:14" x14ac:dyDescent="0.3">
      <c r="N351" s="1"/>
    </row>
    <row r="359" spans="13:13" x14ac:dyDescent="0.3">
      <c r="M359" s="1"/>
    </row>
    <row r="373" spans="13:15" x14ac:dyDescent="0.3">
      <c r="M373" s="1"/>
      <c r="N373" s="1"/>
    </row>
    <row r="376" spans="13:15" x14ac:dyDescent="0.3">
      <c r="M376" s="1"/>
    </row>
    <row r="377" spans="13:15" x14ac:dyDescent="0.3">
      <c r="O377" s="1"/>
    </row>
    <row r="392" spans="13:13" x14ac:dyDescent="0.3">
      <c r="M392" s="1"/>
    </row>
    <row r="399" spans="13:13" x14ac:dyDescent="0.3">
      <c r="M399" s="1"/>
    </row>
    <row r="400" spans="13:13" x14ac:dyDescent="0.3">
      <c r="M400" s="1"/>
    </row>
    <row r="408" spans="14:15" x14ac:dyDescent="0.3">
      <c r="N408" s="1"/>
    </row>
    <row r="414" spans="14:15" x14ac:dyDescent="0.3">
      <c r="O414" s="1"/>
    </row>
    <row r="419" spans="13:15" x14ac:dyDescent="0.3">
      <c r="O419" s="1"/>
    </row>
    <row r="420" spans="13:15" x14ac:dyDescent="0.3">
      <c r="M420" s="1"/>
    </row>
    <row r="425" spans="13:15" x14ac:dyDescent="0.3">
      <c r="O425" s="1"/>
    </row>
    <row r="452" spans="13:15" x14ac:dyDescent="0.3">
      <c r="M452" s="1"/>
    </row>
    <row r="460" spans="13:15" x14ac:dyDescent="0.3">
      <c r="O460" s="1"/>
    </row>
    <row r="470" spans="14:15" x14ac:dyDescent="0.3">
      <c r="N470" s="1"/>
    </row>
    <row r="472" spans="14:15" x14ac:dyDescent="0.3">
      <c r="O472" s="1"/>
    </row>
    <row r="475" spans="14:15" x14ac:dyDescent="0.3">
      <c r="O475" s="1"/>
    </row>
    <row r="479" spans="14:15" x14ac:dyDescent="0.3">
      <c r="O479" s="1"/>
    </row>
    <row r="505" spans="14:15" x14ac:dyDescent="0.3">
      <c r="O505" s="1"/>
    </row>
    <row r="507" spans="14:15" x14ac:dyDescent="0.3">
      <c r="N507" s="1"/>
    </row>
    <row r="508" spans="14:15" x14ac:dyDescent="0.3">
      <c r="O508" s="1"/>
    </row>
    <row r="520" spans="13:16" x14ac:dyDescent="0.3">
      <c r="O520" s="1"/>
    </row>
    <row r="522" spans="13:16" x14ac:dyDescent="0.3">
      <c r="M522" s="1"/>
      <c r="O522" s="1"/>
    </row>
    <row r="526" spans="13:16" x14ac:dyDescent="0.3">
      <c r="N526" s="1"/>
      <c r="O526" s="1"/>
      <c r="P526" s="1"/>
    </row>
    <row r="539" spans="13:14" x14ac:dyDescent="0.3">
      <c r="M539" s="1"/>
      <c r="N539" s="1"/>
    </row>
    <row r="558" spans="13:16" x14ac:dyDescent="0.3">
      <c r="M558" s="1"/>
      <c r="P558" s="1"/>
    </row>
    <row r="560" spans="13:16" x14ac:dyDescent="0.3">
      <c r="N560" s="1"/>
    </row>
    <row r="579" spans="15:15" x14ac:dyDescent="0.3">
      <c r="O579" s="1"/>
    </row>
    <row r="611" spans="13:16" x14ac:dyDescent="0.3">
      <c r="N611" s="1"/>
      <c r="O611" s="1"/>
      <c r="P611" s="1"/>
    </row>
    <row r="617" spans="13:16" x14ac:dyDescent="0.3">
      <c r="N617" s="1"/>
    </row>
    <row r="619" spans="13:16" x14ac:dyDescent="0.3">
      <c r="M619" s="1"/>
    </row>
    <row r="621" spans="13:16" x14ac:dyDescent="0.3">
      <c r="O621" s="1"/>
    </row>
    <row r="628" spans="13:15" x14ac:dyDescent="0.3">
      <c r="M628" s="1"/>
    </row>
    <row r="630" spans="13:15" x14ac:dyDescent="0.3">
      <c r="O630" s="1"/>
    </row>
    <row r="643" spans="13:16" x14ac:dyDescent="0.3">
      <c r="N643" s="1"/>
    </row>
    <row r="646" spans="13:16" x14ac:dyDescent="0.3">
      <c r="M646" s="1"/>
      <c r="O646" s="1"/>
      <c r="P646" s="1"/>
    </row>
    <row r="661" spans="13:16" x14ac:dyDescent="0.3">
      <c r="M661" s="1"/>
      <c r="N661" s="1"/>
      <c r="P661" s="1"/>
    </row>
    <row r="669" spans="13:16" x14ac:dyDescent="0.3">
      <c r="N669" s="1"/>
    </row>
    <row r="670" spans="13:16" x14ac:dyDescent="0.3">
      <c r="M670" s="1"/>
      <c r="N670" s="1"/>
      <c r="O670" s="1"/>
      <c r="P670" s="1"/>
    </row>
    <row r="675" spans="13:14" x14ac:dyDescent="0.3">
      <c r="M675" s="1"/>
    </row>
    <row r="682" spans="13:14" x14ac:dyDescent="0.3">
      <c r="N682" s="1"/>
    </row>
    <row r="695" spans="14:15" x14ac:dyDescent="0.3">
      <c r="O695" s="1"/>
    </row>
    <row r="704" spans="14:15" x14ac:dyDescent="0.3">
      <c r="N704" s="1"/>
      <c r="O704" s="1"/>
    </row>
    <row r="706" spans="13:16" x14ac:dyDescent="0.3">
      <c r="N706" s="1"/>
      <c r="O706" s="1"/>
    </row>
    <row r="720" spans="13:16" x14ac:dyDescent="0.3">
      <c r="M720" s="1"/>
      <c r="O720" s="1"/>
      <c r="P720" s="1"/>
    </row>
    <row r="735" spans="15:15" x14ac:dyDescent="0.3">
      <c r="O735" s="1"/>
    </row>
    <row r="738" spans="15:15" x14ac:dyDescent="0.3">
      <c r="O738" s="1"/>
    </row>
    <row r="754" spans="13:15" x14ac:dyDescent="0.3">
      <c r="O754" s="1"/>
    </row>
    <row r="756" spans="13:15" x14ac:dyDescent="0.3">
      <c r="N756" s="1"/>
      <c r="O756" s="1"/>
    </row>
    <row r="757" spans="13:15" x14ac:dyDescent="0.3">
      <c r="M757" s="1"/>
    </row>
    <row r="764" spans="13:15" x14ac:dyDescent="0.3">
      <c r="M764" s="1"/>
    </row>
    <row r="770" spans="13:16" x14ac:dyDescent="0.3">
      <c r="N770" s="1"/>
    </row>
    <row r="772" spans="13:16" x14ac:dyDescent="0.3">
      <c r="N772" s="1"/>
      <c r="O772" s="1"/>
    </row>
    <row r="774" spans="13:16" x14ac:dyDescent="0.3">
      <c r="M774" s="1"/>
      <c r="P774" s="1"/>
    </row>
    <row r="778" spans="13:16" x14ac:dyDescent="0.3">
      <c r="M778" s="1"/>
    </row>
    <row r="781" spans="13:16" x14ac:dyDescent="0.3">
      <c r="M781" s="1"/>
    </row>
    <row r="839" spans="13:15" x14ac:dyDescent="0.3">
      <c r="O839" s="1"/>
    </row>
    <row r="843" spans="13:15" x14ac:dyDescent="0.3">
      <c r="M843" s="1"/>
    </row>
    <row r="845" spans="13:15" x14ac:dyDescent="0.3">
      <c r="N845" s="1"/>
    </row>
    <row r="856" spans="13:15" x14ac:dyDescent="0.3">
      <c r="M856" s="1"/>
      <c r="O856" s="1"/>
    </row>
    <row r="884" spans="14:16" x14ac:dyDescent="0.3">
      <c r="N884" s="1"/>
      <c r="O884" s="1"/>
    </row>
    <row r="895" spans="14:16" x14ac:dyDescent="0.3">
      <c r="N895" s="1"/>
      <c r="O895" s="1"/>
      <c r="P895" s="1"/>
    </row>
    <row r="915" spans="13:15" x14ac:dyDescent="0.3">
      <c r="N915" s="1"/>
    </row>
    <row r="918" spans="13:15" x14ac:dyDescent="0.3">
      <c r="M918" s="1"/>
      <c r="O918" s="1"/>
    </row>
    <row r="938" spans="13:15" x14ac:dyDescent="0.3">
      <c r="M938" s="1"/>
      <c r="N938" s="1"/>
      <c r="O938" s="1"/>
    </row>
    <row r="962" spans="15:15" x14ac:dyDescent="0.3">
      <c r="O962" s="1"/>
    </row>
    <row r="963" spans="15:15" x14ac:dyDescent="0.3">
      <c r="O963" s="1"/>
    </row>
    <row r="969" spans="15:15" x14ac:dyDescent="0.3">
      <c r="O969" s="1"/>
    </row>
    <row r="979" spans="13:16" x14ac:dyDescent="0.3">
      <c r="N979" s="1"/>
    </row>
    <row r="987" spans="13:16" x14ac:dyDescent="0.3">
      <c r="M987" s="1"/>
      <c r="N987" s="1"/>
      <c r="O987" s="1"/>
      <c r="P987" s="1"/>
    </row>
    <row r="1015" spans="13:15" x14ac:dyDescent="0.3">
      <c r="M1015" s="1"/>
    </row>
    <row r="1017" spans="13:15" x14ac:dyDescent="0.3">
      <c r="N1017" s="1"/>
      <c r="O1017" s="1"/>
    </row>
    <row r="1021" spans="13:15" x14ac:dyDescent="0.3">
      <c r="M1021" s="1"/>
      <c r="N1021" s="1"/>
    </row>
    <row r="1038" spans="14:15" x14ac:dyDescent="0.3">
      <c r="N1038" s="1"/>
      <c r="O1038" s="1"/>
    </row>
    <row r="1039" spans="14:15" x14ac:dyDescent="0.3">
      <c r="N1039" s="1"/>
    </row>
    <row r="1044" spans="13:16" x14ac:dyDescent="0.3">
      <c r="O1044" s="1"/>
    </row>
    <row r="1048" spans="13:16" x14ac:dyDescent="0.3">
      <c r="M1048" s="1"/>
      <c r="N1048" s="1"/>
    </row>
    <row r="1052" spans="13:16" x14ac:dyDescent="0.3">
      <c r="N1052" s="1"/>
      <c r="P1052" s="1"/>
    </row>
    <row r="1070" spans="15:15" x14ac:dyDescent="0.3">
      <c r="O1070" s="1"/>
    </row>
    <row r="1085" spans="14:16" x14ac:dyDescent="0.3">
      <c r="N1085" s="1"/>
      <c r="P1085" s="1"/>
    </row>
    <row r="1105" spans="13:16" x14ac:dyDescent="0.3">
      <c r="O1105" s="1"/>
    </row>
    <row r="1109" spans="13:16" x14ac:dyDescent="0.3">
      <c r="N1109" s="1"/>
      <c r="P1109" s="1"/>
    </row>
    <row r="1111" spans="13:16" x14ac:dyDescent="0.3">
      <c r="M1111" s="1"/>
      <c r="O1111" s="1"/>
    </row>
    <row r="1119" spans="13:16" x14ac:dyDescent="0.3">
      <c r="N1119" s="1"/>
    </row>
    <row r="1122" spans="15:15" x14ac:dyDescent="0.3">
      <c r="O1122" s="1"/>
    </row>
    <row r="1133" spans="15:15" x14ac:dyDescent="0.3">
      <c r="O1133" s="1"/>
    </row>
    <row r="1138" spans="13:16" x14ac:dyDescent="0.3">
      <c r="N1138" s="1"/>
    </row>
    <row r="1140" spans="13:16" x14ac:dyDescent="0.3">
      <c r="M1140" s="1"/>
      <c r="O1140" s="1"/>
      <c r="P1140" s="1"/>
    </row>
    <row r="1142" spans="13:16" x14ac:dyDescent="0.3">
      <c r="M1142" s="1"/>
      <c r="O1142" s="1"/>
      <c r="P1142" s="1"/>
    </row>
    <row r="1144" spans="13:16" x14ac:dyDescent="0.3">
      <c r="N1144" s="1"/>
      <c r="O1144" s="1"/>
      <c r="P1144" s="1"/>
    </row>
    <row r="1145" spans="13:16" x14ac:dyDescent="0.3">
      <c r="O1145" s="1"/>
    </row>
    <row r="1149" spans="13:16" x14ac:dyDescent="0.3">
      <c r="N1149" s="1"/>
    </row>
    <row r="1155" spans="13:16" x14ac:dyDescent="0.3">
      <c r="M1155" s="1"/>
      <c r="O1155" s="1"/>
    </row>
    <row r="1165" spans="13:16" x14ac:dyDescent="0.3">
      <c r="M1165" s="1"/>
    </row>
    <row r="1166" spans="13:16" x14ac:dyDescent="0.3">
      <c r="N1166" s="1"/>
      <c r="O1166" s="1"/>
      <c r="P1166" s="1"/>
    </row>
    <row r="1173" spans="13:16" x14ac:dyDescent="0.3">
      <c r="M1173" s="1"/>
      <c r="O1173" s="1"/>
      <c r="P1173" s="1"/>
    </row>
    <row r="1175" spans="13:16" x14ac:dyDescent="0.3">
      <c r="O1175" s="1"/>
    </row>
    <row r="1188" spans="13:16" x14ac:dyDescent="0.3">
      <c r="M1188" s="1"/>
      <c r="P1188" s="1"/>
    </row>
    <row r="1203" spans="13:15" x14ac:dyDescent="0.3">
      <c r="O1203" s="1"/>
    </row>
    <row r="1207" spans="13:15" x14ac:dyDescent="0.3">
      <c r="O1207" s="1"/>
    </row>
    <row r="1209" spans="13:15" x14ac:dyDescent="0.3">
      <c r="N1209" s="1"/>
    </row>
    <row r="1210" spans="13:15" x14ac:dyDescent="0.3">
      <c r="M1210" s="1"/>
    </row>
    <row r="1218" spans="13:13" x14ac:dyDescent="0.3">
      <c r="M1218" s="1"/>
    </row>
    <row r="1239" spans="13:14" x14ac:dyDescent="0.3">
      <c r="M1239" s="1"/>
    </row>
    <row r="1244" spans="13:14" x14ac:dyDescent="0.3">
      <c r="N1244" s="1"/>
    </row>
    <row r="1281" spans="15:16" x14ac:dyDescent="0.3">
      <c r="O1281" s="1"/>
      <c r="P1281" s="1"/>
    </row>
    <row r="1289" spans="15:16" x14ac:dyDescent="0.3">
      <c r="O1289" s="1"/>
    </row>
    <row r="1297" spans="13:16" x14ac:dyDescent="0.3">
      <c r="M1297" s="1"/>
      <c r="P1297" s="1"/>
    </row>
    <row r="1301" spans="13:16" x14ac:dyDescent="0.3">
      <c r="N1301" s="1"/>
    </row>
    <row r="1302" spans="13:16" x14ac:dyDescent="0.3">
      <c r="N1302" s="1"/>
      <c r="O1302" s="1"/>
    </row>
    <row r="1314" spans="14:14" x14ac:dyDescent="0.3">
      <c r="N1314" s="1"/>
    </row>
    <row r="1339" spans="13:13" x14ac:dyDescent="0.3">
      <c r="M1339" s="1"/>
    </row>
    <row r="1359" spans="13:15" x14ac:dyDescent="0.3">
      <c r="M1359" s="1"/>
    </row>
    <row r="1360" spans="13:15" x14ac:dyDescent="0.3">
      <c r="O1360" s="1"/>
    </row>
    <row r="1369" spans="13:16" x14ac:dyDescent="0.3">
      <c r="M1369" s="1"/>
      <c r="N1369" s="1"/>
      <c r="P1369" s="1"/>
    </row>
    <row r="1376" spans="13:16" x14ac:dyDescent="0.3">
      <c r="N1376" s="1"/>
    </row>
    <row r="1382" spans="13:15" x14ac:dyDescent="0.3">
      <c r="M1382" s="1"/>
    </row>
    <row r="1384" spans="13:15" x14ac:dyDescent="0.3">
      <c r="O1384" s="1"/>
    </row>
    <row r="1401" spans="13:16" x14ac:dyDescent="0.3">
      <c r="N1401" s="1"/>
    </row>
    <row r="1403" spans="13:16" x14ac:dyDescent="0.3">
      <c r="M1403" s="1"/>
      <c r="N1403" s="1"/>
      <c r="O1403" s="1"/>
      <c r="P1403" s="1"/>
    </row>
    <row r="1405" spans="13:16" x14ac:dyDescent="0.3">
      <c r="N1405" s="1"/>
    </row>
    <row r="1415" spans="13:16" x14ac:dyDescent="0.3">
      <c r="M1415" s="1"/>
      <c r="O1415" s="1"/>
      <c r="P1415" s="1"/>
    </row>
    <row r="1444" spans="13:15" x14ac:dyDescent="0.3">
      <c r="O1444" s="1"/>
    </row>
    <row r="1450" spans="13:15" x14ac:dyDescent="0.3">
      <c r="M1450" s="1"/>
    </row>
    <row r="1460" spans="13:15" x14ac:dyDescent="0.3">
      <c r="N1460" s="1"/>
      <c r="O1460" s="1"/>
    </row>
    <row r="1472" spans="13:15" x14ac:dyDescent="0.3">
      <c r="M1472" s="1"/>
    </row>
    <row r="1476" spans="13:15" x14ac:dyDescent="0.3">
      <c r="M1476" s="1"/>
      <c r="N1476" s="1"/>
      <c r="O1476" s="1"/>
    </row>
    <row r="1495" spans="15:15" x14ac:dyDescent="0.3">
      <c r="O1495" s="1"/>
    </row>
    <row r="1512" spans="13:15" x14ac:dyDescent="0.3">
      <c r="O1512" s="1"/>
    </row>
    <row r="1513" spans="13:15" x14ac:dyDescent="0.3">
      <c r="N1513" s="1"/>
      <c r="O1513" s="1"/>
    </row>
    <row r="1516" spans="13:15" x14ac:dyDescent="0.3">
      <c r="O1516" s="1"/>
    </row>
    <row r="1517" spans="13:15" x14ac:dyDescent="0.3">
      <c r="M1517" s="1"/>
    </row>
    <row r="1533" spans="13:16" x14ac:dyDescent="0.3">
      <c r="M1533" s="1"/>
      <c r="N1533" s="1"/>
      <c r="P1533" s="1"/>
    </row>
    <row r="1536" spans="13:16" x14ac:dyDescent="0.3">
      <c r="O1536" s="1"/>
    </row>
    <row r="1540" spans="14:16" x14ac:dyDescent="0.3">
      <c r="O1540" s="1"/>
    </row>
    <row r="1541" spans="14:16" x14ac:dyDescent="0.3">
      <c r="O1541" s="1"/>
    </row>
    <row r="1546" spans="14:16" x14ac:dyDescent="0.3">
      <c r="N1546" s="1"/>
    </row>
    <row r="1550" spans="14:16" x14ac:dyDescent="0.3">
      <c r="P1550" s="1"/>
    </row>
    <row r="1568" spans="13:16" x14ac:dyDescent="0.3">
      <c r="M1568" s="1"/>
      <c r="N1568" s="1"/>
      <c r="O1568" s="1"/>
      <c r="P1568" s="1"/>
    </row>
    <row r="1570" spans="13:16" x14ac:dyDescent="0.3">
      <c r="M1570" s="1"/>
    </row>
    <row r="1573" spans="13:16" x14ac:dyDescent="0.3">
      <c r="N1573" s="1"/>
    </row>
    <row r="1576" spans="13:16" x14ac:dyDescent="0.3">
      <c r="N1576" s="1"/>
    </row>
    <row r="1579" spans="13:16" x14ac:dyDescent="0.3">
      <c r="M1579" s="1"/>
      <c r="N1579" s="1"/>
    </row>
    <row r="1581" spans="13:16" x14ac:dyDescent="0.3">
      <c r="M1581" s="1"/>
      <c r="N1581" s="1"/>
      <c r="O1581" s="1"/>
      <c r="P1581" s="1"/>
    </row>
    <row r="1582" spans="13:16" x14ac:dyDescent="0.3">
      <c r="M1582" s="1"/>
      <c r="N1582" s="1"/>
      <c r="O1582" s="1"/>
      <c r="P1582" s="1"/>
    </row>
    <row r="1586" spans="13:15" x14ac:dyDescent="0.3">
      <c r="O1586" s="1"/>
    </row>
    <row r="1600" spans="13:15" x14ac:dyDescent="0.3">
      <c r="M1600" s="1"/>
      <c r="N1600" s="1"/>
      <c r="O1600" s="1"/>
    </row>
    <row r="1606" spans="15:15" x14ac:dyDescent="0.3">
      <c r="O1606" s="1"/>
    </row>
    <row r="1618" spans="14:16" x14ac:dyDescent="0.3">
      <c r="N1618" s="1"/>
      <c r="O1618" s="1"/>
    </row>
    <row r="1622" spans="14:16" x14ac:dyDescent="0.3">
      <c r="N1622" s="1"/>
    </row>
    <row r="1630" spans="14:16" x14ac:dyDescent="0.3">
      <c r="N1630" s="1"/>
      <c r="P1630" s="1"/>
    </row>
    <row r="1633" spans="13:16" x14ac:dyDescent="0.3">
      <c r="M1633" s="1"/>
      <c r="N1633" s="1"/>
      <c r="O1633" s="1"/>
      <c r="P1633" s="1"/>
    </row>
    <row r="1638" spans="13:16" x14ac:dyDescent="0.3">
      <c r="N1638" s="1"/>
    </row>
    <row r="1645" spans="13:16" x14ac:dyDescent="0.3">
      <c r="M1645" s="1"/>
      <c r="N1645" s="1"/>
      <c r="P1645" s="1"/>
    </row>
    <row r="1662" spans="13:16" x14ac:dyDescent="0.3">
      <c r="N1662" s="1"/>
    </row>
    <row r="1664" spans="13:16" x14ac:dyDescent="0.3">
      <c r="M1664" s="1"/>
      <c r="O1664" s="1"/>
      <c r="P1664" s="1"/>
    </row>
    <row r="1667" spans="14:14" x14ac:dyDescent="0.3">
      <c r="N1667" s="1"/>
    </row>
    <row r="1684" spans="13:16" x14ac:dyDescent="0.3">
      <c r="M1684" s="1"/>
      <c r="N1684" s="1"/>
      <c r="P1684" s="1"/>
    </row>
    <row r="1700" spans="13:15" x14ac:dyDescent="0.3">
      <c r="N1700" s="1"/>
    </row>
    <row r="1701" spans="13:15" x14ac:dyDescent="0.3">
      <c r="M1701" s="1"/>
      <c r="N1701" s="1"/>
    </row>
    <row r="1711" spans="13:15" x14ac:dyDescent="0.3">
      <c r="N1711" s="1"/>
    </row>
    <row r="1712" spans="13:15" x14ac:dyDescent="0.3">
      <c r="O1712" s="1"/>
    </row>
    <row r="1717" spans="14:15" x14ac:dyDescent="0.3">
      <c r="N1717" s="1"/>
      <c r="O1717" s="1"/>
    </row>
    <row r="1730" spans="13:15" x14ac:dyDescent="0.3">
      <c r="O1730" s="1"/>
    </row>
    <row r="1731" spans="13:15" x14ac:dyDescent="0.3">
      <c r="M1731" s="1"/>
    </row>
    <row r="1734" spans="13:15" x14ac:dyDescent="0.3">
      <c r="M1734" s="1"/>
      <c r="N1734" s="1"/>
    </row>
    <row r="1773" spans="16:16" x14ac:dyDescent="0.3">
      <c r="P1773" s="1"/>
    </row>
    <row r="1799" spans="15:15" x14ac:dyDescent="0.3">
      <c r="O1799" s="1"/>
    </row>
    <row r="1805" spans="15:15" x14ac:dyDescent="0.3">
      <c r="O1805" s="1"/>
    </row>
    <row r="1819" spans="14:16" x14ac:dyDescent="0.3">
      <c r="O1819" s="1"/>
    </row>
    <row r="1823" spans="14:16" x14ac:dyDescent="0.3">
      <c r="N1823" s="1"/>
      <c r="P1823" s="1"/>
    </row>
    <row r="1843" spans="14:15" x14ac:dyDescent="0.3">
      <c r="N1843" s="1"/>
    </row>
    <row r="1852" spans="14:15" x14ac:dyDescent="0.3">
      <c r="N1852" s="1"/>
      <c r="O1852" s="1"/>
    </row>
    <row r="1857" spans="13:16" x14ac:dyDescent="0.3">
      <c r="M1857" s="1"/>
      <c r="N1857" s="1"/>
      <c r="O1857" s="1"/>
      <c r="P1857" s="1"/>
    </row>
    <row r="1858" spans="13:16" x14ac:dyDescent="0.3">
      <c r="M1858" s="1"/>
      <c r="O1858" s="1"/>
      <c r="P1858" s="1"/>
    </row>
    <row r="1862" spans="13:16" x14ac:dyDescent="0.3">
      <c r="O1862" s="1"/>
    </row>
    <row r="1875" spans="14:16" x14ac:dyDescent="0.3">
      <c r="N1875" s="1"/>
      <c r="O1875" s="1"/>
      <c r="P1875" s="1"/>
    </row>
    <row r="1876" spans="14:16" x14ac:dyDescent="0.3">
      <c r="N1876" s="1"/>
      <c r="O1876" s="1"/>
    </row>
    <row r="1895" spans="15:15" x14ac:dyDescent="0.3">
      <c r="O1895" s="1"/>
    </row>
    <row r="1912" spans="15:15" x14ac:dyDescent="0.3">
      <c r="O1912" s="1"/>
    </row>
    <row r="1918" spans="15:15" x14ac:dyDescent="0.3">
      <c r="O1918" s="1"/>
    </row>
    <row r="1923" spans="13:16" x14ac:dyDescent="0.3">
      <c r="N1923" s="1"/>
    </row>
    <row r="1925" spans="13:16" x14ac:dyDescent="0.3">
      <c r="M1925" s="1"/>
    </row>
    <row r="1932" spans="13:16" x14ac:dyDescent="0.3">
      <c r="N1932" s="1"/>
    </row>
    <row r="1934" spans="13:16" x14ac:dyDescent="0.3">
      <c r="M1934" s="1"/>
      <c r="P1934" s="1"/>
    </row>
    <row r="1954" spans="14:15" x14ac:dyDescent="0.3">
      <c r="N1954" s="1"/>
    </row>
    <row r="1957" spans="14:15" x14ac:dyDescent="0.3">
      <c r="N1957" s="1"/>
      <c r="O1957" s="1"/>
    </row>
    <row r="1980" spans="13:13" x14ac:dyDescent="0.3">
      <c r="M1980" s="1"/>
    </row>
    <row r="2010" spans="13:15" x14ac:dyDescent="0.3">
      <c r="O2010" s="1"/>
    </row>
    <row r="2014" spans="13:15" x14ac:dyDescent="0.3">
      <c r="M2014" s="1"/>
      <c r="N2014" s="1"/>
    </row>
    <row r="2032" spans="14:16" x14ac:dyDescent="0.3">
      <c r="N2032" s="1"/>
      <c r="O2032" s="1"/>
      <c r="P2032" s="1"/>
    </row>
    <row r="2034" spans="13:16" x14ac:dyDescent="0.3">
      <c r="M2034" s="1"/>
      <c r="N2034" s="1"/>
    </row>
    <row r="2048" spans="13:16" x14ac:dyDescent="0.3">
      <c r="M2048" s="1"/>
      <c r="N2048" s="1"/>
      <c r="O2048" s="1"/>
      <c r="P2048" s="1"/>
    </row>
    <row r="2053" spans="13:14" x14ac:dyDescent="0.3">
      <c r="M2053" s="1"/>
      <c r="N2053" s="1"/>
    </row>
    <row r="2067" spans="13:15" x14ac:dyDescent="0.3">
      <c r="M2067" s="1"/>
    </row>
    <row r="2072" spans="13:15" x14ac:dyDescent="0.3">
      <c r="O2072" s="1"/>
    </row>
    <row r="2075" spans="13:15" x14ac:dyDescent="0.3">
      <c r="M2075" s="1"/>
    </row>
    <row r="2079" spans="13:15" x14ac:dyDescent="0.3">
      <c r="O2079" s="1"/>
    </row>
    <row r="2112" spans="15:15" x14ac:dyDescent="0.3">
      <c r="O2112" s="1"/>
    </row>
    <row r="2135" spans="13:13" x14ac:dyDescent="0.3">
      <c r="M2135" s="1"/>
    </row>
    <row r="2144" spans="13:13" x14ac:dyDescent="0.3">
      <c r="M2144" s="1"/>
    </row>
    <row r="2149" spans="15:15" x14ac:dyDescent="0.3">
      <c r="O2149" s="1"/>
    </row>
    <row r="2155" spans="15:15" x14ac:dyDescent="0.3">
      <c r="O2155" s="1"/>
    </row>
    <row r="2161" spans="15:15" x14ac:dyDescent="0.3">
      <c r="O2161" s="1"/>
    </row>
    <row r="2179" spans="14:15" x14ac:dyDescent="0.3">
      <c r="N2179" s="1"/>
      <c r="O2179" s="1"/>
    </row>
    <row r="2195" spans="13:14" x14ac:dyDescent="0.3">
      <c r="M2195" s="1"/>
    </row>
    <row r="2197" spans="13:14" x14ac:dyDescent="0.3">
      <c r="M2197" s="1"/>
    </row>
    <row r="2207" spans="13:14" x14ac:dyDescent="0.3">
      <c r="M2207" s="1"/>
      <c r="N2207" s="1"/>
    </row>
    <row r="2210" spans="14:14" x14ac:dyDescent="0.3">
      <c r="N2210" s="1"/>
    </row>
    <row r="2226" spans="13:14" x14ac:dyDescent="0.3">
      <c r="N2226" s="1"/>
    </row>
    <row r="2227" spans="13:14" x14ac:dyDescent="0.3">
      <c r="M2227" s="1"/>
    </row>
    <row r="2233" spans="13:14" x14ac:dyDescent="0.3">
      <c r="M2233" s="1"/>
    </row>
    <row r="2240" spans="13:14" x14ac:dyDescent="0.3">
      <c r="M2240" s="1"/>
    </row>
    <row r="2241" spans="13:16" x14ac:dyDescent="0.3">
      <c r="N2241" s="1"/>
      <c r="O2241" s="1"/>
      <c r="P2241" s="1"/>
    </row>
    <row r="2245" spans="13:16" x14ac:dyDescent="0.3">
      <c r="P2245" s="1"/>
    </row>
    <row r="2249" spans="13:16" x14ac:dyDescent="0.3">
      <c r="M2249" s="1"/>
      <c r="P2249" s="1"/>
    </row>
    <row r="2257" spans="13:16" x14ac:dyDescent="0.3">
      <c r="O2257" s="1"/>
    </row>
    <row r="2270" spans="13:16" x14ac:dyDescent="0.3">
      <c r="M2270" s="1"/>
      <c r="N2270" s="1"/>
      <c r="P2270" s="1"/>
    </row>
    <row r="2287" spans="13:16" x14ac:dyDescent="0.3">
      <c r="M2287" s="1"/>
    </row>
    <row r="2288" spans="13:16" x14ac:dyDescent="0.3">
      <c r="N2288" s="1"/>
      <c r="P2288" s="1"/>
    </row>
    <row r="2290" spans="13:14" x14ac:dyDescent="0.3">
      <c r="M2290" s="1"/>
    </row>
    <row r="2293" spans="13:14" x14ac:dyDescent="0.3">
      <c r="M2293" s="1"/>
    </row>
    <row r="2296" spans="13:14" x14ac:dyDescent="0.3">
      <c r="M2296" s="1"/>
      <c r="N2296" s="1"/>
    </row>
    <row r="2304" spans="13:14" x14ac:dyDescent="0.3">
      <c r="M2304" s="1"/>
    </row>
    <row r="2314" spans="13:15" x14ac:dyDescent="0.3">
      <c r="O2314" s="1"/>
    </row>
    <row r="2318" spans="13:15" x14ac:dyDescent="0.3">
      <c r="M2318" s="1"/>
    </row>
    <row r="2319" spans="13:15" x14ac:dyDescent="0.3">
      <c r="M2319" s="1"/>
    </row>
    <row r="2323" spans="14:15" x14ac:dyDescent="0.3">
      <c r="O2323" s="1"/>
    </row>
    <row r="2326" spans="14:15" x14ac:dyDescent="0.3">
      <c r="N2326" s="1"/>
    </row>
    <row r="2341" spans="13:16" x14ac:dyDescent="0.3">
      <c r="M2341" s="1"/>
      <c r="N2341" s="1"/>
      <c r="O2341" s="1"/>
      <c r="P2341" s="1"/>
    </row>
    <row r="2343" spans="13:16" x14ac:dyDescent="0.3">
      <c r="O2343" s="1"/>
    </row>
    <row r="2344" spans="13:16" x14ac:dyDescent="0.3">
      <c r="O2344" s="1"/>
    </row>
    <row r="2346" spans="13:16" x14ac:dyDescent="0.3">
      <c r="M2346" s="1"/>
      <c r="N2346" s="1"/>
      <c r="O2346" s="1"/>
    </row>
    <row r="2356" spans="15:15" x14ac:dyDescent="0.3">
      <c r="O2356" s="1"/>
    </row>
    <row r="2376" spans="13:16" x14ac:dyDescent="0.3">
      <c r="M2376" s="1"/>
      <c r="N2376" s="1"/>
      <c r="O2376" s="1"/>
    </row>
    <row r="2377" spans="13:16" x14ac:dyDescent="0.3">
      <c r="O2377" s="1"/>
      <c r="P2377" s="1"/>
    </row>
    <row r="2380" spans="13:16" x14ac:dyDescent="0.3">
      <c r="N2380" s="1"/>
      <c r="O2380" s="1"/>
    </row>
    <row r="2381" spans="13:16" x14ac:dyDescent="0.3">
      <c r="M2381" s="1"/>
      <c r="O2381" s="1"/>
    </row>
    <row r="2392" spans="13:13" x14ac:dyDescent="0.3">
      <c r="M2392" s="1"/>
    </row>
    <row r="2418" spans="15:16" x14ac:dyDescent="0.3">
      <c r="O2418" s="1"/>
    </row>
    <row r="2426" spans="15:16" x14ac:dyDescent="0.3">
      <c r="P2426" s="1"/>
    </row>
    <row r="2438" spans="13:16" x14ac:dyDescent="0.3">
      <c r="M2438" s="1"/>
      <c r="N2438" s="1"/>
      <c r="O2438" s="1"/>
      <c r="P2438" s="1"/>
    </row>
    <row r="2440" spans="13:16" x14ac:dyDescent="0.3">
      <c r="M2440" s="1"/>
      <c r="N2440" s="1"/>
      <c r="P2440" s="1"/>
    </row>
    <row r="2444" spans="13:16" x14ac:dyDescent="0.3">
      <c r="O2444" s="1"/>
    </row>
    <row r="2447" spans="13:16" x14ac:dyDescent="0.3">
      <c r="M2447" s="1"/>
      <c r="O2447" s="1"/>
    </row>
    <row r="2448" spans="13:16" x14ac:dyDescent="0.3">
      <c r="M2448" s="1"/>
      <c r="P2448" s="1"/>
    </row>
    <row r="2449" spans="15:15" x14ac:dyDescent="0.3">
      <c r="O2449" s="1"/>
    </row>
    <row r="2451" spans="15:15" x14ac:dyDescent="0.3">
      <c r="O2451" s="1"/>
    </row>
    <row r="2469" spans="13:16" x14ac:dyDescent="0.3">
      <c r="M2469" s="1"/>
      <c r="N2469" s="1"/>
    </row>
    <row r="2470" spans="13:16" x14ac:dyDescent="0.3">
      <c r="N2470" s="1"/>
      <c r="P2470" s="1"/>
    </row>
    <row r="2479" spans="13:16" x14ac:dyDescent="0.3">
      <c r="O2479" s="1"/>
    </row>
    <row r="2499" spans="13:13" x14ac:dyDescent="0.3">
      <c r="M2499" s="1"/>
    </row>
    <row r="2511" spans="13:13" x14ac:dyDescent="0.3">
      <c r="M2511" s="1"/>
    </row>
    <row r="2526" spans="14:16" x14ac:dyDescent="0.3">
      <c r="N2526" s="1"/>
      <c r="P2526" s="1"/>
    </row>
    <row r="2533" spans="13:16" x14ac:dyDescent="0.3">
      <c r="M2533" s="1"/>
      <c r="N2533" s="1"/>
      <c r="O2533" s="1"/>
      <c r="P2533" s="1"/>
    </row>
    <row r="2544" spans="13:16" x14ac:dyDescent="0.3">
      <c r="O2544" s="1"/>
    </row>
    <row r="2548" spans="13:13" x14ac:dyDescent="0.3">
      <c r="M2548" s="1"/>
    </row>
    <row r="2559" spans="13:13" x14ac:dyDescent="0.3">
      <c r="M2559" s="1"/>
    </row>
    <row r="2576" spans="13:13" x14ac:dyDescent="0.3">
      <c r="M2576" s="1"/>
    </row>
    <row r="2578" spans="13:16" x14ac:dyDescent="0.3">
      <c r="N2578" s="1"/>
    </row>
    <row r="2580" spans="13:16" x14ac:dyDescent="0.3">
      <c r="P2580" s="1"/>
    </row>
    <row r="2586" spans="13:16" x14ac:dyDescent="0.3">
      <c r="M2586" s="1"/>
    </row>
    <row r="2587" spans="13:16" x14ac:dyDescent="0.3">
      <c r="N2587" s="1"/>
    </row>
    <row r="2591" spans="13:16" x14ac:dyDescent="0.3">
      <c r="N2591" s="1"/>
    </row>
    <row r="2611" spans="13:16" x14ac:dyDescent="0.3">
      <c r="N2611" s="1"/>
    </row>
    <row r="2614" spans="13:16" x14ac:dyDescent="0.3">
      <c r="M2614" s="1"/>
      <c r="N2614" s="1"/>
      <c r="O2614" s="1"/>
      <c r="P2614" s="1"/>
    </row>
    <row r="2618" spans="13:16" x14ac:dyDescent="0.3">
      <c r="M2618" s="1"/>
      <c r="O2618" s="1"/>
    </row>
    <row r="2625" spans="13:15" x14ac:dyDescent="0.3">
      <c r="M2625" s="1"/>
    </row>
    <row r="2636" spans="13:15" x14ac:dyDescent="0.3">
      <c r="O2636" s="1"/>
    </row>
    <row r="2642" spans="13:16" x14ac:dyDescent="0.3">
      <c r="O2642" s="1"/>
    </row>
    <row r="2645" spans="13:16" x14ac:dyDescent="0.3">
      <c r="N2645" s="1"/>
      <c r="P2645" s="1"/>
    </row>
    <row r="2646" spans="13:16" x14ac:dyDescent="0.3">
      <c r="M2646" s="1"/>
    </row>
    <row r="2670" spans="15:16" x14ac:dyDescent="0.3">
      <c r="O2670" s="1"/>
      <c r="P2670" s="1"/>
    </row>
    <row r="2674" spans="13:16" x14ac:dyDescent="0.3">
      <c r="N2674" s="1"/>
      <c r="O2674" s="1"/>
    </row>
    <row r="2676" spans="13:16" x14ac:dyDescent="0.3">
      <c r="M2676" s="1"/>
      <c r="N2676" s="1"/>
      <c r="P2676" s="1"/>
    </row>
    <row r="2679" spans="13:16" x14ac:dyDescent="0.3">
      <c r="O2679" s="1"/>
    </row>
    <row r="2680" spans="13:16" x14ac:dyDescent="0.3">
      <c r="O2680" s="1"/>
    </row>
    <row r="2688" spans="13:16" x14ac:dyDescent="0.3">
      <c r="P2688" s="1"/>
    </row>
    <row r="2714" spans="13:13" x14ac:dyDescent="0.3">
      <c r="M2714" s="1"/>
    </row>
    <row r="2722" spans="14:15" x14ac:dyDescent="0.3">
      <c r="N2722" s="1"/>
    </row>
    <row r="2728" spans="14:15" x14ac:dyDescent="0.3">
      <c r="N2728" s="1"/>
      <c r="O2728" s="1"/>
    </row>
    <row r="2742" spans="15:15" x14ac:dyDescent="0.3">
      <c r="O2742" s="1"/>
    </row>
    <row r="2756" spans="13:15" x14ac:dyDescent="0.3">
      <c r="M2756" s="1"/>
    </row>
    <row r="2768" spans="13:15" x14ac:dyDescent="0.3">
      <c r="N2768" s="1"/>
      <c r="O2768" s="1"/>
    </row>
    <row r="2792" spans="13:16" x14ac:dyDescent="0.3">
      <c r="N2792" s="1"/>
      <c r="O2792" s="1"/>
      <c r="P2792" s="1"/>
    </row>
    <row r="2797" spans="13:16" x14ac:dyDescent="0.3">
      <c r="M2797" s="1"/>
      <c r="O2797" s="1"/>
    </row>
    <row r="2815" spans="15:15" x14ac:dyDescent="0.3">
      <c r="O2815" s="1"/>
    </row>
    <row r="2818" spans="13:16" x14ac:dyDescent="0.3">
      <c r="N2818" s="1"/>
    </row>
    <row r="2819" spans="13:16" x14ac:dyDescent="0.3">
      <c r="M2819" s="1"/>
      <c r="N2819" s="1"/>
      <c r="O2819" s="1"/>
      <c r="P2819" s="1"/>
    </row>
    <row r="2849" spans="13:16" x14ac:dyDescent="0.3">
      <c r="M2849" s="1"/>
    </row>
    <row r="2850" spans="13:16" x14ac:dyDescent="0.3">
      <c r="M2850" s="1"/>
      <c r="O2850" s="1"/>
    </row>
    <row r="2855" spans="13:16" x14ac:dyDescent="0.3">
      <c r="M2855" s="1"/>
    </row>
    <row r="2856" spans="13:16" x14ac:dyDescent="0.3">
      <c r="O2856" s="1"/>
    </row>
    <row r="2860" spans="13:16" x14ac:dyDescent="0.3">
      <c r="M2860" s="1"/>
      <c r="N2860" s="1"/>
      <c r="O2860" s="1"/>
      <c r="P2860" s="1"/>
    </row>
    <row r="2865" spans="14:15" x14ac:dyDescent="0.3">
      <c r="O2865" s="1"/>
    </row>
    <row r="2869" spans="14:15" x14ac:dyDescent="0.3">
      <c r="N2869" s="1"/>
    </row>
    <row r="2875" spans="14:15" x14ac:dyDescent="0.3">
      <c r="N2875" s="1"/>
    </row>
    <row r="2877" spans="14:15" x14ac:dyDescent="0.3">
      <c r="N2877" s="1"/>
      <c r="O2877" s="1"/>
    </row>
    <row r="2890" spans="13:16" x14ac:dyDescent="0.3">
      <c r="N2890" s="1"/>
      <c r="O2890" s="1"/>
      <c r="P2890" s="1"/>
    </row>
    <row r="2892" spans="13:16" x14ac:dyDescent="0.3">
      <c r="M2892" s="1"/>
      <c r="N2892" s="1"/>
      <c r="P2892" s="1"/>
    </row>
    <row r="2894" spans="13:16" x14ac:dyDescent="0.3">
      <c r="M2894" s="1"/>
      <c r="N2894" s="1"/>
      <c r="O2894" s="1"/>
    </row>
    <row r="2901" spans="15:15" x14ac:dyDescent="0.3">
      <c r="O2901" s="1"/>
    </row>
    <row r="2944" spans="15:15" x14ac:dyDescent="0.3">
      <c r="O2944" s="1"/>
    </row>
    <row r="2962" spans="13:15" x14ac:dyDescent="0.3">
      <c r="M2962" s="1"/>
      <c r="N2962" s="1"/>
    </row>
    <row r="2963" spans="13:15" x14ac:dyDescent="0.3">
      <c r="N2963" s="1"/>
    </row>
    <row r="2967" spans="13:15" x14ac:dyDescent="0.3">
      <c r="M2967" s="1"/>
      <c r="O2967" s="1"/>
    </row>
    <row r="2974" spans="13:15" x14ac:dyDescent="0.3">
      <c r="M2974" s="1"/>
      <c r="N2974" s="1"/>
    </row>
    <row r="2980" spans="13:15" x14ac:dyDescent="0.3">
      <c r="O2980" s="1"/>
    </row>
    <row r="2981" spans="13:15" x14ac:dyDescent="0.3">
      <c r="M2981" s="1"/>
      <c r="O2981" s="1"/>
    </row>
    <row r="2987" spans="13:15" x14ac:dyDescent="0.3">
      <c r="O2987" s="1"/>
    </row>
    <row r="2992" spans="13:15" x14ac:dyDescent="0.3">
      <c r="M2992" s="1"/>
      <c r="N2992" s="1"/>
    </row>
    <row r="2999" spans="13:15" x14ac:dyDescent="0.3">
      <c r="M2999" s="1"/>
      <c r="N2999" s="1"/>
    </row>
    <row r="3007" spans="13:15" x14ac:dyDescent="0.3">
      <c r="N3007" s="1"/>
      <c r="O3007" s="1"/>
    </row>
    <row r="3009" spans="13:16" x14ac:dyDescent="0.3">
      <c r="M3009" s="1"/>
      <c r="N3009" s="1"/>
    </row>
    <row r="3023" spans="13:16" x14ac:dyDescent="0.3">
      <c r="O3023" s="1"/>
      <c r="P3023" s="1"/>
    </row>
    <row r="3032" spans="14:16" x14ac:dyDescent="0.3">
      <c r="N3032" s="1"/>
      <c r="O3032" s="1"/>
      <c r="P3032" s="1"/>
    </row>
    <row r="3036" spans="14:16" x14ac:dyDescent="0.3">
      <c r="O3036" s="1"/>
    </row>
    <row r="3039" spans="14:16" x14ac:dyDescent="0.3">
      <c r="O3039" s="1"/>
    </row>
    <row r="3044" spans="13:16" x14ac:dyDescent="0.3">
      <c r="N3044" s="1"/>
    </row>
    <row r="3048" spans="13:16" x14ac:dyDescent="0.3">
      <c r="M3048" s="1"/>
      <c r="N3048" s="1"/>
      <c r="P3048" s="1"/>
    </row>
    <row r="3052" spans="13:16" x14ac:dyDescent="0.3">
      <c r="M3052" s="1"/>
      <c r="N3052" s="1"/>
    </row>
    <row r="3055" spans="13:16" x14ac:dyDescent="0.3">
      <c r="P3055" s="1"/>
    </row>
    <row r="3060" spans="13:16" x14ac:dyDescent="0.3">
      <c r="M3060" s="1"/>
      <c r="N3060" s="1"/>
      <c r="O3060" s="1"/>
      <c r="P3060" s="1"/>
    </row>
    <row r="3072" spans="13:16" x14ac:dyDescent="0.3">
      <c r="M3072" s="1"/>
      <c r="P3072" s="1"/>
    </row>
    <row r="3073" spans="13:13" x14ac:dyDescent="0.3">
      <c r="M3073" s="1"/>
    </row>
    <row r="3096" spans="14:14" x14ac:dyDescent="0.3">
      <c r="N3096" s="1"/>
    </row>
    <row r="3106" spans="13:16" x14ac:dyDescent="0.3">
      <c r="N3106" s="1"/>
    </row>
    <row r="3108" spans="13:16" x14ac:dyDescent="0.3">
      <c r="M3108" s="1"/>
    </row>
    <row r="3120" spans="13:16" x14ac:dyDescent="0.3">
      <c r="N3120" s="1"/>
      <c r="P3120" s="1"/>
    </row>
    <row r="3167" spans="14:16" x14ac:dyDescent="0.3">
      <c r="N3167" s="1"/>
      <c r="P3167" s="1"/>
    </row>
    <row r="3173" spans="13:15" x14ac:dyDescent="0.3">
      <c r="N3173" s="1"/>
      <c r="O3173" s="1"/>
    </row>
    <row r="3180" spans="13:15" x14ac:dyDescent="0.3">
      <c r="M3180" s="1"/>
      <c r="N3180" s="1"/>
      <c r="O3180" s="1"/>
    </row>
    <row r="3184" spans="13:15" x14ac:dyDescent="0.3">
      <c r="M3184" s="1"/>
      <c r="O3184" s="1"/>
    </row>
    <row r="3187" spans="13:16" x14ac:dyDescent="0.3">
      <c r="M3187" s="1"/>
      <c r="O3187" s="1"/>
      <c r="P3187" s="1"/>
    </row>
    <row r="3188" spans="13:16" x14ac:dyDescent="0.3">
      <c r="M3188" s="1"/>
      <c r="N3188" s="1"/>
    </row>
    <row r="3207" spans="13:16" x14ac:dyDescent="0.3">
      <c r="N3207" s="1"/>
      <c r="O3207" s="1"/>
      <c r="P3207" s="1"/>
    </row>
    <row r="3209" spans="13:16" x14ac:dyDescent="0.3">
      <c r="M3209" s="1"/>
    </row>
    <row r="3212" spans="13:16" x14ac:dyDescent="0.3">
      <c r="N3212" s="1"/>
      <c r="O3212" s="1"/>
      <c r="P3212" s="1"/>
    </row>
    <row r="3215" spans="13:16" x14ac:dyDescent="0.3">
      <c r="N3215" s="1"/>
    </row>
    <row r="3244" spans="13:15" x14ac:dyDescent="0.3">
      <c r="M3244" s="1"/>
      <c r="O3244" s="1"/>
    </row>
    <row r="3254" spans="13:15" x14ac:dyDescent="0.3">
      <c r="M3254" s="1"/>
      <c r="O3254" s="1"/>
    </row>
    <row r="3264" spans="13:15" x14ac:dyDescent="0.3">
      <c r="M3264" s="1"/>
    </row>
    <row r="3265" spans="13:16" x14ac:dyDescent="0.3">
      <c r="M3265" s="1"/>
    </row>
    <row r="3268" spans="13:16" x14ac:dyDescent="0.3">
      <c r="M3268" s="1"/>
      <c r="P3268" s="1"/>
    </row>
    <row r="3269" spans="13:16" x14ac:dyDescent="0.3">
      <c r="M3269" s="1"/>
    </row>
    <row r="3275" spans="13:16" x14ac:dyDescent="0.3">
      <c r="M3275" s="1"/>
      <c r="P3275" s="1"/>
    </row>
    <row r="3282" spans="14:16" x14ac:dyDescent="0.3">
      <c r="N3282" s="1"/>
      <c r="O3282" s="1"/>
      <c r="P3282" s="1"/>
    </row>
    <row r="3288" spans="14:16" x14ac:dyDescent="0.3">
      <c r="N3288" s="1"/>
    </row>
    <row r="3291" spans="14:16" x14ac:dyDescent="0.3">
      <c r="O3291" s="1"/>
    </row>
    <row r="3298" spans="13:16" x14ac:dyDescent="0.3">
      <c r="M3298" s="1"/>
      <c r="N3298" s="1"/>
      <c r="O3298" s="1"/>
      <c r="P3298" s="1"/>
    </row>
    <row r="3344" spans="14:15" x14ac:dyDescent="0.3">
      <c r="N3344" s="1"/>
      <c r="O3344" s="1"/>
    </row>
    <row r="3351" spans="14:14" x14ac:dyDescent="0.3">
      <c r="N3351" s="1"/>
    </row>
    <row r="3354" spans="14:14" x14ac:dyDescent="0.3">
      <c r="N3354" s="1"/>
    </row>
    <row r="3361" spans="13:16" x14ac:dyDescent="0.3">
      <c r="M3361" s="1"/>
      <c r="P3361" s="1"/>
    </row>
    <row r="3364" spans="13:16" x14ac:dyDescent="0.3">
      <c r="M3364" s="1"/>
    </row>
    <row r="3378" spans="13:16" x14ac:dyDescent="0.3">
      <c r="M3378" s="1"/>
    </row>
    <row r="3380" spans="13:16" x14ac:dyDescent="0.3">
      <c r="M3380" s="1"/>
      <c r="N3380" s="1"/>
      <c r="P3380" s="1"/>
    </row>
    <row r="3385" spans="13:16" x14ac:dyDescent="0.3">
      <c r="M3385" s="1"/>
      <c r="N3385" s="1"/>
      <c r="P3385" s="1"/>
    </row>
    <row r="3396" spans="13:16" x14ac:dyDescent="0.3">
      <c r="M3396" s="1"/>
      <c r="N3396" s="1"/>
    </row>
    <row r="3397" spans="13:16" x14ac:dyDescent="0.3">
      <c r="N3397" s="1"/>
    </row>
    <row r="3402" spans="13:16" x14ac:dyDescent="0.3">
      <c r="M3402" s="1"/>
      <c r="N3402" s="1"/>
      <c r="O3402" s="1"/>
    </row>
    <row r="3404" spans="13:16" x14ac:dyDescent="0.3">
      <c r="N3404" s="1"/>
    </row>
    <row r="3406" spans="13:16" x14ac:dyDescent="0.3">
      <c r="M3406" s="1"/>
      <c r="P3406" s="1"/>
    </row>
    <row r="3432" spans="14:16" x14ac:dyDescent="0.3">
      <c r="P3432" s="1"/>
    </row>
    <row r="3439" spans="14:16" x14ac:dyDescent="0.3">
      <c r="N3439" s="1"/>
      <c r="O3439" s="1"/>
    </row>
    <row r="3447" spans="13:13" x14ac:dyDescent="0.3">
      <c r="M3447" s="1"/>
    </row>
    <row r="3460" spans="14:16" x14ac:dyDescent="0.3">
      <c r="N3460" s="1"/>
      <c r="P3460" s="1"/>
    </row>
    <row r="3463" spans="14:16" x14ac:dyDescent="0.3">
      <c r="N3463" s="1"/>
    </row>
    <row r="3464" spans="14:16" x14ac:dyDescent="0.3">
      <c r="N3464" s="1"/>
      <c r="O3464" s="1"/>
      <c r="P3464" s="1"/>
    </row>
    <row r="3476" spans="13:16" x14ac:dyDescent="0.3">
      <c r="M3476" s="1"/>
    </row>
    <row r="3479" spans="13:16" x14ac:dyDescent="0.3">
      <c r="N3479" s="1"/>
      <c r="O3479" s="1"/>
      <c r="P3479" s="1"/>
    </row>
    <row r="3487" spans="13:16" x14ac:dyDescent="0.3">
      <c r="M3487" s="1"/>
    </row>
    <row r="3493" spans="13:13" x14ac:dyDescent="0.3">
      <c r="M3493" s="1"/>
    </row>
    <row r="3524" spans="13:16" x14ac:dyDescent="0.3">
      <c r="M3524" s="1"/>
      <c r="N3524" s="1"/>
    </row>
    <row r="3534" spans="13:16" x14ac:dyDescent="0.3">
      <c r="M3534" s="1"/>
      <c r="N3534" s="1"/>
      <c r="O3534" s="1"/>
      <c r="P3534" s="1"/>
    </row>
    <row r="3538" spans="13:16" x14ac:dyDescent="0.3">
      <c r="M3538" s="1"/>
    </row>
    <row r="3541" spans="13:16" x14ac:dyDescent="0.3">
      <c r="M3541" s="1"/>
      <c r="N3541" s="1"/>
      <c r="O3541" s="1"/>
      <c r="P3541" s="1"/>
    </row>
    <row r="3544" spans="13:16" x14ac:dyDescent="0.3">
      <c r="N3544" s="1"/>
    </row>
    <row r="3550" spans="13:16" x14ac:dyDescent="0.3">
      <c r="O3550" s="1"/>
    </row>
    <row r="3563" spans="13:14" x14ac:dyDescent="0.3">
      <c r="M3563" s="1"/>
      <c r="N3563" s="1"/>
    </row>
    <row r="3581" spans="13:15" x14ac:dyDescent="0.3">
      <c r="M3581" s="1"/>
      <c r="O3581" s="1"/>
    </row>
    <row r="3594" spans="15:15" x14ac:dyDescent="0.3">
      <c r="O3594" s="1"/>
    </row>
    <row r="3605" spans="13:16" x14ac:dyDescent="0.3">
      <c r="O3605" s="1"/>
    </row>
    <row r="3611" spans="13:16" x14ac:dyDescent="0.3">
      <c r="M3611" s="1"/>
      <c r="O3611" s="1"/>
      <c r="P3611" s="1"/>
    </row>
    <row r="3619" spans="13:15" x14ac:dyDescent="0.3">
      <c r="M3619" s="1"/>
    </row>
    <row r="3621" spans="13:15" x14ac:dyDescent="0.3">
      <c r="O3621" s="1"/>
    </row>
    <row r="3631" spans="13:15" x14ac:dyDescent="0.3">
      <c r="M3631" s="1"/>
      <c r="O3631" s="1"/>
    </row>
    <row r="3633" spans="13:16" x14ac:dyDescent="0.3">
      <c r="N3633" s="1"/>
      <c r="P3633" s="1"/>
    </row>
    <row r="3638" spans="13:16" x14ac:dyDescent="0.3">
      <c r="M3638" s="1"/>
      <c r="N3638" s="1"/>
      <c r="O3638" s="1"/>
      <c r="P3638" s="1"/>
    </row>
    <row r="3640" spans="13:16" x14ac:dyDescent="0.3">
      <c r="N3640" s="1"/>
    </row>
    <row r="3641" spans="13:16" x14ac:dyDescent="0.3">
      <c r="N3641" s="1"/>
      <c r="O3641" s="1"/>
    </row>
    <row r="3645" spans="13:16" x14ac:dyDescent="0.3">
      <c r="M3645" s="1"/>
      <c r="N3645" s="1"/>
      <c r="O3645" s="1"/>
      <c r="P3645" s="1"/>
    </row>
    <row r="3657" spans="13:16" x14ac:dyDescent="0.3">
      <c r="M3657" s="1"/>
      <c r="O3657" s="1"/>
      <c r="P3657" s="1"/>
    </row>
    <row r="3666" spans="13:16" x14ac:dyDescent="0.3">
      <c r="N3666" s="1"/>
      <c r="O3666" s="1"/>
      <c r="P3666" s="1"/>
    </row>
    <row r="3676" spans="13:16" x14ac:dyDescent="0.3">
      <c r="M3676" s="1"/>
      <c r="N3676" s="1"/>
      <c r="P3676" s="1"/>
    </row>
    <row r="3683" spans="13:16" x14ac:dyDescent="0.3">
      <c r="M3683" s="1"/>
      <c r="N3683" s="1"/>
      <c r="P3683" s="1"/>
    </row>
    <row r="3700" spans="13:16" x14ac:dyDescent="0.3">
      <c r="M3700" s="1"/>
      <c r="O3700" s="1"/>
    </row>
    <row r="3710" spans="13:16" x14ac:dyDescent="0.3">
      <c r="M3710" s="1"/>
      <c r="N3710" s="1"/>
      <c r="P3710" s="1"/>
    </row>
    <row r="3715" spans="14:14" x14ac:dyDescent="0.3">
      <c r="N3715" s="1"/>
    </row>
    <row r="3727" spans="14:14" x14ac:dyDescent="0.3">
      <c r="N3727" s="1"/>
    </row>
    <row r="3738" spans="15:15" x14ac:dyDescent="0.3">
      <c r="O3738" s="1"/>
    </row>
    <row r="3743" spans="15:15" x14ac:dyDescent="0.3">
      <c r="O3743" s="1"/>
    </row>
    <row r="3749" spans="13:16" x14ac:dyDescent="0.3">
      <c r="N3749" s="1"/>
    </row>
    <row r="3753" spans="13:16" x14ac:dyDescent="0.3">
      <c r="M3753" s="1"/>
      <c r="N3753" s="1"/>
      <c r="O3753" s="1"/>
      <c r="P3753" s="1"/>
    </row>
    <row r="3771" spans="14:16" x14ac:dyDescent="0.3">
      <c r="N3771" s="1"/>
      <c r="P3771" s="1"/>
    </row>
    <row r="3784" spans="13:15" x14ac:dyDescent="0.3">
      <c r="M3784" s="1"/>
      <c r="O3784" s="1"/>
    </row>
    <row r="3788" spans="13:15" x14ac:dyDescent="0.3">
      <c r="M3788" s="1"/>
    </row>
    <row r="3789" spans="13:15" x14ac:dyDescent="0.3">
      <c r="M3789" s="1"/>
    </row>
    <row r="3800" spans="13:16" x14ac:dyDescent="0.3">
      <c r="M3800" s="1"/>
      <c r="O3800" s="1"/>
    </row>
    <row r="3803" spans="13:16" x14ac:dyDescent="0.3">
      <c r="N3803" s="1"/>
      <c r="O3803" s="1"/>
      <c r="P3803" s="1"/>
    </row>
    <row r="3811" spans="13:16" x14ac:dyDescent="0.3">
      <c r="M3811" s="1"/>
      <c r="N3811" s="1"/>
      <c r="O3811" s="1"/>
      <c r="P3811" s="1"/>
    </row>
    <row r="3815" spans="13:16" x14ac:dyDescent="0.3">
      <c r="M3815" s="1"/>
      <c r="P3815" s="1"/>
    </row>
    <row r="3835" spans="13:16" x14ac:dyDescent="0.3">
      <c r="N3835" s="1"/>
      <c r="O3835" s="1"/>
    </row>
    <row r="3836" spans="13:16" x14ac:dyDescent="0.3">
      <c r="N3836" s="1"/>
    </row>
    <row r="3839" spans="13:16" x14ac:dyDescent="0.3">
      <c r="N3839" s="1"/>
    </row>
    <row r="3840" spans="13:16" x14ac:dyDescent="0.3">
      <c r="M3840" s="1"/>
      <c r="N3840" s="1"/>
      <c r="O3840" s="1"/>
      <c r="P3840" s="1"/>
    </row>
    <row r="3841" spans="13:15" x14ac:dyDescent="0.3">
      <c r="O3841" s="1"/>
    </row>
    <row r="3848" spans="13:15" x14ac:dyDescent="0.3">
      <c r="N3848" s="1"/>
    </row>
    <row r="3854" spans="13:15" x14ac:dyDescent="0.3">
      <c r="M3854" s="1"/>
    </row>
    <row r="3857" spans="13:13" x14ac:dyDescent="0.3">
      <c r="M3857" s="1"/>
    </row>
    <row r="3875" spans="13:16" x14ac:dyDescent="0.3">
      <c r="O3875" s="1"/>
    </row>
    <row r="3879" spans="13:16" x14ac:dyDescent="0.3">
      <c r="M3879" s="1"/>
      <c r="O3879" s="1"/>
      <c r="P3879" s="1"/>
    </row>
    <row r="3891" spans="13:16" x14ac:dyDescent="0.3">
      <c r="M3891" s="1"/>
      <c r="N3891" s="1"/>
    </row>
    <row r="3892" spans="13:16" x14ac:dyDescent="0.3">
      <c r="M3892" s="1"/>
      <c r="O3892" s="1"/>
      <c r="P3892" s="1"/>
    </row>
    <row r="3898" spans="13:16" x14ac:dyDescent="0.3">
      <c r="P3898" s="1"/>
    </row>
    <row r="3922" spans="13:14" x14ac:dyDescent="0.3">
      <c r="N3922" s="1"/>
    </row>
    <row r="3935" spans="13:14" x14ac:dyDescent="0.3">
      <c r="M3935" s="1"/>
    </row>
    <row r="3937" spans="13:16" x14ac:dyDescent="0.3">
      <c r="M3937" s="1"/>
      <c r="O3937" s="1"/>
      <c r="P3937" s="1"/>
    </row>
    <row r="3956" spans="13:15" x14ac:dyDescent="0.3">
      <c r="N3956" s="1"/>
      <c r="O3956" s="1"/>
    </row>
    <row r="3968" spans="13:15" x14ac:dyDescent="0.3">
      <c r="M3968" s="1"/>
      <c r="N3968" s="1"/>
      <c r="O3968" s="1"/>
    </row>
    <row r="3974" spans="13:16" x14ac:dyDescent="0.3">
      <c r="M3974" s="1"/>
      <c r="N3974" s="1"/>
      <c r="O3974" s="1"/>
    </row>
    <row r="3982" spans="13:16" x14ac:dyDescent="0.3">
      <c r="O3982" s="1"/>
      <c r="P3982" s="1"/>
    </row>
    <row r="3990" spans="13:13" x14ac:dyDescent="0.3">
      <c r="M3990" s="1"/>
    </row>
    <row r="4001" spans="13:16" x14ac:dyDescent="0.3">
      <c r="M4001" s="1"/>
      <c r="O4001" s="1"/>
      <c r="P4001" s="1"/>
    </row>
    <row r="4012" spans="13:16" x14ac:dyDescent="0.3">
      <c r="M4012" s="1"/>
      <c r="N4012" s="1"/>
      <c r="P4012" s="1"/>
    </row>
    <row r="4015" spans="13:16" x14ac:dyDescent="0.3">
      <c r="M4015" s="1"/>
      <c r="N4015" s="1"/>
      <c r="O4015" s="1"/>
    </row>
    <row r="4019" spans="13:16" x14ac:dyDescent="0.3">
      <c r="M4019" s="1"/>
      <c r="O4019" s="1"/>
    </row>
    <row r="4026" spans="13:16" x14ac:dyDescent="0.3">
      <c r="M4026" s="1"/>
      <c r="N4026" s="1"/>
      <c r="O4026" s="1"/>
      <c r="P4026" s="1"/>
    </row>
    <row r="4039" spans="13:16" x14ac:dyDescent="0.3">
      <c r="N4039" s="1"/>
    </row>
    <row r="4042" spans="13:16" x14ac:dyDescent="0.3">
      <c r="N4042" s="1"/>
      <c r="P4042" s="1"/>
    </row>
    <row r="4048" spans="13:16" x14ac:dyDescent="0.3">
      <c r="M4048" s="1"/>
    </row>
    <row r="4051" spans="13:16" x14ac:dyDescent="0.3">
      <c r="M4051" s="1"/>
      <c r="N4051" s="1"/>
      <c r="P4051" s="1"/>
    </row>
    <row r="4056" spans="13:16" x14ac:dyDescent="0.3">
      <c r="M4056" s="1"/>
      <c r="N4056" s="1"/>
    </row>
    <row r="4061" spans="13:16" x14ac:dyDescent="0.3">
      <c r="P4061" s="1"/>
    </row>
    <row r="4067" spans="13:16" x14ac:dyDescent="0.3">
      <c r="O4067" s="1"/>
      <c r="P4067" s="1"/>
    </row>
    <row r="4080" spans="13:16" x14ac:dyDescent="0.3">
      <c r="M4080" s="1"/>
      <c r="O4080" s="1"/>
      <c r="P4080" s="1"/>
    </row>
    <row r="4091" spans="13:13" x14ac:dyDescent="0.3">
      <c r="M4091" s="1"/>
    </row>
    <row r="4098" spans="13:16" x14ac:dyDescent="0.3">
      <c r="M4098" s="1"/>
    </row>
    <row r="4100" spans="13:16" x14ac:dyDescent="0.3">
      <c r="M4100" s="1"/>
      <c r="N4100" s="1"/>
      <c r="O4100" s="1"/>
    </row>
    <row r="4101" spans="13:16" x14ac:dyDescent="0.3">
      <c r="O4101" s="1"/>
    </row>
    <row r="4102" spans="13:16" x14ac:dyDescent="0.3">
      <c r="M4102" s="1"/>
      <c r="N4102" s="1"/>
    </row>
    <row r="4103" spans="13:16" x14ac:dyDescent="0.3">
      <c r="N4103" s="1"/>
      <c r="O4103" s="1"/>
      <c r="P4103" s="1"/>
    </row>
    <row r="4108" spans="13:16" x14ac:dyDescent="0.3">
      <c r="M4108" s="1"/>
      <c r="O4108" s="1"/>
    </row>
    <row r="4132" spans="14:16" x14ac:dyDescent="0.3">
      <c r="N4132" s="1"/>
      <c r="P4132" s="1"/>
    </row>
    <row r="4139" spans="14:16" x14ac:dyDescent="0.3">
      <c r="N4139" s="1"/>
      <c r="P4139" s="1"/>
    </row>
    <row r="4170" spans="13:16" x14ac:dyDescent="0.3">
      <c r="M4170" s="1"/>
      <c r="P4170" s="1"/>
    </row>
    <row r="4175" spans="13:16" x14ac:dyDescent="0.3">
      <c r="O4175" s="1"/>
    </row>
    <row r="4183" spans="15:15" x14ac:dyDescent="0.3">
      <c r="O4183" s="1"/>
    </row>
    <row r="4201" spans="13:16" x14ac:dyDescent="0.3">
      <c r="M4201" s="1"/>
      <c r="N4201" s="1"/>
      <c r="O4201" s="1"/>
      <c r="P4201" s="1"/>
    </row>
    <row r="4212" spans="14:14" x14ac:dyDescent="0.3">
      <c r="N4212" s="1"/>
    </row>
    <row r="4229" spans="13:16" x14ac:dyDescent="0.3">
      <c r="M4229" s="1"/>
      <c r="P4229" s="1"/>
    </row>
    <row r="4253" spans="13:16" x14ac:dyDescent="0.3">
      <c r="M4253" s="1"/>
      <c r="N4253" s="1"/>
      <c r="P4253" s="1"/>
    </row>
    <row r="4255" spans="13:16" x14ac:dyDescent="0.3">
      <c r="M4255" s="1"/>
    </row>
    <row r="4256" spans="13:16" x14ac:dyDescent="0.3">
      <c r="O4256" s="1"/>
    </row>
    <row r="4270" spans="13:15" x14ac:dyDescent="0.3">
      <c r="M4270" s="1"/>
    </row>
    <row r="4272" spans="13:15" x14ac:dyDescent="0.3">
      <c r="O4272" s="1"/>
    </row>
    <row r="4292" spans="13:16" x14ac:dyDescent="0.3">
      <c r="M4292" s="1"/>
    </row>
    <row r="4295" spans="13:16" x14ac:dyDescent="0.3">
      <c r="O4295" s="1"/>
    </row>
    <row r="4300" spans="13:16" x14ac:dyDescent="0.3">
      <c r="M4300" s="1"/>
      <c r="N4300" s="1"/>
      <c r="P4300" s="1"/>
    </row>
    <row r="4301" spans="13:16" x14ac:dyDescent="0.3">
      <c r="M4301" s="1"/>
    </row>
    <row r="4302" spans="13:16" x14ac:dyDescent="0.3">
      <c r="M4302" s="1"/>
    </row>
    <row r="4308" spans="15:15" x14ac:dyDescent="0.3">
      <c r="O4308" s="1"/>
    </row>
    <row r="4339" spans="13:16" x14ac:dyDescent="0.3">
      <c r="M4339" s="1"/>
      <c r="N4339" s="1"/>
      <c r="O4339" s="1"/>
      <c r="P4339" s="1"/>
    </row>
    <row r="4341" spans="13:16" x14ac:dyDescent="0.3">
      <c r="M4341" s="1"/>
      <c r="N4341" s="1"/>
      <c r="P4341" s="1"/>
    </row>
    <row r="4346" spans="13:16" x14ac:dyDescent="0.3">
      <c r="O4346" s="1"/>
    </row>
    <row r="4357" spans="14:16" x14ac:dyDescent="0.3">
      <c r="N4357" s="1"/>
    </row>
    <row r="4358" spans="14:16" x14ac:dyDescent="0.3">
      <c r="O4358" s="1"/>
      <c r="P4358" s="1"/>
    </row>
    <row r="4361" spans="14:16" x14ac:dyDescent="0.3">
      <c r="N4361" s="1"/>
      <c r="O4361" s="1"/>
    </row>
    <row r="4380" spans="14:15" x14ac:dyDescent="0.3">
      <c r="N4380" s="1"/>
      <c r="O4380" s="1"/>
    </row>
    <row r="4423" spans="13:14" x14ac:dyDescent="0.3">
      <c r="N4423" s="1"/>
    </row>
    <row r="4431" spans="13:14" x14ac:dyDescent="0.3">
      <c r="M4431" s="1"/>
    </row>
    <row r="4444" spans="13:15" x14ac:dyDescent="0.3">
      <c r="M4444" s="1"/>
      <c r="O4444" s="1"/>
    </row>
    <row r="4456" spans="13:15" x14ac:dyDescent="0.3">
      <c r="N4456" s="1"/>
      <c r="O4456" s="1"/>
    </row>
    <row r="4459" spans="13:15" x14ac:dyDescent="0.3">
      <c r="M4459" s="1"/>
    </row>
    <row r="4460" spans="13:15" x14ac:dyDescent="0.3">
      <c r="N4460" s="1"/>
      <c r="O4460" s="1"/>
    </row>
    <row r="4481" spans="13:13" x14ac:dyDescent="0.3">
      <c r="M4481" s="1"/>
    </row>
    <row r="4501" spans="13:15" x14ac:dyDescent="0.3">
      <c r="O4501" s="1"/>
    </row>
    <row r="4505" spans="13:15" x14ac:dyDescent="0.3">
      <c r="M4505" s="1"/>
    </row>
    <row r="4511" spans="13:15" x14ac:dyDescent="0.3">
      <c r="O4511" s="1"/>
    </row>
    <row r="4517" spans="13:16" x14ac:dyDescent="0.3">
      <c r="M4517" s="1"/>
      <c r="N4517" s="1"/>
      <c r="P4517" s="1"/>
    </row>
    <row r="4534" spans="13:16" x14ac:dyDescent="0.3">
      <c r="M4534" s="1"/>
    </row>
    <row r="4537" spans="13:16" x14ac:dyDescent="0.3">
      <c r="M4537" s="1"/>
      <c r="N4537" s="1"/>
      <c r="P4537" s="1"/>
    </row>
    <row r="4541" spans="13:16" x14ac:dyDescent="0.3">
      <c r="O4541" s="1"/>
    </row>
    <row r="4542" spans="13:16" x14ac:dyDescent="0.3">
      <c r="M4542" s="1"/>
    </row>
    <row r="4546" spans="13:16" x14ac:dyDescent="0.3">
      <c r="N4546" s="1"/>
    </row>
    <row r="4555" spans="13:16" x14ac:dyDescent="0.3">
      <c r="N4555" s="1"/>
    </row>
    <row r="4557" spans="13:16" x14ac:dyDescent="0.3">
      <c r="M4557" s="1"/>
      <c r="N4557" s="1"/>
    </row>
    <row r="4559" spans="13:16" x14ac:dyDescent="0.3">
      <c r="M4559" s="1"/>
      <c r="N4559" s="1"/>
      <c r="O4559" s="1"/>
      <c r="P4559" s="1"/>
    </row>
    <row r="4565" spans="13:13" x14ac:dyDescent="0.3">
      <c r="M4565" s="1"/>
    </row>
    <row r="4582" spans="13:14" x14ac:dyDescent="0.3">
      <c r="N4582" s="1"/>
    </row>
    <row r="4589" spans="13:14" x14ac:dyDescent="0.3">
      <c r="M4589" s="1"/>
    </row>
    <row r="4591" spans="13:14" x14ac:dyDescent="0.3">
      <c r="N4591" s="1"/>
    </row>
    <row r="4601" spans="13:13" x14ac:dyDescent="0.3">
      <c r="M4601" s="1"/>
    </row>
    <row r="4609" spans="13:16" x14ac:dyDescent="0.3">
      <c r="O4609" s="1"/>
    </row>
    <row r="4616" spans="13:16" x14ac:dyDescent="0.3">
      <c r="N4616" s="1"/>
    </row>
    <row r="4618" spans="13:16" x14ac:dyDescent="0.3">
      <c r="O4618" s="1"/>
      <c r="P4618" s="1"/>
    </row>
    <row r="4621" spans="13:16" x14ac:dyDescent="0.3">
      <c r="M4621" s="1"/>
      <c r="N4621" s="1"/>
    </row>
    <row r="4639" spans="13:14" x14ac:dyDescent="0.3">
      <c r="M4639" s="1"/>
      <c r="N4639" s="1"/>
    </row>
    <row r="4644" spans="15:15" x14ac:dyDescent="0.3">
      <c r="O4644" s="1"/>
    </row>
    <row r="4654" spans="15:15" x14ac:dyDescent="0.3">
      <c r="O4654" s="1"/>
    </row>
    <row r="4657" spans="15:15" x14ac:dyDescent="0.3">
      <c r="O4657" s="1"/>
    </row>
    <row r="4676" spans="13:16" x14ac:dyDescent="0.3">
      <c r="M4676" s="1"/>
    </row>
    <row r="4680" spans="13:16" x14ac:dyDescent="0.3">
      <c r="O4680" s="1"/>
      <c r="P4680" s="1"/>
    </row>
    <row r="4689" spans="14:15" x14ac:dyDescent="0.3">
      <c r="N4689" s="1"/>
    </row>
    <row r="4690" spans="14:15" x14ac:dyDescent="0.3">
      <c r="N4690" s="1"/>
    </row>
    <row r="4694" spans="14:15" x14ac:dyDescent="0.3">
      <c r="N4694" s="1"/>
      <c r="O4694" s="1"/>
    </row>
    <row r="4704" spans="14:15" x14ac:dyDescent="0.3">
      <c r="N4704" s="1"/>
    </row>
    <row r="4708" spans="14:14" x14ac:dyDescent="0.3">
      <c r="N4708" s="1"/>
    </row>
    <row r="4722" spans="14:15" x14ac:dyDescent="0.3">
      <c r="O4722" s="1"/>
    </row>
    <row r="4727" spans="14:15" x14ac:dyDescent="0.3">
      <c r="N4727" s="1"/>
    </row>
    <row r="4730" spans="14:15" x14ac:dyDescent="0.3">
      <c r="O4730" s="1"/>
    </row>
    <row r="4751" spans="15:15" x14ac:dyDescent="0.3">
      <c r="O4751" s="1"/>
    </row>
    <row r="4754" spans="14:16" x14ac:dyDescent="0.3">
      <c r="N4754" s="1"/>
    </row>
    <row r="4760" spans="14:16" x14ac:dyDescent="0.3">
      <c r="N4760" s="1"/>
      <c r="O4760" s="1"/>
      <c r="P4760" s="1"/>
    </row>
    <row r="4781" spans="14:14" x14ac:dyDescent="0.3">
      <c r="N4781" s="1"/>
    </row>
    <row r="4790" spans="13:13" x14ac:dyDescent="0.3">
      <c r="M4790" s="1"/>
    </row>
    <row r="4803" spans="13:16" x14ac:dyDescent="0.3">
      <c r="O4803" s="1"/>
    </row>
    <row r="4811" spans="13:16" x14ac:dyDescent="0.3">
      <c r="M4811" s="1"/>
      <c r="O4811" s="1"/>
      <c r="P4811" s="1"/>
    </row>
    <row r="4814" spans="13:16" x14ac:dyDescent="0.3">
      <c r="M4814" s="1"/>
    </row>
    <row r="4822" spans="13:16" x14ac:dyDescent="0.3">
      <c r="M4822" s="1"/>
      <c r="O4822" s="1"/>
      <c r="P4822" s="1"/>
    </row>
    <row r="4826" spans="13:16" x14ac:dyDescent="0.3">
      <c r="O4826" s="1"/>
    </row>
    <row r="4831" spans="13:16" x14ac:dyDescent="0.3">
      <c r="P4831" s="1"/>
    </row>
    <row r="4832" spans="13:16" x14ac:dyDescent="0.3">
      <c r="N4832" s="1"/>
      <c r="O4832" s="1"/>
    </row>
    <row r="4834" spans="13:16" x14ac:dyDescent="0.3">
      <c r="M4834" s="1"/>
      <c r="N4834" s="1"/>
      <c r="O4834" s="1"/>
      <c r="P4834" s="1"/>
    </row>
    <row r="4835" spans="13:16" x14ac:dyDescent="0.3">
      <c r="N4835" s="1"/>
    </row>
    <row r="4840" spans="13:16" x14ac:dyDescent="0.3">
      <c r="M4840" s="1"/>
      <c r="N4840" s="1"/>
      <c r="P4840" s="1"/>
    </row>
    <row r="4852" spans="13:16" x14ac:dyDescent="0.3">
      <c r="N4852" s="1"/>
    </row>
    <row r="4861" spans="13:16" x14ac:dyDescent="0.3">
      <c r="M4861" s="1"/>
      <c r="N4861" s="1"/>
      <c r="O4861" s="1"/>
      <c r="P4861" s="1"/>
    </row>
    <row r="4864" spans="13:16" x14ac:dyDescent="0.3">
      <c r="M4864" s="1"/>
      <c r="O4864" s="1"/>
      <c r="P4864" s="1"/>
    </row>
    <row r="4867" spans="13:16" x14ac:dyDescent="0.3">
      <c r="M4867" s="1"/>
      <c r="P4867" s="1"/>
    </row>
    <row r="4888" spans="14:15" x14ac:dyDescent="0.3">
      <c r="O4888" s="1"/>
    </row>
    <row r="4892" spans="14:15" x14ac:dyDescent="0.3">
      <c r="N4892" s="1"/>
      <c r="O4892" s="1"/>
    </row>
    <row r="4896" spans="14:15" x14ac:dyDescent="0.3">
      <c r="O4896" s="1"/>
    </row>
    <row r="4904" spans="13:16" x14ac:dyDescent="0.3">
      <c r="P4904" s="1"/>
    </row>
    <row r="4906" spans="13:16" x14ac:dyDescent="0.3">
      <c r="N4906" s="1"/>
      <c r="O4906" s="1"/>
      <c r="P4906" s="1"/>
    </row>
    <row r="4911" spans="13:16" x14ac:dyDescent="0.3">
      <c r="M4911" s="1"/>
    </row>
    <row r="4918" spans="13:15" x14ac:dyDescent="0.3">
      <c r="O4918" s="1"/>
    </row>
    <row r="4922" spans="13:15" x14ac:dyDescent="0.3">
      <c r="M4922" s="1"/>
      <c r="N4922" s="1"/>
      <c r="O4922" s="1"/>
    </row>
    <row r="4932" spans="14:16" x14ac:dyDescent="0.3">
      <c r="N4932" s="1"/>
    </row>
    <row r="4934" spans="14:16" x14ac:dyDescent="0.3">
      <c r="N4934" s="1"/>
      <c r="P4934" s="1"/>
    </row>
    <row r="4939" spans="14:16" x14ac:dyDescent="0.3">
      <c r="O4939" s="1"/>
    </row>
    <row r="4965" spans="13:16" x14ac:dyDescent="0.3">
      <c r="M4965" s="1"/>
      <c r="N4965" s="1"/>
      <c r="O4965" s="1"/>
      <c r="P4965" s="1"/>
    </row>
    <row r="4970" spans="13:16" x14ac:dyDescent="0.3">
      <c r="M4970" s="1"/>
      <c r="O4970" s="1"/>
    </row>
    <row r="4978" spans="13:14" x14ac:dyDescent="0.3">
      <c r="N4978" s="1"/>
    </row>
    <row r="4980" spans="13:14" x14ac:dyDescent="0.3">
      <c r="N4980" s="1"/>
    </row>
    <row r="4989" spans="13:14" x14ac:dyDescent="0.3">
      <c r="M4989" s="1"/>
    </row>
    <row r="4994" spans="14:15" x14ac:dyDescent="0.3">
      <c r="N4994" s="1"/>
      <c r="O4994" s="1"/>
    </row>
    <row r="5011" spans="15:15" x14ac:dyDescent="0.3">
      <c r="O5011" s="1"/>
    </row>
    <row r="5031" spans="13:15" x14ac:dyDescent="0.3">
      <c r="O5031" s="1"/>
    </row>
    <row r="5037" spans="13:15" x14ac:dyDescent="0.3">
      <c r="M5037" s="1"/>
      <c r="N5037" s="1"/>
    </row>
    <row r="5040" spans="13:15" x14ac:dyDescent="0.3">
      <c r="M5040" s="1"/>
    </row>
    <row r="5045" spans="13:16" x14ac:dyDescent="0.3">
      <c r="M5045" s="1"/>
      <c r="N5045" s="1"/>
      <c r="O5045" s="1"/>
      <c r="P5045" s="1"/>
    </row>
    <row r="5052" spans="13:16" x14ac:dyDescent="0.3">
      <c r="P5052" s="1"/>
    </row>
    <row r="5053" spans="13:16" x14ac:dyDescent="0.3">
      <c r="M5053" s="1"/>
      <c r="N5053" s="1"/>
      <c r="O5053" s="1"/>
      <c r="P5053" s="1"/>
    </row>
    <row r="5054" spans="13:16" x14ac:dyDescent="0.3">
      <c r="N5054" s="1"/>
    </row>
    <row r="5061" spans="13:15" x14ac:dyDescent="0.3">
      <c r="O5061" s="1"/>
    </row>
    <row r="5063" spans="13:15" x14ac:dyDescent="0.3">
      <c r="M5063" s="1"/>
    </row>
    <row r="5070" spans="13:15" x14ac:dyDescent="0.3">
      <c r="O5070" s="1"/>
    </row>
    <row r="5080" spans="13:13" x14ac:dyDescent="0.3">
      <c r="M5080" s="1"/>
    </row>
    <row r="5097" spans="13:16" x14ac:dyDescent="0.3">
      <c r="M5097" s="1"/>
      <c r="N5097" s="1"/>
      <c r="O5097" s="1"/>
      <c r="P5097" s="1"/>
    </row>
    <row r="5116" spans="13:16" x14ac:dyDescent="0.3">
      <c r="M5116" s="1"/>
      <c r="O5116" s="1"/>
    </row>
    <row r="5118" spans="13:16" x14ac:dyDescent="0.3">
      <c r="M5118" s="1"/>
      <c r="O5118" s="1"/>
      <c r="P5118" s="1"/>
    </row>
    <row r="5121" spans="13:14" x14ac:dyDescent="0.3">
      <c r="N5121" s="1"/>
    </row>
    <row r="5126" spans="13:14" x14ac:dyDescent="0.3">
      <c r="M5126" s="1"/>
      <c r="N5126" s="1"/>
    </row>
    <row r="5134" spans="13:14" x14ac:dyDescent="0.3">
      <c r="N5134" s="1"/>
    </row>
    <row r="5139" spans="14:14" x14ac:dyDescent="0.3">
      <c r="N5139" s="1"/>
    </row>
    <row r="5153" spans="13:16" x14ac:dyDescent="0.3">
      <c r="M5153" s="1"/>
      <c r="N5153" s="1"/>
      <c r="P5153" s="1"/>
    </row>
    <row r="5159" spans="13:16" x14ac:dyDescent="0.3">
      <c r="N5159" s="1"/>
    </row>
    <row r="5162" spans="13:16" x14ac:dyDescent="0.3">
      <c r="O5162" s="1"/>
    </row>
    <row r="5167" spans="13:16" x14ac:dyDescent="0.3">
      <c r="N5167" s="1"/>
      <c r="O5167" s="1"/>
    </row>
    <row r="5170" spans="14:16" x14ac:dyDescent="0.3">
      <c r="N5170" s="1"/>
      <c r="O5170" s="1"/>
    </row>
    <row r="5171" spans="14:16" x14ac:dyDescent="0.3">
      <c r="N5171" s="1"/>
      <c r="O5171" s="1"/>
      <c r="P5171" s="1"/>
    </row>
    <row r="5178" spans="14:16" x14ac:dyDescent="0.3">
      <c r="N5178" s="1"/>
      <c r="P5178" s="1"/>
    </row>
    <row r="5181" spans="14:16" x14ac:dyDescent="0.3">
      <c r="P5181" s="1"/>
    </row>
    <row r="5185" spans="13:14" x14ac:dyDescent="0.3">
      <c r="M5185" s="1"/>
      <c r="N5185" s="1"/>
    </row>
    <row r="5207" spans="14:15" x14ac:dyDescent="0.3">
      <c r="N5207" s="1"/>
      <c r="O5207" s="1"/>
    </row>
    <row r="5226" spans="13:16" x14ac:dyDescent="0.3">
      <c r="M5226" s="1"/>
      <c r="N5226" s="1"/>
      <c r="O5226" s="1"/>
      <c r="P5226" s="1"/>
    </row>
    <row r="5235" spans="13:16" x14ac:dyDescent="0.3">
      <c r="M5235" s="1"/>
      <c r="N5235" s="1"/>
    </row>
    <row r="5237" spans="13:16" x14ac:dyDescent="0.3">
      <c r="M5237" s="1"/>
      <c r="N5237" s="1"/>
      <c r="O5237" s="1"/>
      <c r="P5237" s="1"/>
    </row>
    <row r="5283" spans="13:16" x14ac:dyDescent="0.3">
      <c r="N5283" s="1"/>
      <c r="O5283" s="1"/>
    </row>
    <row r="5288" spans="13:16" x14ac:dyDescent="0.3">
      <c r="M5288" s="1"/>
      <c r="P5288" s="1"/>
    </row>
    <row r="5306" spans="13:16" x14ac:dyDescent="0.3">
      <c r="M5306" s="1"/>
      <c r="N5306" s="1"/>
      <c r="O5306" s="1"/>
      <c r="P5306" s="1"/>
    </row>
    <row r="5308" spans="13:16" x14ac:dyDescent="0.3">
      <c r="M5308" s="1"/>
      <c r="N5308" s="1"/>
      <c r="P5308" s="1"/>
    </row>
    <row r="5326" spans="14:14" x14ac:dyDescent="0.3">
      <c r="N5326" s="1"/>
    </row>
    <row r="5330" spans="14:16" x14ac:dyDescent="0.3">
      <c r="N5330" s="1"/>
    </row>
    <row r="5332" spans="14:16" x14ac:dyDescent="0.3">
      <c r="N5332" s="1"/>
    </row>
    <row r="5334" spans="14:16" x14ac:dyDescent="0.3">
      <c r="P5334" s="1"/>
    </row>
    <row r="5350" spans="13:16" x14ac:dyDescent="0.3">
      <c r="M5350" s="1"/>
      <c r="P5350" s="1"/>
    </row>
    <row r="5358" spans="13:16" x14ac:dyDescent="0.3">
      <c r="O5358" s="1"/>
    </row>
    <row r="5367" spans="13:13" x14ac:dyDescent="0.3">
      <c r="M5367" s="1"/>
    </row>
    <row r="5372" spans="13:13" x14ac:dyDescent="0.3">
      <c r="M5372" s="1"/>
    </row>
    <row r="5376" spans="13:13" x14ac:dyDescent="0.3">
      <c r="M5376" s="1"/>
    </row>
    <row r="5380" spans="14:15" x14ac:dyDescent="0.3">
      <c r="N5380" s="1"/>
    </row>
    <row r="5381" spans="14:15" x14ac:dyDescent="0.3">
      <c r="N5381" s="1"/>
    </row>
    <row r="5390" spans="14:15" x14ac:dyDescent="0.3">
      <c r="O5390" s="1"/>
    </row>
    <row r="5392" spans="14:15" x14ac:dyDescent="0.3">
      <c r="O5392" s="1"/>
    </row>
    <row r="5407" spans="15:16" x14ac:dyDescent="0.3">
      <c r="O5407" s="1"/>
      <c r="P5407" s="1"/>
    </row>
    <row r="5413" spans="13:15" x14ac:dyDescent="0.3">
      <c r="N5413" s="1"/>
    </row>
    <row r="5416" spans="13:15" x14ac:dyDescent="0.3">
      <c r="M5416" s="1"/>
    </row>
    <row r="5418" spans="13:15" x14ac:dyDescent="0.3">
      <c r="N5418" s="1"/>
      <c r="O5418" s="1"/>
    </row>
    <row r="5430" spans="13:16" x14ac:dyDescent="0.3">
      <c r="M5430" s="1"/>
      <c r="N5430" s="1"/>
      <c r="O5430" s="1"/>
      <c r="P5430" s="1"/>
    </row>
    <row r="5439" spans="13:16" x14ac:dyDescent="0.3">
      <c r="N5439" s="1"/>
    </row>
    <row r="5447" spans="13:14" x14ac:dyDescent="0.3">
      <c r="M5447" s="1"/>
    </row>
    <row r="5456" spans="13:14" x14ac:dyDescent="0.3">
      <c r="N5456" s="1"/>
    </row>
    <row r="5463" spans="13:15" x14ac:dyDescent="0.3">
      <c r="M5463" s="1"/>
    </row>
    <row r="5467" spans="13:15" x14ac:dyDescent="0.3">
      <c r="O5467" s="1"/>
    </row>
    <row r="5470" spans="13:15" x14ac:dyDescent="0.3">
      <c r="M5470" s="1"/>
      <c r="N5470" s="1"/>
    </row>
    <row r="5471" spans="13:15" x14ac:dyDescent="0.3">
      <c r="N5471" s="1"/>
    </row>
    <row r="5478" spans="14:14" x14ac:dyDescent="0.3">
      <c r="N5478" s="1"/>
    </row>
    <row r="5496" spans="13:15" x14ac:dyDescent="0.3">
      <c r="M5496" s="1"/>
      <c r="O5496" s="1"/>
    </row>
    <row r="5498" spans="13:15" x14ac:dyDescent="0.3">
      <c r="O5498" s="1"/>
    </row>
    <row r="5519" spans="15:16" x14ac:dyDescent="0.3">
      <c r="O5519" s="1"/>
      <c r="P5519" s="1"/>
    </row>
    <row r="5521" spans="13:16" x14ac:dyDescent="0.3">
      <c r="M5521" s="1"/>
      <c r="N5521" s="1"/>
      <c r="P5521" s="1"/>
    </row>
    <row r="5527" spans="13:16" x14ac:dyDescent="0.3">
      <c r="M5527" s="1"/>
    </row>
    <row r="5555" spans="14:14" x14ac:dyDescent="0.3">
      <c r="N5555" s="1"/>
    </row>
    <row r="5577" spans="13:15" x14ac:dyDescent="0.3">
      <c r="M5577" s="1"/>
      <c r="O5577" s="1"/>
    </row>
    <row r="5595" spans="13:14" x14ac:dyDescent="0.3">
      <c r="M5595" s="1"/>
    </row>
    <row r="5597" spans="13:14" x14ac:dyDescent="0.3">
      <c r="N5597" s="1"/>
    </row>
    <row r="5603" spans="13:16" x14ac:dyDescent="0.3">
      <c r="M5603" s="1"/>
      <c r="N5603" s="1"/>
      <c r="O5603" s="1"/>
      <c r="P5603" s="1"/>
    </row>
    <row r="5608" spans="13:16" x14ac:dyDescent="0.3">
      <c r="M5608" s="1"/>
    </row>
    <row r="5610" spans="13:16" x14ac:dyDescent="0.3">
      <c r="M5610" s="1"/>
      <c r="O5610" s="1"/>
    </row>
    <row r="5619" spans="13:16" x14ac:dyDescent="0.3">
      <c r="M5619" s="1"/>
      <c r="N5619" s="1"/>
      <c r="O5619" s="1"/>
    </row>
    <row r="5629" spans="13:16" x14ac:dyDescent="0.3">
      <c r="O5629" s="1"/>
      <c r="P5629" s="1"/>
    </row>
    <row r="5634" spans="13:16" x14ac:dyDescent="0.3">
      <c r="M5634" s="1"/>
    </row>
    <row r="5638" spans="13:16" x14ac:dyDescent="0.3">
      <c r="M5638" s="1"/>
    </row>
    <row r="5640" spans="13:16" x14ac:dyDescent="0.3">
      <c r="M5640" s="1"/>
      <c r="N5640" s="1"/>
      <c r="O5640" s="1"/>
      <c r="P5640" s="1"/>
    </row>
    <row r="5641" spans="13:16" x14ac:dyDescent="0.3">
      <c r="M5641" s="1"/>
      <c r="N5641" s="1"/>
      <c r="O5641" s="1"/>
      <c r="P5641" s="1"/>
    </row>
    <row r="5653" spans="13:16" x14ac:dyDescent="0.3">
      <c r="N5653" s="1"/>
      <c r="O5653" s="1"/>
      <c r="P5653" s="1"/>
    </row>
    <row r="5659" spans="13:16" x14ac:dyDescent="0.3">
      <c r="M5659" s="1"/>
      <c r="P5659" s="1"/>
    </row>
    <row r="5671" spans="14:14" x14ac:dyDescent="0.3">
      <c r="N5671" s="1"/>
    </row>
    <row r="5683" spans="13:15" x14ac:dyDescent="0.3">
      <c r="O5683" s="1"/>
    </row>
    <row r="5688" spans="13:15" x14ac:dyDescent="0.3">
      <c r="M5688" s="1"/>
    </row>
    <row r="5705" spans="13:16" x14ac:dyDescent="0.3">
      <c r="N5705" s="1"/>
      <c r="O5705" s="1"/>
      <c r="P5705" s="1"/>
    </row>
    <row r="5707" spans="13:16" x14ac:dyDescent="0.3">
      <c r="M5707" s="1"/>
      <c r="P5707" s="1"/>
    </row>
    <row r="5710" spans="13:16" x14ac:dyDescent="0.3">
      <c r="M5710" s="1"/>
    </row>
    <row r="5722" spans="13:15" x14ac:dyDescent="0.3">
      <c r="M5722" s="1"/>
      <c r="O5722" s="1"/>
    </row>
    <row r="5727" spans="13:15" x14ac:dyDescent="0.3">
      <c r="N5727" s="1"/>
    </row>
    <row r="5729" spans="14:16" x14ac:dyDescent="0.3">
      <c r="N5729" s="1"/>
    </row>
    <row r="5732" spans="14:16" x14ac:dyDescent="0.3">
      <c r="N5732" s="1"/>
      <c r="P5732" s="1"/>
    </row>
    <row r="5746" spans="13:16" x14ac:dyDescent="0.3">
      <c r="M5746" s="1"/>
      <c r="N5746" s="1"/>
      <c r="P5746" s="1"/>
    </row>
    <row r="5759" spans="13:16" x14ac:dyDescent="0.3">
      <c r="P5759" s="1"/>
    </row>
    <row r="5767" spans="13:13" x14ac:dyDescent="0.3">
      <c r="M5767" s="1"/>
    </row>
    <row r="5800" spans="13:16" x14ac:dyDescent="0.3">
      <c r="M5800" s="1"/>
      <c r="N5800" s="1"/>
      <c r="P5800" s="1"/>
    </row>
    <row r="5805" spans="13:16" x14ac:dyDescent="0.3">
      <c r="M5805" s="1"/>
      <c r="O5805" s="1"/>
    </row>
    <row r="5806" spans="13:16" x14ac:dyDescent="0.3">
      <c r="M5806" s="1"/>
      <c r="O5806" s="1"/>
      <c r="P5806" s="1"/>
    </row>
    <row r="5811" spans="13:14" x14ac:dyDescent="0.3">
      <c r="M5811" s="1"/>
      <c r="N5811" s="1"/>
    </row>
    <row r="5866" spans="13:16" x14ac:dyDescent="0.3">
      <c r="M5866" s="1"/>
      <c r="N5866" s="1"/>
      <c r="P5866" s="1"/>
    </row>
    <row r="5867" spans="13:16" x14ac:dyDescent="0.3">
      <c r="M5867" s="1"/>
    </row>
    <row r="5878" spans="13:16" x14ac:dyDescent="0.3">
      <c r="M5878" s="1"/>
      <c r="N5878" s="1"/>
      <c r="O5878" s="1"/>
      <c r="P5878" s="1"/>
    </row>
    <row r="5889" spans="13:16" x14ac:dyDescent="0.3">
      <c r="M5889" s="1"/>
      <c r="P5889" s="1"/>
    </row>
    <row r="5898" spans="13:16" x14ac:dyDescent="0.3">
      <c r="M5898" s="1"/>
      <c r="N5898" s="1"/>
      <c r="O5898" s="1"/>
    </row>
    <row r="5915" spans="13:15" x14ac:dyDescent="0.3">
      <c r="M5915" s="1"/>
      <c r="N5915" s="1"/>
      <c r="O5915" s="1"/>
    </row>
    <row r="5917" spans="13:15" x14ac:dyDescent="0.3">
      <c r="N5917" s="1"/>
    </row>
    <row r="5920" spans="13:15" x14ac:dyDescent="0.3">
      <c r="M5920" s="1"/>
    </row>
    <row r="5935" spans="14:15" x14ac:dyDescent="0.3">
      <c r="N5935" s="1"/>
      <c r="O5935" s="1"/>
    </row>
    <row r="5948" spans="13:16" x14ac:dyDescent="0.3">
      <c r="M5948" s="1"/>
      <c r="N5948" s="1"/>
      <c r="O5948" s="1"/>
      <c r="P5948" s="1"/>
    </row>
    <row r="5950" spans="13:16" x14ac:dyDescent="0.3">
      <c r="O5950" s="1"/>
    </row>
    <row r="5952" spans="13:16" x14ac:dyDescent="0.3">
      <c r="M5952" s="1"/>
    </row>
    <row r="5956" spans="14:15" x14ac:dyDescent="0.3">
      <c r="O5956" s="1"/>
    </row>
    <row r="5962" spans="14:15" x14ac:dyDescent="0.3">
      <c r="N5962" s="1"/>
      <c r="O5962" s="1"/>
    </row>
    <row r="5983" spans="15:15" x14ac:dyDescent="0.3">
      <c r="O5983" s="1"/>
    </row>
    <row r="5992" spans="13:15" x14ac:dyDescent="0.3">
      <c r="M5992" s="1"/>
    </row>
    <row r="5993" spans="13:15" x14ac:dyDescent="0.3">
      <c r="O5993" s="1"/>
    </row>
    <row r="5999" spans="13:15" x14ac:dyDescent="0.3">
      <c r="N5999" s="1"/>
    </row>
    <row r="6003" spans="13:14" x14ac:dyDescent="0.3">
      <c r="M6003" s="1"/>
    </row>
    <row r="6016" spans="13:14" x14ac:dyDescent="0.3">
      <c r="N6016" s="1"/>
    </row>
    <row r="6027" spans="14:16" x14ac:dyDescent="0.3">
      <c r="N6027" s="1"/>
      <c r="O6027" s="1"/>
      <c r="P6027" s="1"/>
    </row>
    <row r="6038" spans="13:16" x14ac:dyDescent="0.3">
      <c r="N6038" s="1"/>
      <c r="P6038" s="1"/>
    </row>
    <row r="6043" spans="13:16" x14ac:dyDescent="0.3">
      <c r="M6043" s="1"/>
      <c r="N6043" s="1"/>
    </row>
    <row r="6045" spans="13:16" x14ac:dyDescent="0.3">
      <c r="N6045" s="1"/>
    </row>
    <row r="6050" spans="15:16" x14ac:dyDescent="0.3">
      <c r="O6050" s="1"/>
      <c r="P6050" s="1"/>
    </row>
    <row r="6061" spans="15:16" x14ac:dyDescent="0.3">
      <c r="O6061" s="1"/>
      <c r="P6061" s="1"/>
    </row>
    <row r="6080" spans="15:15" x14ac:dyDescent="0.3">
      <c r="O6080" s="1"/>
    </row>
    <row r="6083" spans="14:14" x14ac:dyDescent="0.3">
      <c r="N6083" s="1"/>
    </row>
    <row r="6088" spans="14:14" x14ac:dyDescent="0.3">
      <c r="N6088" s="1"/>
    </row>
    <row r="6119" spans="13:16" x14ac:dyDescent="0.3">
      <c r="M6119" s="1"/>
      <c r="N6119" s="1"/>
      <c r="P6119" s="1"/>
    </row>
    <row r="6128" spans="13:16" x14ac:dyDescent="0.3">
      <c r="O6128" s="1"/>
    </row>
    <row r="6139" spans="14:14" x14ac:dyDescent="0.3">
      <c r="N6139" s="1"/>
    </row>
    <row r="6158" spans="14:16" x14ac:dyDescent="0.3">
      <c r="N6158" s="1"/>
      <c r="O6158" s="1"/>
      <c r="P6158" s="1"/>
    </row>
    <row r="6192" spans="15:15" x14ac:dyDescent="0.3">
      <c r="O6192" s="1"/>
    </row>
    <row r="6207" spans="13:16" x14ac:dyDescent="0.3">
      <c r="M6207" s="1"/>
      <c r="N6207" s="1"/>
      <c r="P6207" s="1"/>
    </row>
    <row r="6212" spans="13:16" x14ac:dyDescent="0.3">
      <c r="M6212" s="1"/>
    </row>
    <row r="6217" spans="13:16" x14ac:dyDescent="0.3">
      <c r="P6217" s="1"/>
    </row>
    <row r="6222" spans="13:16" x14ac:dyDescent="0.3">
      <c r="M6222" s="1"/>
    </row>
    <row r="6227" spans="13:14" x14ac:dyDescent="0.3">
      <c r="N6227" s="1"/>
    </row>
    <row r="6228" spans="13:14" x14ac:dyDescent="0.3">
      <c r="M6228" s="1"/>
      <c r="N6228" s="1"/>
    </row>
    <row r="6231" spans="13:14" x14ac:dyDescent="0.3">
      <c r="M6231" s="1"/>
      <c r="N6231" s="1"/>
    </row>
    <row r="6255" spans="13:16" x14ac:dyDescent="0.3">
      <c r="M6255" s="1"/>
      <c r="N6255" s="1"/>
      <c r="O6255" s="1"/>
      <c r="P6255" s="1"/>
    </row>
    <row r="6261" spans="13:14" x14ac:dyDescent="0.3">
      <c r="N6261" s="1"/>
    </row>
    <row r="6267" spans="13:14" x14ac:dyDescent="0.3">
      <c r="M6267" s="1"/>
    </row>
    <row r="6279" spans="13:15" x14ac:dyDescent="0.3">
      <c r="M6279" s="1"/>
    </row>
    <row r="6282" spans="13:15" x14ac:dyDescent="0.3">
      <c r="N6282" s="1"/>
    </row>
    <row r="6285" spans="13:15" x14ac:dyDescent="0.3">
      <c r="N6285" s="1"/>
    </row>
    <row r="6287" spans="13:15" x14ac:dyDescent="0.3">
      <c r="O6287" s="1"/>
    </row>
    <row r="6296" spans="13:15" x14ac:dyDescent="0.3">
      <c r="O6296" s="1"/>
    </row>
    <row r="6302" spans="13:15" x14ac:dyDescent="0.3">
      <c r="M6302" s="1"/>
      <c r="N6302" s="1"/>
    </row>
    <row r="6306" spans="13:15" x14ac:dyDescent="0.3">
      <c r="M6306" s="1"/>
    </row>
    <row r="6307" spans="13:15" x14ac:dyDescent="0.3">
      <c r="M6307" s="1"/>
    </row>
    <row r="6311" spans="13:15" x14ac:dyDescent="0.3">
      <c r="M6311" s="1"/>
      <c r="N6311" s="1"/>
      <c r="O6311" s="1"/>
    </row>
    <row r="6324" spans="15:15" x14ac:dyDescent="0.3">
      <c r="O6324" s="1"/>
    </row>
    <row r="6338" spans="13:15" x14ac:dyDescent="0.3">
      <c r="N6338" s="1"/>
    </row>
    <row r="6342" spans="13:15" x14ac:dyDescent="0.3">
      <c r="M6342" s="1"/>
      <c r="N6342" s="1"/>
      <c r="O6342" s="1"/>
    </row>
    <row r="6356" spans="14:14" x14ac:dyDescent="0.3">
      <c r="N6356" s="1"/>
    </row>
    <row r="6391" spans="14:15" x14ac:dyDescent="0.3">
      <c r="O6391" s="1"/>
    </row>
    <row r="6396" spans="14:15" x14ac:dyDescent="0.3">
      <c r="N6396" s="1"/>
      <c r="O6396" s="1"/>
    </row>
    <row r="6398" spans="14:15" x14ac:dyDescent="0.3">
      <c r="O6398" s="1"/>
    </row>
    <row r="6399" spans="14:15" x14ac:dyDescent="0.3">
      <c r="N6399" s="1"/>
    </row>
    <row r="6400" spans="14:15" x14ac:dyDescent="0.3">
      <c r="N6400" s="1"/>
    </row>
    <row r="6407" spans="14:15" x14ac:dyDescent="0.3">
      <c r="O6407" s="1"/>
    </row>
    <row r="6409" spans="14:15" x14ac:dyDescent="0.3">
      <c r="N6409" s="1"/>
      <c r="O6409" s="1"/>
    </row>
    <row r="6431" spans="15:15" x14ac:dyDescent="0.3">
      <c r="O6431" s="1"/>
    </row>
    <row r="6439" spans="13:14" x14ac:dyDescent="0.3">
      <c r="N6439" s="1"/>
    </row>
    <row r="6448" spans="13:14" x14ac:dyDescent="0.3">
      <c r="M6448" s="1"/>
      <c r="N6448" s="1"/>
    </row>
    <row r="6460" spans="15:15" x14ac:dyDescent="0.3">
      <c r="O6460" s="1"/>
    </row>
    <row r="6466" spans="13:16" x14ac:dyDescent="0.3">
      <c r="N6466" s="1"/>
      <c r="O6466" s="1"/>
      <c r="P6466" s="1"/>
    </row>
    <row r="6477" spans="13:16" x14ac:dyDescent="0.3">
      <c r="M6477" s="1"/>
      <c r="N6477" s="1"/>
      <c r="O6477" s="1"/>
    </row>
    <row r="6480" spans="13:16" x14ac:dyDescent="0.3">
      <c r="M6480" s="1"/>
    </row>
    <row r="6481" spans="13:15" x14ac:dyDescent="0.3">
      <c r="O6481" s="1"/>
    </row>
    <row r="6488" spans="13:15" x14ac:dyDescent="0.3">
      <c r="M6488" s="1"/>
      <c r="O6488" s="1"/>
    </row>
    <row r="6504" spans="14:15" x14ac:dyDescent="0.3">
      <c r="N6504" s="1"/>
      <c r="O6504" s="1"/>
    </row>
    <row r="6520" spans="16:16" x14ac:dyDescent="0.3">
      <c r="P6520" s="1"/>
    </row>
    <row r="6529" spans="15:15" x14ac:dyDescent="0.3">
      <c r="O6529" s="1"/>
    </row>
    <row r="6554" spans="13:15" x14ac:dyDescent="0.3">
      <c r="M6554" s="1"/>
      <c r="O6554" s="1"/>
    </row>
    <row r="6558" spans="13:15" x14ac:dyDescent="0.3">
      <c r="N6558" s="1"/>
    </row>
    <row r="6566" spans="13:16" x14ac:dyDescent="0.3">
      <c r="P6566" s="1"/>
    </row>
    <row r="6569" spans="13:16" x14ac:dyDescent="0.3">
      <c r="N6569" s="1"/>
    </row>
    <row r="6575" spans="13:16" x14ac:dyDescent="0.3">
      <c r="M6575" s="1"/>
    </row>
    <row r="6579" spans="13:16" x14ac:dyDescent="0.3">
      <c r="M6579" s="1"/>
      <c r="N6579" s="1"/>
      <c r="P6579" s="1"/>
    </row>
    <row r="6580" spans="13:16" x14ac:dyDescent="0.3">
      <c r="O6580" s="1"/>
    </row>
    <row r="6585" spans="13:16" x14ac:dyDescent="0.3">
      <c r="M6585" s="1"/>
      <c r="N6585" s="1"/>
    </row>
    <row r="6593" spans="14:15" x14ac:dyDescent="0.3">
      <c r="N6593" s="1"/>
    </row>
    <row r="6605" spans="14:15" x14ac:dyDescent="0.3">
      <c r="O6605" s="1"/>
    </row>
    <row r="6614" spans="13:15" x14ac:dyDescent="0.3">
      <c r="N6614" s="1"/>
      <c r="O6614" s="1"/>
    </row>
    <row r="6619" spans="13:15" x14ac:dyDescent="0.3">
      <c r="M6619" s="1"/>
      <c r="O6619" s="1"/>
    </row>
    <row r="6627" spans="13:16" x14ac:dyDescent="0.3">
      <c r="M6627" s="1"/>
      <c r="N6627" s="1"/>
    </row>
    <row r="6636" spans="13:16" x14ac:dyDescent="0.3">
      <c r="N6636" s="1"/>
      <c r="O6636" s="1"/>
      <c r="P6636" s="1"/>
    </row>
    <row r="6637" spans="13:16" x14ac:dyDescent="0.3">
      <c r="M6637" s="1"/>
      <c r="N6637" s="1"/>
      <c r="P6637" s="1"/>
    </row>
    <row r="6648" spans="13:13" x14ac:dyDescent="0.3">
      <c r="M6648" s="1"/>
    </row>
    <row r="6652" spans="13:13" x14ac:dyDescent="0.3">
      <c r="M6652" s="1"/>
    </row>
    <row r="6662" spans="14:16" x14ac:dyDescent="0.3">
      <c r="N6662" s="1"/>
      <c r="P6662" s="1"/>
    </row>
    <row r="6699" spans="13:13" x14ac:dyDescent="0.3">
      <c r="M6699" s="1"/>
    </row>
    <row r="6706" spans="13:16" x14ac:dyDescent="0.3">
      <c r="M6706" s="1"/>
      <c r="N6706" s="1"/>
      <c r="P6706" s="1"/>
    </row>
    <row r="6712" spans="13:16" x14ac:dyDescent="0.3">
      <c r="M6712" s="1"/>
      <c r="O6712" s="1"/>
    </row>
    <row r="6714" spans="13:16" x14ac:dyDescent="0.3">
      <c r="O6714" s="1"/>
    </row>
    <row r="6721" spans="13:14" x14ac:dyDescent="0.3">
      <c r="N6721" s="1"/>
    </row>
    <row r="6727" spans="13:14" x14ac:dyDescent="0.3">
      <c r="M6727" s="1"/>
    </row>
    <row r="6743" spans="13:16" x14ac:dyDescent="0.3">
      <c r="M6743" s="1"/>
      <c r="N6743" s="1"/>
      <c r="O6743" s="1"/>
      <c r="P6743" s="1"/>
    </row>
    <row r="6748" spans="13:16" x14ac:dyDescent="0.3">
      <c r="N6748" s="1"/>
    </row>
    <row r="6749" spans="13:16" x14ac:dyDescent="0.3">
      <c r="O6749" s="1"/>
    </row>
    <row r="6758" spans="13:16" x14ac:dyDescent="0.3">
      <c r="N6758" s="1"/>
      <c r="O6758" s="1"/>
    </row>
    <row r="6762" spans="13:16" x14ac:dyDescent="0.3">
      <c r="M6762" s="1"/>
    </row>
    <row r="6763" spans="13:16" x14ac:dyDescent="0.3">
      <c r="M6763" s="1"/>
      <c r="N6763" s="1"/>
      <c r="O6763" s="1"/>
      <c r="P6763" s="1"/>
    </row>
    <row r="6784" spans="13:13" x14ac:dyDescent="0.3">
      <c r="M6784" s="1"/>
    </row>
    <row r="6787" spans="15:15" x14ac:dyDescent="0.3">
      <c r="O6787" s="1"/>
    </row>
    <row r="6803" spans="13:13" x14ac:dyDescent="0.3">
      <c r="M6803" s="1"/>
    </row>
    <row r="6817" spans="14:14" x14ac:dyDescent="0.3">
      <c r="N6817" s="1"/>
    </row>
    <row r="6829" spans="14:14" x14ac:dyDescent="0.3">
      <c r="N6829" s="1"/>
    </row>
    <row r="6842" spans="14:14" x14ac:dyDescent="0.3">
      <c r="N6842" s="1"/>
    </row>
    <row r="6849" spans="13:15" x14ac:dyDescent="0.3">
      <c r="M6849" s="1"/>
    </row>
    <row r="6851" spans="13:15" x14ac:dyDescent="0.3">
      <c r="M6851" s="1"/>
    </row>
    <row r="6855" spans="13:15" x14ac:dyDescent="0.3">
      <c r="O6855" s="1"/>
    </row>
    <row r="6856" spans="13:15" x14ac:dyDescent="0.3">
      <c r="N6856" s="1"/>
    </row>
    <row r="6882" spans="14:16" x14ac:dyDescent="0.3">
      <c r="N6882" s="1"/>
      <c r="P6882" s="1"/>
    </row>
    <row r="6906" spans="13:15" x14ac:dyDescent="0.3">
      <c r="O6906" s="1"/>
    </row>
    <row r="6911" spans="13:15" x14ac:dyDescent="0.3">
      <c r="M6911" s="1"/>
    </row>
    <row r="6922" spans="14:14" x14ac:dyDescent="0.3">
      <c r="N6922" s="1"/>
    </row>
    <row r="6938" spans="13:16" x14ac:dyDescent="0.3">
      <c r="M6938" s="1"/>
      <c r="N6938" s="1"/>
    </row>
    <row r="6943" spans="13:16" x14ac:dyDescent="0.3">
      <c r="M6943" s="1"/>
      <c r="O6943" s="1"/>
      <c r="P6943" s="1"/>
    </row>
    <row r="6950" spans="14:16" x14ac:dyDescent="0.3">
      <c r="N6950" s="1"/>
      <c r="O6950" s="1"/>
      <c r="P6950" s="1"/>
    </row>
    <row r="6952" spans="14:16" x14ac:dyDescent="0.3">
      <c r="N6952" s="1"/>
    </row>
    <row r="6979" spans="13:16" x14ac:dyDescent="0.3">
      <c r="M6979" s="1"/>
    </row>
    <row r="6985" spans="13:16" x14ac:dyDescent="0.3">
      <c r="N6985" s="1"/>
      <c r="O6985" s="1"/>
      <c r="P6985" s="1"/>
    </row>
    <row r="7000" spans="14:14" x14ac:dyDescent="0.3">
      <c r="N7000" s="1"/>
    </row>
    <row r="7012" spans="13:15" x14ac:dyDescent="0.3">
      <c r="N7012" s="1"/>
    </row>
    <row r="7018" spans="13:15" x14ac:dyDescent="0.3">
      <c r="M7018" s="1"/>
      <c r="N7018" s="1"/>
      <c r="O7018" s="1"/>
    </row>
    <row r="7020" spans="13:15" x14ac:dyDescent="0.3">
      <c r="O7020" s="1"/>
    </row>
    <row r="7022" spans="13:15" x14ac:dyDescent="0.3">
      <c r="M7022" s="1"/>
      <c r="O7022" s="1"/>
    </row>
    <row r="7024" spans="13:15" x14ac:dyDescent="0.3">
      <c r="N7024" s="1"/>
    </row>
    <row r="7038" spans="15:15" x14ac:dyDescent="0.3">
      <c r="O7038" s="1"/>
    </row>
    <row r="7046" spans="13:16" x14ac:dyDescent="0.3">
      <c r="O7046" s="1"/>
    </row>
    <row r="7051" spans="13:16" x14ac:dyDescent="0.3">
      <c r="N7051" s="1"/>
      <c r="O7051" s="1"/>
      <c r="P7051" s="1"/>
    </row>
    <row r="7053" spans="13:16" x14ac:dyDescent="0.3">
      <c r="M7053" s="1"/>
    </row>
    <row r="7058" spans="13:15" x14ac:dyDescent="0.3">
      <c r="N7058" s="1"/>
      <c r="O7058" s="1"/>
    </row>
    <row r="7065" spans="13:15" x14ac:dyDescent="0.3">
      <c r="M7065" s="1"/>
      <c r="N7065" s="1"/>
    </row>
    <row r="7075" spans="13:16" x14ac:dyDescent="0.3">
      <c r="M7075" s="1"/>
    </row>
    <row r="7081" spans="13:16" x14ac:dyDescent="0.3">
      <c r="M7081" s="1"/>
      <c r="N7081" s="1"/>
      <c r="O7081" s="1"/>
      <c r="P7081" s="1"/>
    </row>
    <row r="7090" spans="13:16" x14ac:dyDescent="0.3">
      <c r="M7090" s="1"/>
      <c r="N7090" s="1"/>
      <c r="P7090" s="1"/>
    </row>
    <row r="7095" spans="13:16" x14ac:dyDescent="0.3">
      <c r="M7095" s="1"/>
    </row>
    <row r="7097" spans="13:16" x14ac:dyDescent="0.3">
      <c r="N7097" s="1"/>
    </row>
    <row r="7098" spans="13:16" x14ac:dyDescent="0.3">
      <c r="O7098" s="1"/>
    </row>
    <row r="7108" spans="13:16" x14ac:dyDescent="0.3">
      <c r="M7108" s="1"/>
    </row>
    <row r="7109" spans="13:16" x14ac:dyDescent="0.3">
      <c r="M7109" s="1"/>
    </row>
    <row r="7113" spans="13:16" x14ac:dyDescent="0.3">
      <c r="N7113" s="1"/>
      <c r="P7113" s="1"/>
    </row>
    <row r="7120" spans="13:16" x14ac:dyDescent="0.3">
      <c r="N7120" s="1"/>
    </row>
    <row r="7128" spans="16:16" x14ac:dyDescent="0.3">
      <c r="P7128" s="1"/>
    </row>
    <row r="7140" spans="13:16" x14ac:dyDescent="0.3">
      <c r="O7140" s="1"/>
      <c r="P7140" s="1"/>
    </row>
    <row r="7141" spans="13:16" x14ac:dyDescent="0.3">
      <c r="P7141" s="1"/>
    </row>
    <row r="7142" spans="13:16" x14ac:dyDescent="0.3">
      <c r="M7142" s="1"/>
      <c r="O7142" s="1"/>
      <c r="P7142" s="1"/>
    </row>
    <row r="7143" spans="13:16" x14ac:dyDescent="0.3">
      <c r="M7143" s="1"/>
      <c r="N7143" s="1"/>
    </row>
    <row r="7166" spans="13:14" x14ac:dyDescent="0.3">
      <c r="M7166" s="1"/>
      <c r="N7166" s="1"/>
    </row>
    <row r="7170" spans="13:14" x14ac:dyDescent="0.3">
      <c r="M7170" s="1"/>
    </row>
    <row r="7173" spans="13:14" x14ac:dyDescent="0.3">
      <c r="M7173" s="1"/>
      <c r="N7173" s="1"/>
    </row>
    <row r="7220" spans="13:15" x14ac:dyDescent="0.3">
      <c r="M7220" s="1"/>
      <c r="O7220" s="1"/>
    </row>
    <row r="7234" spans="13:15" x14ac:dyDescent="0.3">
      <c r="O7234" s="1"/>
    </row>
    <row r="7239" spans="13:15" x14ac:dyDescent="0.3">
      <c r="M7239" s="1"/>
    </row>
    <row r="7246" spans="13:15" x14ac:dyDescent="0.3">
      <c r="N7246" s="1"/>
    </row>
    <row r="7248" spans="13:15" x14ac:dyDescent="0.3">
      <c r="N7248" s="1"/>
    </row>
    <row r="7252" spans="13:15" x14ac:dyDescent="0.3">
      <c r="M7252" s="1"/>
    </row>
    <row r="7253" spans="13:15" x14ac:dyDescent="0.3">
      <c r="M7253" s="1"/>
      <c r="O7253" s="1"/>
    </row>
    <row r="7263" spans="13:15" x14ac:dyDescent="0.3">
      <c r="M7263" s="1"/>
    </row>
    <row r="7269" spans="13:16" x14ac:dyDescent="0.3">
      <c r="M7269" s="1"/>
    </row>
    <row r="7271" spans="13:16" x14ac:dyDescent="0.3">
      <c r="N7271" s="1"/>
      <c r="O7271" s="1"/>
    </row>
    <row r="7272" spans="13:16" x14ac:dyDescent="0.3">
      <c r="N7272" s="1"/>
      <c r="O7272" s="1"/>
      <c r="P7272" s="1"/>
    </row>
    <row r="7277" spans="13:16" x14ac:dyDescent="0.3">
      <c r="N7277" s="1"/>
    </row>
    <row r="7301" spans="13:16" x14ac:dyDescent="0.3">
      <c r="M7301" s="1"/>
      <c r="N7301" s="1"/>
      <c r="O7301" s="1"/>
      <c r="P7301" s="1"/>
    </row>
    <row r="7328" spans="13:13" x14ac:dyDescent="0.3">
      <c r="M7328" s="1"/>
    </row>
    <row r="7331" spans="15:15" x14ac:dyDescent="0.3">
      <c r="O7331" s="1"/>
    </row>
    <row r="7362" spans="13:15" x14ac:dyDescent="0.3">
      <c r="M7362" s="1"/>
      <c r="O7362" s="1"/>
    </row>
    <row r="7374" spans="13:15" x14ac:dyDescent="0.3">
      <c r="M7374" s="1"/>
      <c r="N7374" s="1"/>
    </row>
    <row r="7381" spans="13:16" x14ac:dyDescent="0.3">
      <c r="M7381" s="1"/>
      <c r="O7381" s="1"/>
      <c r="P7381" s="1"/>
    </row>
    <row r="7394" spans="14:15" x14ac:dyDescent="0.3">
      <c r="O7394" s="1"/>
    </row>
    <row r="7408" spans="14:15" x14ac:dyDescent="0.3">
      <c r="N7408" s="1"/>
    </row>
    <row r="7424" spans="14:14" x14ac:dyDescent="0.3">
      <c r="N7424" s="1"/>
    </row>
    <row r="7427" spans="13:15" x14ac:dyDescent="0.3">
      <c r="M7427" s="1"/>
      <c r="O7427" s="1"/>
    </row>
    <row r="7434" spans="13:15" x14ac:dyDescent="0.3">
      <c r="M7434" s="1"/>
      <c r="N7434" s="1"/>
      <c r="O7434" s="1"/>
    </row>
    <row r="7435" spans="13:15" x14ac:dyDescent="0.3">
      <c r="N7435" s="1"/>
    </row>
    <row r="7459" spans="14:15" x14ac:dyDescent="0.3">
      <c r="N7459" s="1"/>
    </row>
    <row r="7461" spans="14:15" x14ac:dyDescent="0.3">
      <c r="O7461" s="1"/>
    </row>
    <row r="7466" spans="14:15" x14ac:dyDescent="0.3">
      <c r="O7466" s="1"/>
    </row>
    <row r="7508" spans="13:15" x14ac:dyDescent="0.3">
      <c r="M7508" s="1"/>
    </row>
    <row r="7510" spans="13:15" x14ac:dyDescent="0.3">
      <c r="N7510" s="1"/>
    </row>
    <row r="7513" spans="13:15" x14ac:dyDescent="0.3">
      <c r="M7513" s="1"/>
    </row>
    <row r="7515" spans="13:15" x14ac:dyDescent="0.3">
      <c r="O7515" s="1"/>
    </row>
    <row r="7521" spans="13:15" x14ac:dyDescent="0.3">
      <c r="N7521" s="1"/>
    </row>
    <row r="7524" spans="13:15" x14ac:dyDescent="0.3">
      <c r="M7524" s="1"/>
    </row>
    <row r="7532" spans="13:15" x14ac:dyDescent="0.3">
      <c r="N7532" s="1"/>
      <c r="O7532" s="1"/>
    </row>
    <row r="7551" spans="15:15" x14ac:dyDescent="0.3">
      <c r="O7551" s="1"/>
    </row>
    <row r="7562" spans="13:13" x14ac:dyDescent="0.3">
      <c r="M7562" s="1"/>
    </row>
    <row r="7593" spans="13:15" x14ac:dyDescent="0.3">
      <c r="N7593" s="1"/>
    </row>
    <row r="7596" spans="13:15" x14ac:dyDescent="0.3">
      <c r="M7596" s="1"/>
      <c r="O7596" s="1"/>
    </row>
    <row r="7603" spans="13:16" x14ac:dyDescent="0.3">
      <c r="M7603" s="1"/>
      <c r="O7603" s="1"/>
      <c r="P7603" s="1"/>
    </row>
    <row r="7605" spans="13:16" x14ac:dyDescent="0.3">
      <c r="O7605" s="1"/>
    </row>
    <row r="7607" spans="13:16" x14ac:dyDescent="0.3">
      <c r="M7607" s="1"/>
      <c r="O7607" s="1"/>
      <c r="P7607" s="1"/>
    </row>
    <row r="7610" spans="13:16" x14ac:dyDescent="0.3">
      <c r="M7610" s="1"/>
    </row>
    <row r="7614" spans="13:16" x14ac:dyDescent="0.3">
      <c r="N7614" s="1"/>
    </row>
    <row r="7617" spans="14:16" x14ac:dyDescent="0.3">
      <c r="O7617" s="1"/>
      <c r="P7617" s="1"/>
    </row>
    <row r="7626" spans="14:16" x14ac:dyDescent="0.3">
      <c r="N7626" s="1"/>
    </row>
    <row r="7631" spans="14:16" x14ac:dyDescent="0.3">
      <c r="O7631" s="1"/>
      <c r="P7631" s="1"/>
    </row>
    <row r="7639" spans="13:13" x14ac:dyDescent="0.3">
      <c r="M7639" s="1"/>
    </row>
    <row r="7653" spans="15:15" x14ac:dyDescent="0.3">
      <c r="O7653" s="1"/>
    </row>
    <row r="7687" spans="13:16" x14ac:dyDescent="0.3">
      <c r="M7687" s="1"/>
    </row>
    <row r="7690" spans="13:16" x14ac:dyDescent="0.3">
      <c r="M7690" s="1"/>
      <c r="N7690" s="1"/>
      <c r="O7690" s="1"/>
      <c r="P7690" s="1"/>
    </row>
    <row r="7692" spans="13:16" x14ac:dyDescent="0.3">
      <c r="N7692" s="1"/>
    </row>
    <row r="7701" spans="13:16" x14ac:dyDescent="0.3">
      <c r="N7701" s="1"/>
      <c r="O7701" s="1"/>
      <c r="P7701" s="1"/>
    </row>
    <row r="7709" spans="13:16" x14ac:dyDescent="0.3">
      <c r="M7709" s="1"/>
      <c r="N7709" s="1"/>
    </row>
    <row r="7717" spans="14:15" x14ac:dyDescent="0.3">
      <c r="N7717" s="1"/>
    </row>
    <row r="7722" spans="14:15" x14ac:dyDescent="0.3">
      <c r="N7722" s="1"/>
      <c r="O7722" s="1"/>
    </row>
    <row r="7758" spans="14:14" x14ac:dyDescent="0.3">
      <c r="N7758" s="1"/>
    </row>
    <row r="7760" spans="14:14" x14ac:dyDescent="0.3">
      <c r="N7760" s="1"/>
    </row>
    <row r="7763" spans="13:15" x14ac:dyDescent="0.3">
      <c r="M7763" s="1"/>
    </row>
    <row r="7764" spans="13:15" x14ac:dyDescent="0.3">
      <c r="O7764" s="1"/>
    </row>
    <row r="7779" spans="14:16" x14ac:dyDescent="0.3">
      <c r="N7779" s="1"/>
      <c r="O7779" s="1"/>
      <c r="P7779" s="1"/>
    </row>
    <row r="7803" spans="14:16" x14ac:dyDescent="0.3">
      <c r="N7803" s="1"/>
      <c r="O7803" s="1"/>
      <c r="P7803" s="1"/>
    </row>
    <row r="7809" spans="13:16" x14ac:dyDescent="0.3">
      <c r="M7809" s="1"/>
      <c r="P7809" s="1"/>
    </row>
    <row r="7811" spans="13:16" x14ac:dyDescent="0.3">
      <c r="M7811" s="1"/>
      <c r="O7811" s="1"/>
      <c r="P7811" s="1"/>
    </row>
    <row r="7817" spans="13:16" x14ac:dyDescent="0.3">
      <c r="M7817" s="1"/>
    </row>
    <row r="7831" spans="13:15" x14ac:dyDescent="0.3">
      <c r="N7831" s="1"/>
      <c r="O7831" s="1"/>
    </row>
    <row r="7835" spans="13:15" x14ac:dyDescent="0.3">
      <c r="M7835" s="1"/>
    </row>
    <row r="7838" spans="13:15" x14ac:dyDescent="0.3">
      <c r="M7838" s="1"/>
    </row>
    <row r="7859" spans="13:16" x14ac:dyDescent="0.3">
      <c r="O7859" s="1"/>
    </row>
    <row r="7861" spans="13:16" x14ac:dyDescent="0.3">
      <c r="M7861" s="1"/>
    </row>
    <row r="7864" spans="13:16" x14ac:dyDescent="0.3">
      <c r="M7864" s="1"/>
      <c r="O7864" s="1"/>
      <c r="P7864" s="1"/>
    </row>
    <row r="7871" spans="13:16" x14ac:dyDescent="0.3">
      <c r="M7871" s="1"/>
      <c r="O7871" s="1"/>
    </row>
    <row r="7877" spans="13:15" x14ac:dyDescent="0.3">
      <c r="O7877" s="1"/>
    </row>
    <row r="7878" spans="13:15" x14ac:dyDescent="0.3">
      <c r="M7878" s="1"/>
      <c r="N7878" s="1"/>
      <c r="O7878" s="1"/>
    </row>
    <row r="7889" spans="13:16" x14ac:dyDescent="0.3">
      <c r="M7889" s="1"/>
    </row>
    <row r="7894" spans="13:16" x14ac:dyDescent="0.3">
      <c r="N7894" s="1"/>
    </row>
    <row r="7897" spans="13:16" x14ac:dyDescent="0.3">
      <c r="M7897" s="1"/>
    </row>
    <row r="7902" spans="13:16" x14ac:dyDescent="0.3">
      <c r="N7902" s="1"/>
      <c r="O7902" s="1"/>
      <c r="P7902" s="1"/>
    </row>
    <row r="7919" spans="13:13" x14ac:dyDescent="0.3">
      <c r="M7919" s="1"/>
    </row>
    <row r="7921" spans="13:16" x14ac:dyDescent="0.3">
      <c r="M7921" s="1"/>
      <c r="N7921" s="1"/>
      <c r="P7921" s="1"/>
    </row>
    <row r="7922" spans="13:16" x14ac:dyDescent="0.3">
      <c r="N7922" s="1"/>
      <c r="O7922" s="1"/>
    </row>
    <row r="7925" spans="13:16" x14ac:dyDescent="0.3">
      <c r="O7925" s="1"/>
    </row>
    <row r="7926" spans="13:16" x14ac:dyDescent="0.3">
      <c r="M7926" s="1"/>
      <c r="N7926" s="1"/>
      <c r="O7926" s="1"/>
      <c r="P7926" s="1"/>
    </row>
    <row r="7935" spans="13:16" x14ac:dyDescent="0.3">
      <c r="O7935" s="1"/>
    </row>
    <row r="7944" spans="13:16" x14ac:dyDescent="0.3">
      <c r="M7944" s="1"/>
      <c r="N7944" s="1"/>
      <c r="O7944" s="1"/>
      <c r="P7944" s="1"/>
    </row>
    <row r="7948" spans="13:16" x14ac:dyDescent="0.3">
      <c r="M7948" s="1"/>
      <c r="O7948" s="1"/>
    </row>
    <row r="7962" spans="14:15" x14ac:dyDescent="0.3">
      <c r="N7962" s="1"/>
    </row>
    <row r="7964" spans="14:15" x14ac:dyDescent="0.3">
      <c r="O7964" s="1"/>
    </row>
    <row r="7967" spans="14:15" x14ac:dyDescent="0.3">
      <c r="N7967" s="1"/>
    </row>
    <row r="7969" spans="13:16" x14ac:dyDescent="0.3">
      <c r="N7969" s="1"/>
      <c r="P7969" s="1"/>
    </row>
    <row r="7971" spans="13:16" x14ac:dyDescent="0.3">
      <c r="N7971" s="1"/>
      <c r="O7971" s="1"/>
      <c r="P7971" s="1"/>
    </row>
    <row r="7975" spans="13:16" x14ac:dyDescent="0.3">
      <c r="M7975" s="1"/>
      <c r="O7975" s="1"/>
    </row>
    <row r="7976" spans="13:16" x14ac:dyDescent="0.3">
      <c r="N7976" s="1"/>
    </row>
    <row r="7986" spans="14:16" x14ac:dyDescent="0.3">
      <c r="N7986" s="1"/>
      <c r="O7986" s="1"/>
      <c r="P7986" s="1"/>
    </row>
    <row r="8010" spans="13:13" x14ac:dyDescent="0.3">
      <c r="M8010" s="1"/>
    </row>
    <row r="8023" spans="14:16" x14ac:dyDescent="0.3">
      <c r="O8023" s="1"/>
    </row>
    <row r="8025" spans="14:16" x14ac:dyDescent="0.3">
      <c r="N8025" s="1"/>
      <c r="O8025" s="1"/>
      <c r="P8025" s="1"/>
    </row>
    <row r="8027" spans="14:16" x14ac:dyDescent="0.3">
      <c r="N8027" s="1"/>
    </row>
    <row r="8046" spans="15:15" x14ac:dyDescent="0.3">
      <c r="O8046" s="1"/>
    </row>
    <row r="8050" spans="14:14" x14ac:dyDescent="0.3">
      <c r="N8050" s="1"/>
    </row>
    <row r="8064" spans="14:14" x14ac:dyDescent="0.3">
      <c r="N8064" s="1"/>
    </row>
    <row r="8077" spans="13:15" x14ac:dyDescent="0.3">
      <c r="M8077" s="1"/>
      <c r="N8077" s="1"/>
    </row>
    <row r="8079" spans="13:15" x14ac:dyDescent="0.3">
      <c r="M8079" s="1"/>
      <c r="N8079" s="1"/>
      <c r="O8079" s="1"/>
    </row>
    <row r="8095" spans="15:15" x14ac:dyDescent="0.3">
      <c r="O8095" s="1"/>
    </row>
    <row r="8097" spans="14:15" x14ac:dyDescent="0.3">
      <c r="O8097" s="1"/>
    </row>
    <row r="8100" spans="14:15" x14ac:dyDescent="0.3">
      <c r="N8100" s="1"/>
      <c r="O8100" s="1"/>
    </row>
    <row r="8136" spans="13:13" x14ac:dyDescent="0.3">
      <c r="M8136" s="1"/>
    </row>
    <row r="8146" spans="14:16" x14ac:dyDescent="0.3">
      <c r="N8146" s="1"/>
      <c r="O8146" s="1"/>
      <c r="P8146" s="1"/>
    </row>
    <row r="8159" spans="14:16" x14ac:dyDescent="0.3">
      <c r="N8159" s="1"/>
      <c r="O8159" s="1"/>
    </row>
    <row r="8171" spans="15:15" x14ac:dyDescent="0.3">
      <c r="O8171" s="1"/>
    </row>
    <row r="8185" spans="13:15" x14ac:dyDescent="0.3">
      <c r="M8185" s="1"/>
      <c r="N8185" s="1"/>
    </row>
    <row r="8192" spans="13:15" x14ac:dyDescent="0.3">
      <c r="O8192" s="1"/>
    </row>
    <row r="8194" spans="13:16" x14ac:dyDescent="0.3">
      <c r="M8194" s="1"/>
      <c r="N8194" s="1"/>
      <c r="O8194" s="1"/>
    </row>
    <row r="8204" spans="13:16" x14ac:dyDescent="0.3">
      <c r="N8204" s="1"/>
      <c r="O8204" s="1"/>
      <c r="P8204" s="1"/>
    </row>
    <row r="8207" spans="13:16" x14ac:dyDescent="0.3">
      <c r="O8207" s="1"/>
    </row>
    <row r="8212" spans="13:16" x14ac:dyDescent="0.3">
      <c r="O8212" s="1"/>
    </row>
    <row r="8214" spans="13:16" x14ac:dyDescent="0.3">
      <c r="O8214" s="1"/>
      <c r="P8214" s="1"/>
    </row>
    <row r="8217" spans="13:16" x14ac:dyDescent="0.3">
      <c r="M8217" s="1"/>
      <c r="N8217" s="1"/>
      <c r="P8217" s="1"/>
    </row>
    <row r="8219" spans="13:16" x14ac:dyDescent="0.3">
      <c r="M8219" s="1"/>
      <c r="N8219" s="1"/>
      <c r="O8219" s="1"/>
    </row>
    <row r="8220" spans="13:16" x14ac:dyDescent="0.3">
      <c r="M8220" s="1"/>
      <c r="O8220" s="1"/>
    </row>
    <row r="8223" spans="13:16" x14ac:dyDescent="0.3">
      <c r="O8223" s="1"/>
    </row>
    <row r="8232" spans="14:14" x14ac:dyDescent="0.3">
      <c r="N8232" s="1"/>
    </row>
    <row r="8236" spans="14:14" x14ac:dyDescent="0.3">
      <c r="N8236" s="1"/>
    </row>
    <row r="8247" spans="13:16" x14ac:dyDescent="0.3">
      <c r="M8247" s="1"/>
      <c r="N8247" s="1"/>
      <c r="O8247" s="1"/>
      <c r="P8247" s="1"/>
    </row>
    <row r="8251" spans="13:16" x14ac:dyDescent="0.3">
      <c r="N8251" s="1"/>
    </row>
    <row r="8269" spans="13:16" x14ac:dyDescent="0.3">
      <c r="M8269" s="1"/>
      <c r="P8269" s="1"/>
    </row>
    <row r="8279" spans="13:16" x14ac:dyDescent="0.3">
      <c r="P8279" s="1"/>
    </row>
    <row r="8283" spans="13:16" x14ac:dyDescent="0.3">
      <c r="M8283" s="1"/>
      <c r="N8283" s="1"/>
      <c r="P8283" s="1"/>
    </row>
    <row r="8296" spans="13:16" x14ac:dyDescent="0.3">
      <c r="N8296" s="1"/>
    </row>
    <row r="8301" spans="13:16" x14ac:dyDescent="0.3">
      <c r="M8301" s="1"/>
      <c r="N8301" s="1"/>
      <c r="O8301" s="1"/>
      <c r="P8301" s="1"/>
    </row>
    <row r="8303" spans="13:16" x14ac:dyDescent="0.3">
      <c r="O8303" s="1"/>
    </row>
    <row r="8305" spans="13:16" x14ac:dyDescent="0.3">
      <c r="M8305" s="1"/>
      <c r="N8305" s="1"/>
    </row>
    <row r="8310" spans="13:16" x14ac:dyDescent="0.3">
      <c r="N8310" s="1"/>
    </row>
    <row r="8318" spans="13:16" x14ac:dyDescent="0.3">
      <c r="M8318" s="1"/>
      <c r="O8318" s="1"/>
      <c r="P8318" s="1"/>
    </row>
    <row r="8330" spans="14:15" x14ac:dyDescent="0.3">
      <c r="O8330" s="1"/>
    </row>
    <row r="8332" spans="14:15" x14ac:dyDescent="0.3">
      <c r="N8332" s="1"/>
    </row>
    <row r="8353" spans="13:16" x14ac:dyDescent="0.3">
      <c r="M8353" s="1"/>
      <c r="O8353" s="1"/>
    </row>
    <row r="8358" spans="13:16" x14ac:dyDescent="0.3">
      <c r="M8358" s="1"/>
      <c r="N8358" s="1"/>
      <c r="O8358" s="1"/>
      <c r="P8358" s="1"/>
    </row>
    <row r="8360" spans="13:16" x14ac:dyDescent="0.3">
      <c r="M8360" s="1"/>
      <c r="O8360" s="1"/>
      <c r="P8360" s="1"/>
    </row>
    <row r="8366" spans="13:16" x14ac:dyDescent="0.3">
      <c r="M8366" s="1"/>
      <c r="O8366" s="1"/>
      <c r="P8366" s="1"/>
    </row>
    <row r="8370" spans="13:16" x14ac:dyDescent="0.3">
      <c r="O8370" s="1"/>
    </row>
    <row r="8372" spans="13:16" x14ac:dyDescent="0.3">
      <c r="M8372" s="1"/>
      <c r="N8372" s="1"/>
      <c r="O8372" s="1"/>
    </row>
    <row r="8376" spans="13:16" x14ac:dyDescent="0.3">
      <c r="N8376" s="1"/>
    </row>
    <row r="8380" spans="13:16" x14ac:dyDescent="0.3">
      <c r="M8380" s="1"/>
      <c r="O8380" s="1"/>
      <c r="P8380" s="1"/>
    </row>
    <row r="8389" spans="13:14" x14ac:dyDescent="0.3">
      <c r="M8389" s="1"/>
    </row>
    <row r="8396" spans="13:14" x14ac:dyDescent="0.3">
      <c r="N8396" s="1"/>
    </row>
    <row r="8403" spans="14:14" x14ac:dyDescent="0.3">
      <c r="N8403" s="1"/>
    </row>
    <row r="8408" spans="14:14" x14ac:dyDescent="0.3">
      <c r="N8408" s="1"/>
    </row>
    <row r="8418" spans="14:15" x14ac:dyDescent="0.3">
      <c r="O8418" s="1"/>
    </row>
    <row r="8427" spans="14:15" x14ac:dyDescent="0.3">
      <c r="N8427" s="1"/>
      <c r="O8427" s="1"/>
    </row>
    <row r="8442" spans="15:16" x14ac:dyDescent="0.3">
      <c r="O8442" s="1"/>
      <c r="P8442" s="1"/>
    </row>
    <row r="8456" spans="13:15" x14ac:dyDescent="0.3">
      <c r="M8456" s="1"/>
      <c r="O8456" s="1"/>
    </row>
    <row r="8467" spans="14:16" x14ac:dyDescent="0.3">
      <c r="N8467" s="1"/>
      <c r="O8467" s="1"/>
    </row>
    <row r="8468" spans="14:16" x14ac:dyDescent="0.3">
      <c r="N8468" s="1"/>
    </row>
    <row r="8478" spans="14:16" x14ac:dyDescent="0.3">
      <c r="N8478" s="1"/>
      <c r="P8478" s="1"/>
    </row>
    <row r="8484" spans="13:16" x14ac:dyDescent="0.3">
      <c r="M8484" s="1"/>
      <c r="P8484" s="1"/>
    </row>
    <row r="8487" spans="13:16" x14ac:dyDescent="0.3">
      <c r="M8487" s="1"/>
      <c r="N8487" s="1"/>
      <c r="O8487" s="1"/>
      <c r="P8487" s="1"/>
    </row>
    <row r="8492" spans="13:16" x14ac:dyDescent="0.3">
      <c r="O8492" s="1"/>
    </row>
    <row r="8504" spans="14:16" x14ac:dyDescent="0.3">
      <c r="N8504" s="1"/>
      <c r="P8504" s="1"/>
    </row>
    <row r="8506" spans="14:16" x14ac:dyDescent="0.3">
      <c r="O8506" s="1"/>
      <c r="P8506" s="1"/>
    </row>
    <row r="8510" spans="14:16" x14ac:dyDescent="0.3">
      <c r="N8510" s="1"/>
      <c r="O8510" s="1"/>
      <c r="P8510" s="1"/>
    </row>
    <row r="8515" spans="13:15" x14ac:dyDescent="0.3">
      <c r="N8515" s="1"/>
      <c r="O8515" s="1"/>
    </row>
    <row r="8518" spans="13:15" x14ac:dyDescent="0.3">
      <c r="N8518" s="1"/>
    </row>
    <row r="8519" spans="13:15" x14ac:dyDescent="0.3">
      <c r="N8519" s="1"/>
    </row>
    <row r="8528" spans="13:15" x14ac:dyDescent="0.3">
      <c r="M8528" s="1"/>
    </row>
    <row r="8533" spans="13:16" x14ac:dyDescent="0.3">
      <c r="M8533" s="1"/>
    </row>
    <row r="8535" spans="13:16" x14ac:dyDescent="0.3">
      <c r="M8535" s="1"/>
      <c r="N8535" s="1"/>
      <c r="P8535" s="1"/>
    </row>
    <row r="8566" spans="14:14" x14ac:dyDescent="0.3">
      <c r="N8566" s="1"/>
    </row>
    <row r="8600" spans="14:14" x14ac:dyDescent="0.3">
      <c r="N8600" s="1"/>
    </row>
    <row r="8609" spans="13:15" x14ac:dyDescent="0.3">
      <c r="N8609" s="1"/>
    </row>
    <row r="8615" spans="13:15" x14ac:dyDescent="0.3">
      <c r="M8615" s="1"/>
    </row>
    <row r="8620" spans="13:15" x14ac:dyDescent="0.3">
      <c r="M8620" s="1"/>
      <c r="N8620" s="1"/>
      <c r="O8620" s="1"/>
    </row>
    <row r="8626" spans="13:15" x14ac:dyDescent="0.3">
      <c r="O8626" s="1"/>
    </row>
    <row r="8628" spans="13:15" x14ac:dyDescent="0.3">
      <c r="M8628" s="1"/>
      <c r="N8628" s="1"/>
      <c r="O8628" s="1"/>
    </row>
    <row r="8641" spans="13:16" x14ac:dyDescent="0.3">
      <c r="M8641" s="1"/>
      <c r="O8641" s="1"/>
    </row>
    <row r="8646" spans="13:16" x14ac:dyDescent="0.3">
      <c r="M8646" s="1"/>
      <c r="O8646" s="1"/>
      <c r="P8646" s="1"/>
    </row>
    <row r="8650" spans="13:16" x14ac:dyDescent="0.3">
      <c r="M8650" s="1"/>
    </row>
    <row r="8652" spans="13:16" x14ac:dyDescent="0.3">
      <c r="N8652" s="1"/>
    </row>
    <row r="8654" spans="13:16" x14ac:dyDescent="0.3">
      <c r="M8654" s="1"/>
    </row>
    <row r="8664" spans="13:14" x14ac:dyDescent="0.3">
      <c r="M8664" s="1"/>
      <c r="N8664" s="1"/>
    </row>
    <row r="8680" spans="14:14" x14ac:dyDescent="0.3">
      <c r="N8680" s="1"/>
    </row>
    <row r="8688" spans="14:14" x14ac:dyDescent="0.3">
      <c r="N8688" s="1"/>
    </row>
    <row r="8693" spans="15:16" x14ac:dyDescent="0.3">
      <c r="O8693" s="1"/>
    </row>
    <row r="8700" spans="15:16" x14ac:dyDescent="0.3">
      <c r="P8700" s="1"/>
    </row>
    <row r="8707" spans="14:16" x14ac:dyDescent="0.3">
      <c r="P8707" s="1"/>
    </row>
    <row r="8708" spans="14:16" x14ac:dyDescent="0.3">
      <c r="N8708" s="1"/>
    </row>
    <row r="8724" spans="13:16" x14ac:dyDescent="0.3">
      <c r="N8724" s="1"/>
      <c r="O8724" s="1"/>
      <c r="P8724" s="1"/>
    </row>
    <row r="8729" spans="13:16" x14ac:dyDescent="0.3">
      <c r="M8729" s="1"/>
      <c r="N8729" s="1"/>
      <c r="P8729" s="1"/>
    </row>
    <row r="8731" spans="13:16" x14ac:dyDescent="0.3">
      <c r="N8731" s="1"/>
      <c r="O8731" s="1"/>
    </row>
    <row r="8738" spans="15:15" x14ac:dyDescent="0.3">
      <c r="O8738" s="1"/>
    </row>
    <row r="8742" spans="15:15" x14ac:dyDescent="0.3">
      <c r="O8742" s="1"/>
    </row>
    <row r="8757" spans="13:15" x14ac:dyDescent="0.3">
      <c r="O8757" s="1"/>
    </row>
    <row r="8763" spans="13:15" x14ac:dyDescent="0.3">
      <c r="N8763" s="1"/>
    </row>
    <row r="8765" spans="13:15" x14ac:dyDescent="0.3">
      <c r="M8765" s="1"/>
    </row>
    <row r="8774" spans="13:15" x14ac:dyDescent="0.3">
      <c r="M8774" s="1"/>
      <c r="N8774" s="1"/>
      <c r="O8774" s="1"/>
    </row>
    <row r="8778" spans="13:15" x14ac:dyDescent="0.3">
      <c r="M8778" s="1"/>
    </row>
    <row r="8806" spans="13:16" x14ac:dyDescent="0.3">
      <c r="M8806" s="1"/>
      <c r="N8806" s="1"/>
      <c r="P8806" s="1"/>
    </row>
    <row r="8814" spans="13:16" x14ac:dyDescent="0.3">
      <c r="M8814" s="1"/>
      <c r="O8814" s="1"/>
    </row>
    <row r="8821" spans="13:15" x14ac:dyDescent="0.3">
      <c r="O8821" s="1"/>
    </row>
    <row r="8823" spans="13:15" x14ac:dyDescent="0.3">
      <c r="M8823" s="1"/>
      <c r="N8823" s="1"/>
      <c r="O8823" s="1"/>
    </row>
    <row r="8829" spans="13:15" x14ac:dyDescent="0.3">
      <c r="M8829" s="1"/>
      <c r="N8829" s="1"/>
    </row>
    <row r="8838" spans="13:15" x14ac:dyDescent="0.3">
      <c r="O8838" s="1"/>
    </row>
    <row r="8845" spans="13:15" x14ac:dyDescent="0.3">
      <c r="M8845" s="1"/>
    </row>
    <row r="8853" spans="13:16" x14ac:dyDescent="0.3">
      <c r="M8853" s="1"/>
    </row>
    <row r="8861" spans="13:16" x14ac:dyDescent="0.3">
      <c r="P8861" s="1"/>
    </row>
    <row r="8866" spans="13:13" x14ac:dyDescent="0.3">
      <c r="M8866" s="1"/>
    </row>
    <row r="8881" spans="13:16" x14ac:dyDescent="0.3">
      <c r="M8881" s="1"/>
    </row>
    <row r="8882" spans="13:16" x14ac:dyDescent="0.3">
      <c r="M8882" s="1"/>
      <c r="O8882" s="1"/>
      <c r="P8882" s="1"/>
    </row>
    <row r="8884" spans="13:16" x14ac:dyDescent="0.3">
      <c r="O8884" s="1"/>
    </row>
    <row r="8885" spans="13:16" x14ac:dyDescent="0.3">
      <c r="M8885" s="1"/>
      <c r="N8885" s="1"/>
      <c r="O8885" s="1"/>
    </row>
    <row r="8900" spans="14:15" x14ac:dyDescent="0.3">
      <c r="N8900" s="1"/>
    </row>
    <row r="8904" spans="14:15" x14ac:dyDescent="0.3">
      <c r="O8904" s="1"/>
    </row>
    <row r="8922" spans="14:14" x14ac:dyDescent="0.3">
      <c r="N8922" s="1"/>
    </row>
    <row r="8930" spans="13:16" x14ac:dyDescent="0.3">
      <c r="M8930" s="1"/>
      <c r="N8930" s="1"/>
      <c r="P8930" s="1"/>
    </row>
    <row r="8933" spans="13:16" x14ac:dyDescent="0.3">
      <c r="N8933" s="1"/>
    </row>
    <row r="8936" spans="13:16" x14ac:dyDescent="0.3">
      <c r="N8936" s="1"/>
    </row>
    <row r="8940" spans="13:16" x14ac:dyDescent="0.3">
      <c r="N8940" s="1"/>
      <c r="O8940" s="1"/>
      <c r="P8940" s="1"/>
    </row>
    <row r="8946" spans="14:14" x14ac:dyDescent="0.3">
      <c r="N8946" s="1"/>
    </row>
    <row r="8948" spans="14:14" x14ac:dyDescent="0.3">
      <c r="N8948" s="1"/>
    </row>
    <row r="8961" spans="14:15" x14ac:dyDescent="0.3">
      <c r="N8961" s="1"/>
      <c r="O8961" s="1"/>
    </row>
    <row r="8980" spans="13:15" x14ac:dyDescent="0.3">
      <c r="M8980" s="1"/>
      <c r="O8980" s="1"/>
    </row>
    <row r="8986" spans="13:15" x14ac:dyDescent="0.3">
      <c r="O8986" s="1"/>
    </row>
    <row r="9001" spans="13:16" x14ac:dyDescent="0.3">
      <c r="M9001" s="1"/>
    </row>
    <row r="9005" spans="13:16" x14ac:dyDescent="0.3">
      <c r="M9005" s="1"/>
      <c r="N9005" s="1"/>
      <c r="P9005" s="1"/>
    </row>
    <row r="9029" spans="13:16" x14ac:dyDescent="0.3">
      <c r="N9029" s="1"/>
    </row>
    <row r="9034" spans="13:16" x14ac:dyDescent="0.3">
      <c r="M9034" s="1"/>
    </row>
    <row r="9037" spans="13:16" x14ac:dyDescent="0.3">
      <c r="M9037" s="1"/>
      <c r="N9037" s="1"/>
      <c r="O9037" s="1"/>
      <c r="P9037" s="1"/>
    </row>
    <row r="9045" spans="15:15" x14ac:dyDescent="0.3">
      <c r="O9045" s="1"/>
    </row>
    <row r="9058" spans="13:16" x14ac:dyDescent="0.3">
      <c r="M9058" s="1"/>
      <c r="O9058" s="1"/>
      <c r="P9058" s="1"/>
    </row>
    <row r="9059" spans="13:16" x14ac:dyDescent="0.3">
      <c r="M9059" s="1"/>
      <c r="O9059" s="1"/>
      <c r="P9059" s="1"/>
    </row>
    <row r="9061" spans="13:16" x14ac:dyDescent="0.3">
      <c r="N9061" s="1"/>
      <c r="P9061" s="1"/>
    </row>
    <row r="9065" spans="13:16" x14ac:dyDescent="0.3">
      <c r="M9065" s="1"/>
      <c r="N9065" s="1"/>
      <c r="O9065" s="1"/>
    </row>
    <row r="9067" spans="13:16" x14ac:dyDescent="0.3">
      <c r="M9067" s="1"/>
      <c r="O9067" s="1"/>
    </row>
    <row r="9068" spans="13:16" x14ac:dyDescent="0.3">
      <c r="M9068" s="1"/>
      <c r="N9068" s="1"/>
    </row>
    <row r="9071" spans="13:16" x14ac:dyDescent="0.3">
      <c r="M9071" s="1"/>
      <c r="O9071" s="1"/>
    </row>
    <row r="9077" spans="13:16" x14ac:dyDescent="0.3">
      <c r="N9077" s="1"/>
    </row>
    <row r="9082" spans="13:16" x14ac:dyDescent="0.3">
      <c r="M9082" s="1"/>
    </row>
    <row r="9084" spans="13:16" x14ac:dyDescent="0.3">
      <c r="O9084" s="1"/>
    </row>
    <row r="9086" spans="13:16" x14ac:dyDescent="0.3">
      <c r="O9086" s="1"/>
      <c r="P9086" s="1"/>
    </row>
    <row r="9094" spans="13:16" x14ac:dyDescent="0.3">
      <c r="N9094" s="1"/>
      <c r="P9094" s="1"/>
    </row>
    <row r="9097" spans="13:16" x14ac:dyDescent="0.3">
      <c r="M9097" s="1"/>
      <c r="N9097" s="1"/>
    </row>
    <row r="9107" spans="15:15" x14ac:dyDescent="0.3">
      <c r="O9107" s="1"/>
    </row>
    <row r="9119" spans="15:15" x14ac:dyDescent="0.3">
      <c r="O9119" s="1"/>
    </row>
    <row r="9124" spans="13:16" x14ac:dyDescent="0.3">
      <c r="M9124" s="1"/>
      <c r="N9124" s="1"/>
      <c r="P9124" s="1"/>
    </row>
    <row r="9129" spans="13:16" x14ac:dyDescent="0.3">
      <c r="N9129" s="1"/>
    </row>
    <row r="9131" spans="13:16" x14ac:dyDescent="0.3">
      <c r="M9131" s="1"/>
      <c r="P9131" s="1"/>
    </row>
    <row r="9133" spans="13:16" x14ac:dyDescent="0.3">
      <c r="M9133" s="1"/>
    </row>
    <row r="9134" spans="13:16" x14ac:dyDescent="0.3">
      <c r="M9134" s="1"/>
      <c r="O9134" s="1"/>
    </row>
    <row r="9148" spans="13:16" x14ac:dyDescent="0.3">
      <c r="M9148" s="1"/>
      <c r="N9148" s="1"/>
      <c r="P9148" s="1"/>
    </row>
    <row r="9150" spans="13:16" x14ac:dyDescent="0.3">
      <c r="O9150" s="1"/>
    </row>
    <row r="9170" spans="13:14" x14ac:dyDescent="0.3">
      <c r="N9170" s="1"/>
    </row>
    <row r="9174" spans="13:14" x14ac:dyDescent="0.3">
      <c r="M9174" s="1"/>
    </row>
    <row r="9178" spans="13:14" x14ac:dyDescent="0.3">
      <c r="M9178" s="1"/>
    </row>
    <row r="9188" spans="13:16" x14ac:dyDescent="0.3">
      <c r="O9188" s="1"/>
    </row>
    <row r="9195" spans="13:16" x14ac:dyDescent="0.3">
      <c r="M9195" s="1"/>
      <c r="N9195" s="1"/>
      <c r="O9195" s="1"/>
      <c r="P9195" s="1"/>
    </row>
    <row r="9197" spans="13:16" x14ac:dyDescent="0.3">
      <c r="M9197" s="1"/>
    </row>
    <row r="9202" spans="13:16" x14ac:dyDescent="0.3">
      <c r="M9202" s="1"/>
      <c r="P9202" s="1"/>
    </row>
    <row r="9212" spans="13:16" x14ac:dyDescent="0.3">
      <c r="M9212" s="1"/>
      <c r="O9212" s="1"/>
    </row>
    <row r="9220" spans="14:14" x14ac:dyDescent="0.3">
      <c r="N9220" s="1"/>
    </row>
    <row r="9234" spans="14:15" x14ac:dyDescent="0.3">
      <c r="N9234" s="1"/>
    </row>
    <row r="9248" spans="14:15" x14ac:dyDescent="0.3">
      <c r="O9248" s="1"/>
    </row>
    <row r="9257" spans="13:15" x14ac:dyDescent="0.3">
      <c r="M9257" s="1"/>
    </row>
    <row r="9263" spans="13:15" x14ac:dyDescent="0.3">
      <c r="O9263" s="1"/>
    </row>
    <row r="9273" spans="13:16" x14ac:dyDescent="0.3">
      <c r="N9273" s="1"/>
      <c r="O9273" s="1"/>
      <c r="P9273" s="1"/>
    </row>
    <row r="9280" spans="13:16" x14ac:dyDescent="0.3">
      <c r="M9280" s="1"/>
      <c r="N9280" s="1"/>
      <c r="O9280" s="1"/>
    </row>
    <row r="9284" spans="13:16" x14ac:dyDescent="0.3">
      <c r="M9284" s="1"/>
      <c r="N9284" s="1"/>
      <c r="O9284" s="1"/>
      <c r="P9284" s="1"/>
    </row>
    <row r="9308" spans="14:16" x14ac:dyDescent="0.3">
      <c r="N9308" s="1"/>
      <c r="P9308" s="1"/>
    </row>
    <row r="9337" spans="13:13" x14ac:dyDescent="0.3">
      <c r="M9337" s="1"/>
    </row>
    <row r="9347" spans="13:15" x14ac:dyDescent="0.3">
      <c r="M9347" s="1"/>
      <c r="N9347" s="1"/>
    </row>
    <row r="9353" spans="13:15" x14ac:dyDescent="0.3">
      <c r="M9353" s="1"/>
      <c r="N9353" s="1"/>
      <c r="O9353" s="1"/>
    </row>
    <row r="9358" spans="13:15" x14ac:dyDescent="0.3">
      <c r="M9358" s="1"/>
    </row>
    <row r="9368" spans="13:15" x14ac:dyDescent="0.3">
      <c r="M9368" s="1"/>
    </row>
    <row r="9374" spans="13:15" x14ac:dyDescent="0.3">
      <c r="O9374" s="1"/>
    </row>
    <row r="9378" spans="13:15" x14ac:dyDescent="0.3">
      <c r="O9378" s="1"/>
    </row>
    <row r="9388" spans="13:15" x14ac:dyDescent="0.3">
      <c r="M9388" s="1"/>
      <c r="N9388" s="1"/>
    </row>
    <row r="9394" spans="13:16" x14ac:dyDescent="0.3">
      <c r="N9394" s="1"/>
    </row>
    <row r="9396" spans="13:16" x14ac:dyDescent="0.3">
      <c r="M9396" s="1"/>
    </row>
    <row r="9401" spans="13:16" x14ac:dyDescent="0.3">
      <c r="M9401" s="1"/>
      <c r="P9401" s="1"/>
    </row>
    <row r="9406" spans="13:16" x14ac:dyDescent="0.3">
      <c r="O9406" s="1"/>
    </row>
    <row r="9410" spans="13:15" x14ac:dyDescent="0.3">
      <c r="O9410" s="1"/>
    </row>
    <row r="9412" spans="13:15" x14ac:dyDescent="0.3">
      <c r="N9412" s="1"/>
    </row>
    <row r="9414" spans="13:15" x14ac:dyDescent="0.3">
      <c r="M9414" s="1"/>
    </row>
    <row r="9417" spans="13:15" x14ac:dyDescent="0.3">
      <c r="O9417" s="1"/>
    </row>
    <row r="9431" spans="13:16" x14ac:dyDescent="0.3">
      <c r="M9431" s="1"/>
      <c r="N9431" s="1"/>
      <c r="O9431" s="1"/>
      <c r="P9431" s="1"/>
    </row>
    <row r="9434" spans="13:16" x14ac:dyDescent="0.3">
      <c r="P9434" s="1"/>
    </row>
    <row r="9436" spans="13:16" x14ac:dyDescent="0.3">
      <c r="N9436" s="1"/>
    </row>
    <row r="9447" spans="15:15" x14ac:dyDescent="0.3">
      <c r="O9447" s="1"/>
    </row>
    <row r="9459" spans="13:16" x14ac:dyDescent="0.3">
      <c r="M9459" s="1"/>
      <c r="N9459" s="1"/>
      <c r="O9459" s="1"/>
      <c r="P9459" s="1"/>
    </row>
    <row r="9462" spans="13:16" x14ac:dyDescent="0.3">
      <c r="O9462" s="1"/>
    </row>
    <row r="9463" spans="13:16" x14ac:dyDescent="0.3">
      <c r="O9463" s="1"/>
    </row>
    <row r="9464" spans="13:16" x14ac:dyDescent="0.3">
      <c r="N9464" s="1"/>
    </row>
    <row r="9471" spans="13:16" x14ac:dyDescent="0.3">
      <c r="O9471" s="1"/>
    </row>
    <row r="9488" spans="13:15" x14ac:dyDescent="0.3">
      <c r="M9488" s="1"/>
      <c r="O9488" s="1"/>
    </row>
    <row r="9494" spans="13:16" x14ac:dyDescent="0.3">
      <c r="N9494" s="1"/>
    </row>
    <row r="9497" spans="13:16" x14ac:dyDescent="0.3">
      <c r="M9497" s="1"/>
      <c r="N9497" s="1"/>
      <c r="O9497" s="1"/>
    </row>
    <row r="9499" spans="13:16" x14ac:dyDescent="0.3">
      <c r="M9499" s="1"/>
    </row>
    <row r="9500" spans="13:16" x14ac:dyDescent="0.3">
      <c r="N9500" s="1"/>
      <c r="O9500" s="1"/>
      <c r="P9500" s="1"/>
    </row>
    <row r="9513" spans="14:14" x14ac:dyDescent="0.3">
      <c r="N9513" s="1"/>
    </row>
    <row r="9531" spans="13:15" x14ac:dyDescent="0.3">
      <c r="M9531" s="1"/>
      <c r="O9531" s="1"/>
    </row>
    <row r="9547" spans="14:15" x14ac:dyDescent="0.3">
      <c r="O9547" s="1"/>
    </row>
    <row r="9549" spans="14:15" x14ac:dyDescent="0.3">
      <c r="N9549" s="1"/>
      <c r="O9549" s="1"/>
    </row>
    <row r="9564" spans="14:16" x14ac:dyDescent="0.3">
      <c r="N9564" s="1"/>
      <c r="P9564" s="1"/>
    </row>
    <row r="9574" spans="13:15" x14ac:dyDescent="0.3">
      <c r="N9574" s="1"/>
    </row>
    <row r="9575" spans="13:15" x14ac:dyDescent="0.3">
      <c r="M9575" s="1"/>
    </row>
    <row r="9584" spans="13:15" x14ac:dyDescent="0.3">
      <c r="O9584" s="1"/>
    </row>
    <row r="9606" spans="13:16" x14ac:dyDescent="0.3">
      <c r="N9606" s="1"/>
    </row>
    <row r="9608" spans="13:16" x14ac:dyDescent="0.3">
      <c r="N9608" s="1"/>
    </row>
    <row r="9611" spans="13:16" x14ac:dyDescent="0.3">
      <c r="N9611" s="1"/>
      <c r="O9611" s="1"/>
      <c r="P9611" s="1"/>
    </row>
    <row r="9615" spans="13:16" x14ac:dyDescent="0.3">
      <c r="M9615" s="1"/>
    </row>
    <row r="9620" spans="15:16" x14ac:dyDescent="0.3">
      <c r="O9620" s="1"/>
      <c r="P9620" s="1"/>
    </row>
    <row r="9621" spans="15:16" x14ac:dyDescent="0.3">
      <c r="O9621" s="1"/>
    </row>
    <row r="9646" spans="15:15" x14ac:dyDescent="0.3">
      <c r="O9646" s="1"/>
    </row>
    <row r="9667" spans="13:13" x14ac:dyDescent="0.3">
      <c r="M9667" s="1"/>
    </row>
    <row r="9683" spans="13:15" x14ac:dyDescent="0.3">
      <c r="N9683" s="1"/>
      <c r="O9683" s="1"/>
    </row>
    <row r="9689" spans="13:15" x14ac:dyDescent="0.3">
      <c r="M9689" s="1"/>
    </row>
    <row r="9694" spans="13:15" x14ac:dyDescent="0.3">
      <c r="O9694" s="1"/>
    </row>
    <row r="9721" spans="16:16" x14ac:dyDescent="0.3">
      <c r="P9721" s="1"/>
    </row>
    <row r="9736" spans="13:14" x14ac:dyDescent="0.3">
      <c r="M9736" s="1"/>
    </row>
    <row r="9743" spans="13:14" x14ac:dyDescent="0.3">
      <c r="N9743" s="1"/>
    </row>
    <row r="9746" spans="14:16" x14ac:dyDescent="0.3">
      <c r="O9746" s="1"/>
    </row>
    <row r="9747" spans="14:16" x14ac:dyDescent="0.3">
      <c r="P9747" s="1"/>
    </row>
    <row r="9755" spans="14:16" x14ac:dyDescent="0.3">
      <c r="N9755" s="1"/>
    </row>
    <row r="9761" spans="14:16" x14ac:dyDescent="0.3">
      <c r="O9761" s="1"/>
    </row>
    <row r="9766" spans="14:16" x14ac:dyDescent="0.3">
      <c r="O9766" s="1"/>
      <c r="P9766" s="1"/>
    </row>
    <row r="9773" spans="14:16" x14ac:dyDescent="0.3">
      <c r="N9773" s="1"/>
    </row>
    <row r="9780" spans="14:16" x14ac:dyDescent="0.3">
      <c r="N9780" s="1"/>
      <c r="O9780" s="1"/>
      <c r="P9780" s="1"/>
    </row>
    <row r="9785" spans="14:16" x14ac:dyDescent="0.3">
      <c r="O9785" s="1"/>
    </row>
    <row r="9799" spans="14:15" x14ac:dyDescent="0.3">
      <c r="N9799" s="1"/>
      <c r="O9799" s="1"/>
    </row>
    <row r="9817" spans="13:16" x14ac:dyDescent="0.3">
      <c r="O9817" s="1"/>
    </row>
    <row r="9818" spans="13:16" x14ac:dyDescent="0.3">
      <c r="M9818" s="1"/>
      <c r="N9818" s="1"/>
    </row>
    <row r="9824" spans="13:16" x14ac:dyDescent="0.3">
      <c r="M9824" s="1"/>
      <c r="N9824" s="1"/>
      <c r="O9824" s="1"/>
      <c r="P9824" s="1"/>
    </row>
    <row r="9830" spans="13:15" x14ac:dyDescent="0.3">
      <c r="M9830" s="1"/>
    </row>
    <row r="9832" spans="13:15" x14ac:dyDescent="0.3">
      <c r="O9832" s="1"/>
    </row>
    <row r="9847" spans="13:16" x14ac:dyDescent="0.3">
      <c r="O9847" s="1"/>
    </row>
    <row r="9850" spans="13:16" x14ac:dyDescent="0.3">
      <c r="M9850" s="1"/>
    </row>
    <row r="9855" spans="13:16" x14ac:dyDescent="0.3">
      <c r="M9855" s="1"/>
      <c r="N9855" s="1"/>
      <c r="O9855" s="1"/>
      <c r="P9855" s="1"/>
    </row>
    <row r="9863" spans="14:16" x14ac:dyDescent="0.3">
      <c r="N9863" s="1"/>
      <c r="O9863" s="1"/>
      <c r="P9863" s="1"/>
    </row>
    <row r="9865" spans="14:16" x14ac:dyDescent="0.3">
      <c r="N9865" s="1"/>
    </row>
    <row r="9891" spans="13:14" x14ac:dyDescent="0.3">
      <c r="M9891" s="1"/>
    </row>
    <row r="9894" spans="13:14" x14ac:dyDescent="0.3">
      <c r="N9894" s="1"/>
    </row>
    <row r="9906" spans="14:16" x14ac:dyDescent="0.3">
      <c r="N9906" s="1"/>
    </row>
    <row r="9916" spans="14:16" x14ac:dyDescent="0.3">
      <c r="N9916" s="1"/>
      <c r="P9916" s="1"/>
    </row>
    <row r="9934" spans="14:14" x14ac:dyDescent="0.3">
      <c r="N9934" s="1"/>
    </row>
    <row r="9940" spans="13:16" x14ac:dyDescent="0.3">
      <c r="M9940" s="1"/>
      <c r="P9940" s="1"/>
    </row>
    <row r="9958" spans="13:16" x14ac:dyDescent="0.3">
      <c r="O9958" s="1"/>
      <c r="P9958" s="1"/>
    </row>
    <row r="9966" spans="13:16" x14ac:dyDescent="0.3">
      <c r="M9966" s="1"/>
      <c r="N9966" s="1"/>
    </row>
    <row r="9989" spans="13:15" x14ac:dyDescent="0.3">
      <c r="M9989" s="1"/>
    </row>
    <row r="9993" spans="13:15" x14ac:dyDescent="0.3">
      <c r="M9993" s="1"/>
      <c r="O9993" s="1"/>
    </row>
    <row r="9996" spans="13:15" x14ac:dyDescent="0.3">
      <c r="M9996" s="1"/>
      <c r="N9996" s="1"/>
    </row>
    <row r="10002" spans="13:16" x14ac:dyDescent="0.3">
      <c r="N10002" s="1"/>
      <c r="O10002" s="1"/>
    </row>
    <row r="10003" spans="13:16" x14ac:dyDescent="0.3">
      <c r="M10003" s="1"/>
      <c r="N10003" s="1"/>
      <c r="P10003" s="1"/>
    </row>
    <row r="10005" spans="13:16" x14ac:dyDescent="0.3">
      <c r="N10005" s="1"/>
      <c r="P10005" s="1"/>
    </row>
    <row r="10019" spans="13:15" x14ac:dyDescent="0.3">
      <c r="O10019" s="1"/>
    </row>
    <row r="10021" spans="13:15" x14ac:dyDescent="0.3">
      <c r="M10021" s="1"/>
      <c r="O10021" s="1"/>
    </row>
    <row r="10022" spans="13:15" x14ac:dyDescent="0.3">
      <c r="N10022" s="1"/>
      <c r="O10022" s="1"/>
    </row>
    <row r="10027" spans="13:15" x14ac:dyDescent="0.3">
      <c r="N10027" s="1"/>
      <c r="O10027" s="1"/>
    </row>
    <row r="10037" spans="13:16" x14ac:dyDescent="0.3">
      <c r="O10037" s="1"/>
      <c r="P10037" s="1"/>
    </row>
    <row r="10042" spans="13:16" x14ac:dyDescent="0.3">
      <c r="P10042" s="1"/>
    </row>
    <row r="10047" spans="13:16" x14ac:dyDescent="0.3">
      <c r="M10047" s="1"/>
      <c r="O10047" s="1"/>
    </row>
    <row r="10061" spans="13:13" x14ac:dyDescent="0.3">
      <c r="M10061" s="1"/>
    </row>
    <row r="10069" spans="13:16" x14ac:dyDescent="0.3">
      <c r="M10069" s="1"/>
    </row>
    <row r="10071" spans="13:16" x14ac:dyDescent="0.3">
      <c r="O10071" s="1"/>
    </row>
    <row r="10076" spans="13:16" x14ac:dyDescent="0.3">
      <c r="M10076" s="1"/>
      <c r="N10076" s="1"/>
    </row>
    <row r="10078" spans="13:16" x14ac:dyDescent="0.3">
      <c r="M10078" s="1"/>
      <c r="O10078" s="1"/>
    </row>
    <row r="10080" spans="13:16" x14ac:dyDescent="0.3">
      <c r="M10080" s="1"/>
      <c r="O10080" s="1"/>
      <c r="P10080" s="1"/>
    </row>
    <row r="10084" spans="13:16" x14ac:dyDescent="0.3">
      <c r="O10084" s="1"/>
    </row>
    <row r="10087" spans="13:16" x14ac:dyDescent="0.3">
      <c r="M10087" s="1"/>
      <c r="N10087" s="1"/>
    </row>
    <row r="10095" spans="13:16" x14ac:dyDescent="0.3">
      <c r="N10095" s="1"/>
      <c r="O10095" s="1"/>
      <c r="P10095" s="1"/>
    </row>
    <row r="10104" spans="13:15" x14ac:dyDescent="0.3">
      <c r="N10104" s="1"/>
    </row>
    <row r="10106" spans="13:15" x14ac:dyDescent="0.3">
      <c r="M10106" s="1"/>
      <c r="O10106" s="1"/>
    </row>
    <row r="10107" spans="13:15" x14ac:dyDescent="0.3">
      <c r="O10107" s="1"/>
    </row>
    <row r="10123" spans="14:16" x14ac:dyDescent="0.3">
      <c r="N10123" s="1"/>
      <c r="O10123" s="1"/>
      <c r="P10123" s="1"/>
    </row>
    <row r="10131" spans="15:15" x14ac:dyDescent="0.3">
      <c r="O10131" s="1"/>
    </row>
    <row r="10143" spans="15:15" x14ac:dyDescent="0.3">
      <c r="O10143" s="1"/>
    </row>
    <row r="10152" spans="13:16" x14ac:dyDescent="0.3">
      <c r="M10152" s="1"/>
    </row>
    <row r="10154" spans="13:16" x14ac:dyDescent="0.3">
      <c r="M10154" s="1"/>
    </row>
    <row r="10158" spans="13:16" x14ac:dyDescent="0.3">
      <c r="N10158" s="1"/>
    </row>
    <row r="10159" spans="13:16" x14ac:dyDescent="0.3">
      <c r="N10159" s="1"/>
      <c r="O10159" s="1"/>
      <c r="P10159" s="1"/>
    </row>
    <row r="10164" spans="13:16" x14ac:dyDescent="0.3">
      <c r="N10164" s="1"/>
    </row>
    <row r="10168" spans="13:16" x14ac:dyDescent="0.3">
      <c r="M10168" s="1"/>
      <c r="N10168" s="1"/>
      <c r="P10168" s="1"/>
    </row>
    <row r="10171" spans="13:16" x14ac:dyDescent="0.3">
      <c r="M10171" s="1"/>
      <c r="O10171" s="1"/>
    </row>
    <row r="10172" spans="13:16" x14ac:dyDescent="0.3">
      <c r="M10172" s="1"/>
    </row>
    <row r="10186" spans="13:16" x14ac:dyDescent="0.3">
      <c r="M10186" s="1"/>
      <c r="N10186" s="1"/>
      <c r="O10186" s="1"/>
      <c r="P10186" s="1"/>
    </row>
    <row r="10189" spans="13:16" x14ac:dyDescent="0.3">
      <c r="M10189" s="1"/>
    </row>
    <row r="10196" spans="13:16" x14ac:dyDescent="0.3">
      <c r="M10196" s="1"/>
      <c r="N10196" s="1"/>
      <c r="O10196" s="1"/>
    </row>
    <row r="10198" spans="13:16" x14ac:dyDescent="0.3">
      <c r="M10198" s="1"/>
    </row>
    <row r="10202" spans="13:16" x14ac:dyDescent="0.3">
      <c r="M10202" s="1"/>
      <c r="O10202" s="1"/>
      <c r="P10202" s="1"/>
    </row>
    <row r="10204" spans="13:16" x14ac:dyDescent="0.3">
      <c r="M10204" s="1"/>
      <c r="P10204" s="1"/>
    </row>
    <row r="10228" spans="13:16" x14ac:dyDescent="0.3">
      <c r="M10228" s="1"/>
      <c r="P10228" s="1"/>
    </row>
    <row r="10244" spans="13:16" x14ac:dyDescent="0.3">
      <c r="P10244" s="1"/>
    </row>
    <row r="10245" spans="13:16" x14ac:dyDescent="0.3">
      <c r="N10245" s="1"/>
      <c r="P10245" s="1"/>
    </row>
    <row r="10250" spans="13:16" x14ac:dyDescent="0.3">
      <c r="M10250" s="1"/>
      <c r="N10250" s="1"/>
      <c r="O10250" s="1"/>
    </row>
    <row r="10267" spans="14:14" x14ac:dyDescent="0.3">
      <c r="N10267" s="1"/>
    </row>
    <row r="10269" spans="14:14" x14ac:dyDescent="0.3">
      <c r="N10269" s="1"/>
    </row>
    <row r="10276" spans="13:16" x14ac:dyDescent="0.3">
      <c r="N10276" s="1"/>
    </row>
    <row r="10282" spans="13:16" x14ac:dyDescent="0.3">
      <c r="N10282" s="1"/>
      <c r="O10282" s="1"/>
    </row>
    <row r="10284" spans="13:16" x14ac:dyDescent="0.3">
      <c r="M10284" s="1"/>
      <c r="O10284" s="1"/>
      <c r="P10284" s="1"/>
    </row>
    <row r="10290" spans="13:16" x14ac:dyDescent="0.3">
      <c r="M10290" s="1"/>
      <c r="N10290" s="1"/>
      <c r="P10290" s="1"/>
    </row>
    <row r="10301" spans="13:16" x14ac:dyDescent="0.3">
      <c r="M10301" s="1"/>
    </row>
    <row r="10305" spans="14:15" x14ac:dyDescent="0.3">
      <c r="O10305" s="1"/>
    </row>
    <row r="10309" spans="14:15" x14ac:dyDescent="0.3">
      <c r="N10309" s="1"/>
    </row>
    <row r="10312" spans="14:15" x14ac:dyDescent="0.3">
      <c r="N10312" s="1"/>
    </row>
    <row r="10313" spans="14:15" x14ac:dyDescent="0.3">
      <c r="O10313" s="1"/>
    </row>
    <row r="10327" spans="14:14" x14ac:dyDescent="0.3">
      <c r="N10327" s="1"/>
    </row>
    <row r="10341" spans="13:16" x14ac:dyDescent="0.3">
      <c r="O10341" s="1"/>
    </row>
    <row r="10346" spans="13:16" x14ac:dyDescent="0.3">
      <c r="N10346" s="1"/>
    </row>
    <row r="10347" spans="13:16" x14ac:dyDescent="0.3">
      <c r="M10347" s="1"/>
      <c r="N10347" s="1"/>
      <c r="O10347" s="1"/>
      <c r="P10347" s="1"/>
    </row>
    <row r="10349" spans="13:16" x14ac:dyDescent="0.3">
      <c r="O10349" s="1"/>
      <c r="P10349" s="1"/>
    </row>
    <row r="10355" spans="13:16" x14ac:dyDescent="0.3">
      <c r="M10355" s="1"/>
      <c r="P10355" s="1"/>
    </row>
    <row r="10359" spans="13:16" x14ac:dyDescent="0.3">
      <c r="M10359" s="1"/>
    </row>
    <row r="10373" spans="14:15" x14ac:dyDescent="0.3">
      <c r="O10373" s="1"/>
    </row>
    <row r="10381" spans="14:15" x14ac:dyDescent="0.3">
      <c r="N10381" s="1"/>
    </row>
    <row r="10386" spans="13:15" x14ac:dyDescent="0.3">
      <c r="O10386" s="1"/>
    </row>
    <row r="10393" spans="13:15" x14ac:dyDescent="0.3">
      <c r="M10393" s="1"/>
    </row>
    <row r="10402" spans="13:15" x14ac:dyDescent="0.3">
      <c r="O10402" s="1"/>
    </row>
    <row r="10404" spans="13:15" x14ac:dyDescent="0.3">
      <c r="M10404" s="1"/>
    </row>
    <row r="10413" spans="13:15" x14ac:dyDescent="0.3">
      <c r="M10413" s="1"/>
    </row>
    <row r="10418" spans="15:15" x14ac:dyDescent="0.3">
      <c r="O10418" s="1"/>
    </row>
    <row r="10434" spans="13:16" x14ac:dyDescent="0.3">
      <c r="N10434" s="1"/>
    </row>
    <row r="10441" spans="13:16" x14ac:dyDescent="0.3">
      <c r="N10441" s="1"/>
      <c r="O10441" s="1"/>
      <c r="P10441" s="1"/>
    </row>
    <row r="10447" spans="13:16" x14ac:dyDescent="0.3">
      <c r="M10447" s="1"/>
      <c r="N10447" s="1"/>
    </row>
    <row r="10450" spans="13:14" x14ac:dyDescent="0.3">
      <c r="M10450" s="1"/>
    </row>
    <row r="10462" spans="13:14" x14ac:dyDescent="0.3">
      <c r="N10462" s="1"/>
    </row>
    <row r="10468" spans="14:14" x14ac:dyDescent="0.3">
      <c r="N10468" s="1"/>
    </row>
    <row r="10470" spans="14:14" x14ac:dyDescent="0.3">
      <c r="N10470" s="1"/>
    </row>
    <row r="10476" spans="14:14" x14ac:dyDescent="0.3">
      <c r="N10476" s="1"/>
    </row>
    <row r="10491" spans="13:15" x14ac:dyDescent="0.3">
      <c r="M10491" s="1"/>
    </row>
    <row r="10492" spans="13:15" x14ac:dyDescent="0.3">
      <c r="O10492" s="1"/>
    </row>
    <row r="10496" spans="13:15" x14ac:dyDescent="0.3">
      <c r="M10496" s="1"/>
    </row>
    <row r="10510" spans="13:15" x14ac:dyDescent="0.3">
      <c r="M10510" s="1"/>
      <c r="O10510" s="1"/>
    </row>
    <row r="10515" spans="13:15" x14ac:dyDescent="0.3">
      <c r="M10515" s="1"/>
    </row>
    <row r="10527" spans="13:15" x14ac:dyDescent="0.3">
      <c r="O10527" s="1"/>
    </row>
    <row r="10531" spans="13:14" x14ac:dyDescent="0.3">
      <c r="M10531" s="1"/>
      <c r="N10531" s="1"/>
    </row>
    <row r="10545" spans="15:15" x14ac:dyDescent="0.3">
      <c r="O10545" s="1"/>
    </row>
    <row r="10564" spans="15:16" x14ac:dyDescent="0.3">
      <c r="O10564" s="1"/>
      <c r="P10564" s="1"/>
    </row>
    <row r="10566" spans="15:16" x14ac:dyDescent="0.3">
      <c r="O10566" s="1"/>
    </row>
    <row r="10600" spans="13:13" x14ac:dyDescent="0.3">
      <c r="M10600" s="1"/>
    </row>
    <row r="10619" spans="13:16" x14ac:dyDescent="0.3">
      <c r="M10619" s="1"/>
      <c r="N10619" s="1"/>
      <c r="O10619" s="1"/>
      <c r="P10619" s="1"/>
    </row>
    <row r="10621" spans="13:16" x14ac:dyDescent="0.3">
      <c r="M10621" s="1"/>
    </row>
    <row r="10627" spans="13:15" x14ac:dyDescent="0.3">
      <c r="O10627" s="1"/>
    </row>
    <row r="10629" spans="13:15" x14ac:dyDescent="0.3">
      <c r="M10629" s="1"/>
    </row>
    <row r="10648" spans="14:16" x14ac:dyDescent="0.3">
      <c r="N10648" s="1"/>
      <c r="O10648" s="1"/>
      <c r="P10648" s="1"/>
    </row>
    <row r="10652" spans="14:16" x14ac:dyDescent="0.3">
      <c r="N10652" s="1"/>
    </row>
    <row r="10657" spans="13:16" x14ac:dyDescent="0.3">
      <c r="N10657" s="1"/>
    </row>
    <row r="10667" spans="13:16" x14ac:dyDescent="0.3">
      <c r="M10667" s="1"/>
      <c r="O10667" s="1"/>
      <c r="P10667" s="1"/>
    </row>
    <row r="10675" spans="13:15" x14ac:dyDescent="0.3">
      <c r="O10675" s="1"/>
    </row>
    <row r="10676" spans="13:15" x14ac:dyDescent="0.3">
      <c r="M10676" s="1"/>
      <c r="N10676" s="1"/>
    </row>
    <row r="10696" spans="13:15" x14ac:dyDescent="0.3">
      <c r="M10696" s="1"/>
      <c r="N10696" s="1"/>
      <c r="O10696" s="1"/>
    </row>
    <row r="10708" spans="13:16" x14ac:dyDescent="0.3">
      <c r="M10708" s="1"/>
      <c r="O10708" s="1"/>
      <c r="P10708" s="1"/>
    </row>
    <row r="10714" spans="13:16" x14ac:dyDescent="0.3">
      <c r="N10714" s="1"/>
    </row>
    <row r="10720" spans="13:16" x14ac:dyDescent="0.3">
      <c r="N10720" s="1"/>
    </row>
    <row r="10733" spans="13:13" x14ac:dyDescent="0.3">
      <c r="M10733" s="1"/>
    </row>
    <row r="10746" spans="15:15" x14ac:dyDescent="0.3">
      <c r="O10746" s="1"/>
    </row>
    <row r="10758" spans="13:16" x14ac:dyDescent="0.3">
      <c r="M10758" s="1"/>
      <c r="P10758" s="1"/>
    </row>
    <row r="10769" spans="14:14" x14ac:dyDescent="0.3">
      <c r="N10769" s="1"/>
    </row>
    <row r="10778" spans="14:14" x14ac:dyDescent="0.3">
      <c r="N10778" s="1"/>
    </row>
    <row r="10801" spans="14:15" x14ac:dyDescent="0.3">
      <c r="O10801" s="1"/>
    </row>
    <row r="10803" spans="14:15" x14ac:dyDescent="0.3">
      <c r="N10803" s="1"/>
    </row>
    <row r="10817" spans="13:15" x14ac:dyDescent="0.3">
      <c r="N10817" s="1"/>
      <c r="O10817" s="1"/>
    </row>
    <row r="10821" spans="13:15" x14ac:dyDescent="0.3">
      <c r="M10821" s="1"/>
      <c r="N10821" s="1"/>
    </row>
    <row r="10824" spans="13:15" x14ac:dyDescent="0.3">
      <c r="M10824" s="1"/>
    </row>
    <row r="10825" spans="13:15" x14ac:dyDescent="0.3">
      <c r="N10825" s="1"/>
    </row>
    <row r="10828" spans="13:15" x14ac:dyDescent="0.3">
      <c r="M10828" s="1"/>
    </row>
    <row r="10835" spans="15:16" x14ac:dyDescent="0.3">
      <c r="O10835" s="1"/>
    </row>
    <row r="10838" spans="15:16" x14ac:dyDescent="0.3">
      <c r="P10838" s="1"/>
    </row>
    <row r="10844" spans="15:16" x14ac:dyDescent="0.3">
      <c r="O10844" s="1"/>
    </row>
    <row r="10867" spans="14:15" x14ac:dyDescent="0.3">
      <c r="N10867" s="1"/>
      <c r="O10867" s="1"/>
    </row>
    <row r="10883" spans="13:13" x14ac:dyDescent="0.3">
      <c r="M10883" s="1"/>
    </row>
    <row r="10894" spans="13:13" x14ac:dyDescent="0.3">
      <c r="M10894" s="1"/>
    </row>
    <row r="10903" spans="13:15" x14ac:dyDescent="0.3">
      <c r="M10903" s="1"/>
    </row>
    <row r="10912" spans="13:15" x14ac:dyDescent="0.3">
      <c r="M10912" s="1"/>
      <c r="N10912" s="1"/>
      <c r="O10912" s="1"/>
    </row>
    <row r="10913" spans="13:16" x14ac:dyDescent="0.3">
      <c r="M10913" s="1"/>
      <c r="O10913" s="1"/>
      <c r="P10913" s="1"/>
    </row>
    <row r="10915" spans="13:16" x14ac:dyDescent="0.3">
      <c r="M10915" s="1"/>
      <c r="O10915" s="1"/>
      <c r="P10915" s="1"/>
    </row>
    <row r="10918" spans="13:16" x14ac:dyDescent="0.3">
      <c r="N10918" s="1"/>
    </row>
    <row r="10923" spans="13:16" x14ac:dyDescent="0.3">
      <c r="O10923" s="1"/>
    </row>
    <row r="10928" spans="13:16" x14ac:dyDescent="0.3">
      <c r="O10928" s="1"/>
    </row>
    <row r="10932" spans="13:15" x14ac:dyDescent="0.3">
      <c r="M10932" s="1"/>
      <c r="N10932" s="1"/>
      <c r="O10932" s="1"/>
    </row>
    <row r="10938" spans="13:15" x14ac:dyDescent="0.3">
      <c r="M10938" s="1"/>
      <c r="O10938" s="1"/>
    </row>
    <row r="10969" spans="13:13" x14ac:dyDescent="0.3">
      <c r="M10969" s="1"/>
    </row>
    <row r="10978" spans="13:16" x14ac:dyDescent="0.3">
      <c r="N10978" s="1"/>
    </row>
    <row r="10982" spans="13:16" x14ac:dyDescent="0.3">
      <c r="M10982" s="1"/>
      <c r="O10982" s="1"/>
    </row>
    <row r="10986" spans="13:16" x14ac:dyDescent="0.3">
      <c r="M10986" s="1"/>
      <c r="N10986" s="1"/>
      <c r="O10986" s="1"/>
      <c r="P10986" s="1"/>
    </row>
    <row r="10996" spans="13:16" x14ac:dyDescent="0.3">
      <c r="O10996" s="1"/>
    </row>
    <row r="11006" spans="13:16" x14ac:dyDescent="0.3">
      <c r="M11006" s="1"/>
      <c r="P11006" s="1"/>
    </row>
    <row r="11013" spans="13:16" x14ac:dyDescent="0.3">
      <c r="M11013" s="1"/>
      <c r="N11013" s="1"/>
      <c r="P11013" s="1"/>
    </row>
    <row r="11019" spans="13:16" x14ac:dyDescent="0.3">
      <c r="M11019" s="1"/>
      <c r="N11019" s="1"/>
      <c r="O11019" s="1"/>
    </row>
    <row r="11027" spans="14:15" x14ac:dyDescent="0.3">
      <c r="O11027" s="1"/>
    </row>
    <row r="11040" spans="14:15" x14ac:dyDescent="0.3">
      <c r="N11040" s="1"/>
    </row>
    <row r="11046" spans="14:15" x14ac:dyDescent="0.3">
      <c r="O11046" s="1"/>
    </row>
    <row r="11047" spans="14:15" x14ac:dyDescent="0.3">
      <c r="N11047" s="1"/>
      <c r="O11047" s="1"/>
    </row>
    <row r="11057" spans="13:16" x14ac:dyDescent="0.3">
      <c r="M11057" s="1"/>
    </row>
    <row r="11068" spans="13:16" x14ac:dyDescent="0.3">
      <c r="M11068" s="1"/>
      <c r="O11068" s="1"/>
      <c r="P11068" s="1"/>
    </row>
    <row r="11088" spans="14:16" x14ac:dyDescent="0.3">
      <c r="N11088" s="1"/>
      <c r="O11088" s="1"/>
      <c r="P11088" s="1"/>
    </row>
    <row r="11100" spans="15:15" x14ac:dyDescent="0.3">
      <c r="O11100" s="1"/>
    </row>
    <row r="11107" spans="13:15" x14ac:dyDescent="0.3">
      <c r="M11107" s="1"/>
    </row>
    <row r="11109" spans="13:15" x14ac:dyDescent="0.3">
      <c r="O11109" s="1"/>
    </row>
    <row r="11113" spans="13:15" x14ac:dyDescent="0.3">
      <c r="O11113" s="1"/>
    </row>
    <row r="11123" spans="14:15" x14ac:dyDescent="0.3">
      <c r="N11123" s="1"/>
      <c r="O11123" s="1"/>
    </row>
    <row r="11124" spans="14:15" x14ac:dyDescent="0.3">
      <c r="O11124" s="1"/>
    </row>
    <row r="11126" spans="14:15" x14ac:dyDescent="0.3">
      <c r="N11126" s="1"/>
    </row>
    <row r="11127" spans="14:15" x14ac:dyDescent="0.3">
      <c r="N11127" s="1"/>
    </row>
    <row r="11138" spans="13:16" x14ac:dyDescent="0.3">
      <c r="O11138" s="1"/>
      <c r="P11138" s="1"/>
    </row>
    <row r="11151" spans="13:16" x14ac:dyDescent="0.3">
      <c r="M11151" s="1"/>
      <c r="N11151" s="1"/>
      <c r="O11151" s="1"/>
    </row>
    <row r="11154" spans="13:16" x14ac:dyDescent="0.3">
      <c r="M11154" s="1"/>
    </row>
    <row r="11162" spans="13:16" x14ac:dyDescent="0.3">
      <c r="M11162" s="1"/>
      <c r="N11162" s="1"/>
      <c r="O11162" s="1"/>
      <c r="P11162" s="1"/>
    </row>
    <row r="11166" spans="13:16" x14ac:dyDescent="0.3">
      <c r="O11166" s="1"/>
    </row>
    <row r="11171" spans="13:16" x14ac:dyDescent="0.3">
      <c r="N11171" s="1"/>
    </row>
    <row r="11176" spans="13:16" x14ac:dyDescent="0.3">
      <c r="M11176" s="1"/>
      <c r="N11176" s="1"/>
      <c r="O11176" s="1"/>
      <c r="P11176" s="1"/>
    </row>
    <row r="11177" spans="13:16" x14ac:dyDescent="0.3">
      <c r="O11177" s="1"/>
    </row>
    <row r="11180" spans="13:16" x14ac:dyDescent="0.3">
      <c r="N11180" s="1"/>
      <c r="O11180" s="1"/>
    </row>
    <row r="11181" spans="13:16" x14ac:dyDescent="0.3">
      <c r="M11181" s="1"/>
    </row>
    <row r="11193" spans="14:16" x14ac:dyDescent="0.3">
      <c r="N11193" s="1"/>
    </row>
    <row r="11197" spans="14:16" x14ac:dyDescent="0.3">
      <c r="O11197" s="1"/>
      <c r="P11197" s="1"/>
    </row>
    <row r="11205" spans="13:16" x14ac:dyDescent="0.3">
      <c r="N11205" s="1"/>
    </row>
    <row r="11207" spans="13:16" x14ac:dyDescent="0.3">
      <c r="N11207" s="1"/>
      <c r="P11207" s="1"/>
    </row>
    <row r="11210" spans="13:16" x14ac:dyDescent="0.3">
      <c r="M11210" s="1"/>
      <c r="N11210" s="1"/>
      <c r="O11210" s="1"/>
    </row>
    <row r="11215" spans="13:16" x14ac:dyDescent="0.3">
      <c r="M11215" s="1"/>
      <c r="N11215" s="1"/>
    </row>
    <row r="11219" spans="13:14" x14ac:dyDescent="0.3">
      <c r="M11219" s="1"/>
    </row>
    <row r="11221" spans="13:14" x14ac:dyDescent="0.3">
      <c r="M11221" s="1"/>
      <c r="N11221" s="1"/>
    </row>
    <row r="11241" spans="15:15" x14ac:dyDescent="0.3">
      <c r="O11241" s="1"/>
    </row>
    <row r="11254" spans="13:16" x14ac:dyDescent="0.3">
      <c r="M11254" s="1"/>
      <c r="O11254" s="1"/>
      <c r="P11254" s="1"/>
    </row>
    <row r="11262" spans="13:16" x14ac:dyDescent="0.3">
      <c r="O11262" s="1"/>
      <c r="P11262" s="1"/>
    </row>
    <row r="11274" spans="13:15" x14ac:dyDescent="0.3">
      <c r="M11274" s="1"/>
      <c r="O11274" s="1"/>
    </row>
    <row r="11281" spans="14:16" x14ac:dyDescent="0.3">
      <c r="N11281" s="1"/>
    </row>
    <row r="11291" spans="14:16" x14ac:dyDescent="0.3">
      <c r="N11291" s="1"/>
      <c r="O11291" s="1"/>
      <c r="P11291" s="1"/>
    </row>
    <row r="11294" spans="14:16" x14ac:dyDescent="0.3">
      <c r="O11294" s="1"/>
    </row>
    <row r="11296" spans="14:16" x14ac:dyDescent="0.3">
      <c r="N11296" s="1"/>
      <c r="O11296" s="1"/>
    </row>
    <row r="11297" spans="13:15" x14ac:dyDescent="0.3">
      <c r="N11297" s="1"/>
      <c r="O11297" s="1"/>
    </row>
    <row r="11309" spans="13:15" x14ac:dyDescent="0.3">
      <c r="N11309" s="1"/>
    </row>
    <row r="11311" spans="13:15" x14ac:dyDescent="0.3">
      <c r="M11311" s="1"/>
    </row>
    <row r="11322" spans="15:15" x14ac:dyDescent="0.3">
      <c r="O11322" s="1"/>
    </row>
    <row r="11327" spans="15:15" x14ac:dyDescent="0.3">
      <c r="O11327" s="1"/>
    </row>
    <row r="11333" spans="15:16" x14ac:dyDescent="0.3">
      <c r="O11333" s="1"/>
      <c r="P11333" s="1"/>
    </row>
    <row r="11342" spans="15:16" x14ac:dyDescent="0.3">
      <c r="P11342" s="1"/>
    </row>
    <row r="11347" spans="14:16" x14ac:dyDescent="0.3">
      <c r="N11347" s="1"/>
    </row>
    <row r="11350" spans="14:16" x14ac:dyDescent="0.3">
      <c r="N11350" s="1"/>
      <c r="P11350" s="1"/>
    </row>
    <row r="11379" spans="14:16" x14ac:dyDescent="0.3">
      <c r="N11379" s="1"/>
      <c r="P11379" s="1"/>
    </row>
    <row r="11381" spans="14:16" x14ac:dyDescent="0.3">
      <c r="N11381" s="1"/>
    </row>
    <row r="11403" spans="13:16" x14ac:dyDescent="0.3">
      <c r="M11403" s="1"/>
      <c r="N11403" s="1"/>
      <c r="P11403" s="1"/>
    </row>
    <row r="11407" spans="13:16" x14ac:dyDescent="0.3">
      <c r="M11407" s="1"/>
      <c r="N11407" s="1"/>
      <c r="O11407" s="1"/>
      <c r="P11407" s="1"/>
    </row>
    <row r="11413" spans="13:15" x14ac:dyDescent="0.3">
      <c r="M11413" s="1"/>
      <c r="O11413" s="1"/>
    </row>
    <row r="11421" spans="13:15" x14ac:dyDescent="0.3">
      <c r="O11421" s="1"/>
    </row>
    <row r="11440" spans="13:16" x14ac:dyDescent="0.3">
      <c r="M11440" s="1"/>
      <c r="N11440" s="1"/>
      <c r="O11440" s="1"/>
      <c r="P11440" s="1"/>
    </row>
    <row r="11470" spans="15:15" x14ac:dyDescent="0.3">
      <c r="O11470" s="1"/>
    </row>
    <row r="11478" spans="13:15" x14ac:dyDescent="0.3">
      <c r="M11478" s="1"/>
    </row>
    <row r="11479" spans="13:15" x14ac:dyDescent="0.3">
      <c r="O11479" s="1"/>
    </row>
    <row r="11483" spans="13:15" x14ac:dyDescent="0.3">
      <c r="M11483" s="1"/>
      <c r="N11483" s="1"/>
    </row>
    <row r="11488" spans="13:15" x14ac:dyDescent="0.3">
      <c r="O11488" s="1"/>
    </row>
    <row r="11492" spans="15:15" x14ac:dyDescent="0.3">
      <c r="O11492" s="1"/>
    </row>
    <row r="11509" spans="13:15" x14ac:dyDescent="0.3">
      <c r="N11509" s="1"/>
    </row>
    <row r="11518" spans="13:15" x14ac:dyDescent="0.3">
      <c r="O11518" s="1"/>
    </row>
    <row r="11520" spans="13:15" x14ac:dyDescent="0.3">
      <c r="M11520" s="1"/>
      <c r="N11520" s="1"/>
    </row>
    <row r="11525" spans="13:16" x14ac:dyDescent="0.3">
      <c r="M11525" s="1"/>
      <c r="N11525" s="1"/>
      <c r="O11525" s="1"/>
      <c r="P11525" s="1"/>
    </row>
    <row r="11526" spans="13:16" x14ac:dyDescent="0.3">
      <c r="O11526" s="1"/>
    </row>
    <row r="11534" spans="13:16" x14ac:dyDescent="0.3">
      <c r="N11534" s="1"/>
      <c r="P11534" s="1"/>
    </row>
    <row r="11537" spans="13:16" x14ac:dyDescent="0.3">
      <c r="M11537" s="1"/>
      <c r="N11537" s="1"/>
      <c r="P11537" s="1"/>
    </row>
    <row r="11538" spans="13:16" x14ac:dyDescent="0.3">
      <c r="M11538" s="1"/>
      <c r="P11538" s="1"/>
    </row>
    <row r="11542" spans="13:16" x14ac:dyDescent="0.3">
      <c r="N11542" s="1"/>
    </row>
    <row r="11559" spans="14:16" x14ac:dyDescent="0.3">
      <c r="O11559" s="1"/>
      <c r="P11559" s="1"/>
    </row>
    <row r="11568" spans="14:16" x14ac:dyDescent="0.3">
      <c r="N11568" s="1"/>
    </row>
    <row r="11577" spans="13:14" x14ac:dyDescent="0.3">
      <c r="N11577" s="1"/>
    </row>
    <row r="11581" spans="13:14" x14ac:dyDescent="0.3">
      <c r="M11581" s="1"/>
    </row>
    <row r="11584" spans="13:14" x14ac:dyDescent="0.3">
      <c r="M11584" s="1"/>
      <c r="N11584" s="1"/>
    </row>
    <row r="11589" spans="15:15" x14ac:dyDescent="0.3">
      <c r="O11589" s="1"/>
    </row>
    <row r="11610" spans="14:14" x14ac:dyDescent="0.3">
      <c r="N11610" s="1"/>
    </row>
    <row r="11618" spans="13:15" x14ac:dyDescent="0.3">
      <c r="M11618" s="1"/>
    </row>
    <row r="11622" spans="13:15" x14ac:dyDescent="0.3">
      <c r="O11622" s="1"/>
    </row>
    <row r="11636" spans="13:16" x14ac:dyDescent="0.3">
      <c r="M11636" s="1"/>
      <c r="N11636" s="1"/>
      <c r="P11636" s="1"/>
    </row>
    <row r="11650" spans="13:16" x14ac:dyDescent="0.3">
      <c r="O11650" s="1"/>
    </row>
    <row r="11655" spans="13:16" x14ac:dyDescent="0.3">
      <c r="M11655" s="1"/>
      <c r="P11655" s="1"/>
    </row>
    <row r="11660" spans="13:16" x14ac:dyDescent="0.3">
      <c r="O11660" s="1"/>
    </row>
    <row r="11661" spans="13:16" x14ac:dyDescent="0.3">
      <c r="P11661" s="1"/>
    </row>
    <row r="11677" spans="15:15" x14ac:dyDescent="0.3">
      <c r="O11677" s="1"/>
    </row>
    <row r="11685" spans="13:14" x14ac:dyDescent="0.3">
      <c r="M11685" s="1"/>
      <c r="N11685" s="1"/>
    </row>
    <row r="11687" spans="13:14" x14ac:dyDescent="0.3">
      <c r="N11687" s="1"/>
    </row>
    <row r="11691" spans="13:14" x14ac:dyDescent="0.3">
      <c r="M11691" s="1"/>
    </row>
    <row r="11702" spans="14:14" x14ac:dyDescent="0.3">
      <c r="N11702" s="1"/>
    </row>
    <row r="11720" spans="13:13" x14ac:dyDescent="0.3">
      <c r="M11720" s="1"/>
    </row>
    <row r="11724" spans="13:13" x14ac:dyDescent="0.3">
      <c r="M11724" s="1"/>
    </row>
    <row r="11736" spans="13:13" x14ac:dyDescent="0.3">
      <c r="M11736" s="1"/>
    </row>
    <row r="11753" spans="13:15" x14ac:dyDescent="0.3">
      <c r="M11753" s="1"/>
      <c r="O11753" s="1"/>
    </row>
    <row r="11782" spans="13:16" x14ac:dyDescent="0.3">
      <c r="P11782" s="1"/>
    </row>
    <row r="11790" spans="13:16" x14ac:dyDescent="0.3">
      <c r="M11790" s="1"/>
      <c r="O11790" s="1"/>
      <c r="P11790" s="1"/>
    </row>
    <row r="11796" spans="13:16" x14ac:dyDescent="0.3">
      <c r="N11796" s="1"/>
    </row>
    <row r="11804" spans="13:16" x14ac:dyDescent="0.3">
      <c r="M11804" s="1"/>
      <c r="N11804" s="1"/>
      <c r="O11804" s="1"/>
      <c r="P11804" s="1"/>
    </row>
    <row r="11808" spans="13:16" x14ac:dyDescent="0.3">
      <c r="M11808" s="1"/>
      <c r="N11808" s="1"/>
      <c r="P11808" s="1"/>
    </row>
    <row r="11815" spans="13:16" x14ac:dyDescent="0.3">
      <c r="O11815" s="1"/>
    </row>
    <row r="11819" spans="13:16" x14ac:dyDescent="0.3">
      <c r="O11819" s="1"/>
      <c r="P11819" s="1"/>
    </row>
    <row r="11823" spans="13:16" x14ac:dyDescent="0.3">
      <c r="M11823" s="1"/>
      <c r="O11823" s="1"/>
    </row>
    <row r="11830" spans="13:16" x14ac:dyDescent="0.3">
      <c r="M11830" s="1"/>
      <c r="N11830" s="1"/>
      <c r="O11830" s="1"/>
    </row>
    <row r="11832" spans="13:16" x14ac:dyDescent="0.3">
      <c r="M11832" s="1"/>
      <c r="O11832" s="1"/>
      <c r="P11832" s="1"/>
    </row>
    <row r="11836" spans="13:16" x14ac:dyDescent="0.3">
      <c r="N11836" s="1"/>
      <c r="O11836" s="1"/>
    </row>
    <row r="11869" spans="13:16" x14ac:dyDescent="0.3">
      <c r="M11869" s="1"/>
      <c r="N11869" s="1"/>
      <c r="O11869" s="1"/>
      <c r="P11869" s="1"/>
    </row>
    <row r="11876" spans="13:13" x14ac:dyDescent="0.3">
      <c r="M11876" s="1"/>
    </row>
    <row r="11888" spans="13:13" x14ac:dyDescent="0.3">
      <c r="M11888" s="1"/>
    </row>
    <row r="11900" spans="13:16" x14ac:dyDescent="0.3">
      <c r="M11900" s="1"/>
      <c r="O11900" s="1"/>
      <c r="P11900" s="1"/>
    </row>
    <row r="11907" spans="13:13" x14ac:dyDescent="0.3">
      <c r="M11907" s="1"/>
    </row>
    <row r="11948" spans="13:16" x14ac:dyDescent="0.3">
      <c r="M11948" s="1"/>
      <c r="O11948" s="1"/>
    </row>
    <row r="11950" spans="13:16" x14ac:dyDescent="0.3">
      <c r="M11950" s="1"/>
      <c r="N11950" s="1"/>
      <c r="O11950" s="1"/>
      <c r="P11950" s="1"/>
    </row>
    <row r="11951" spans="13:16" x14ac:dyDescent="0.3">
      <c r="M11951" s="1"/>
      <c r="O11951" s="1"/>
    </row>
    <row r="11958" spans="14:16" x14ac:dyDescent="0.3">
      <c r="N11958" s="1"/>
      <c r="P11958" s="1"/>
    </row>
    <row r="11961" spans="14:16" x14ac:dyDescent="0.3">
      <c r="O11961" s="1"/>
    </row>
    <row r="11965" spans="14:16" x14ac:dyDescent="0.3">
      <c r="N11965" s="1"/>
      <c r="P11965" s="1"/>
    </row>
    <row r="11986" spans="14:14" x14ac:dyDescent="0.3">
      <c r="N11986" s="1"/>
    </row>
    <row r="12001" spans="13:16" x14ac:dyDescent="0.3">
      <c r="N12001" s="1"/>
    </row>
    <row r="12007" spans="13:16" x14ac:dyDescent="0.3">
      <c r="M12007" s="1"/>
      <c r="P12007" s="1"/>
    </row>
    <row r="12010" spans="13:16" x14ac:dyDescent="0.3">
      <c r="M12010" s="1"/>
      <c r="N12010" s="1"/>
      <c r="P12010" s="1"/>
    </row>
    <row r="12012" spans="13:16" x14ac:dyDescent="0.3">
      <c r="O12012" s="1"/>
    </row>
    <row r="12019" spans="13:16" x14ac:dyDescent="0.3">
      <c r="O12019" s="1"/>
    </row>
    <row r="12020" spans="13:16" x14ac:dyDescent="0.3">
      <c r="N12020" s="1"/>
    </row>
    <row r="12023" spans="13:16" x14ac:dyDescent="0.3">
      <c r="N12023" s="1"/>
    </row>
    <row r="12028" spans="13:16" x14ac:dyDescent="0.3">
      <c r="M12028" s="1"/>
      <c r="N12028" s="1"/>
    </row>
    <row r="12029" spans="13:16" x14ac:dyDescent="0.3">
      <c r="M12029" s="1"/>
      <c r="N12029" s="1"/>
      <c r="O12029" s="1"/>
      <c r="P12029" s="1"/>
    </row>
    <row r="12032" spans="13:16" x14ac:dyDescent="0.3">
      <c r="N12032" s="1"/>
    </row>
    <row r="12061" spans="13:16" x14ac:dyDescent="0.3">
      <c r="M12061" s="1"/>
      <c r="N12061" s="1"/>
      <c r="O12061" s="1"/>
      <c r="P12061" s="1"/>
    </row>
    <row r="12070" spans="14:14" x14ac:dyDescent="0.3">
      <c r="N12070" s="1"/>
    </row>
    <row r="12075" spans="14:14" x14ac:dyDescent="0.3">
      <c r="N12075" s="1"/>
    </row>
    <row r="12093" spans="13:15" x14ac:dyDescent="0.3">
      <c r="M12093" s="1"/>
      <c r="O12093" s="1"/>
    </row>
    <row r="12096" spans="13:15" x14ac:dyDescent="0.3">
      <c r="N12096" s="1"/>
    </row>
    <row r="12101" spans="14:14" x14ac:dyDescent="0.3">
      <c r="N12101" s="1"/>
    </row>
    <row r="12120" spans="14:16" x14ac:dyDescent="0.3">
      <c r="N12120" s="1"/>
      <c r="O12120" s="1"/>
      <c r="P12120" s="1"/>
    </row>
    <row r="12132" spans="13:16" x14ac:dyDescent="0.3">
      <c r="M12132" s="1"/>
    </row>
    <row r="12144" spans="13:16" x14ac:dyDescent="0.3">
      <c r="M12144" s="1"/>
      <c r="N12144" s="1"/>
      <c r="P12144" s="1"/>
    </row>
    <row r="12169" spans="13:13" x14ac:dyDescent="0.3">
      <c r="M12169" s="1"/>
    </row>
    <row r="12197" spans="13:15" x14ac:dyDescent="0.3">
      <c r="M12197" s="1"/>
    </row>
    <row r="12198" spans="13:15" x14ac:dyDescent="0.3">
      <c r="M12198" s="1"/>
    </row>
    <row r="12199" spans="13:15" x14ac:dyDescent="0.3">
      <c r="N12199" s="1"/>
    </row>
    <row r="12200" spans="13:15" x14ac:dyDescent="0.3">
      <c r="O12200" s="1"/>
    </row>
    <row r="12216" spans="13:13" x14ac:dyDescent="0.3">
      <c r="M12216" s="1"/>
    </row>
    <row r="12241" spans="13:15" x14ac:dyDescent="0.3">
      <c r="N12241" s="1"/>
      <c r="O12241" s="1"/>
    </row>
    <row r="12246" spans="13:15" x14ac:dyDescent="0.3">
      <c r="M12246" s="1"/>
    </row>
    <row r="12249" spans="13:15" x14ac:dyDescent="0.3">
      <c r="M12249" s="1"/>
      <c r="N12249" s="1"/>
    </row>
    <row r="12259" spans="13:16" x14ac:dyDescent="0.3">
      <c r="N12259" s="1"/>
      <c r="O12259" s="1"/>
    </row>
    <row r="12260" spans="13:16" x14ac:dyDescent="0.3">
      <c r="N12260" s="1"/>
    </row>
    <row r="12262" spans="13:16" x14ac:dyDescent="0.3">
      <c r="M12262" s="1"/>
      <c r="N12262" s="1"/>
      <c r="P12262" s="1"/>
    </row>
    <row r="12271" spans="13:16" x14ac:dyDescent="0.3">
      <c r="O12271" s="1"/>
    </row>
    <row r="12275" spans="13:15" x14ac:dyDescent="0.3">
      <c r="O12275" s="1"/>
    </row>
    <row r="12277" spans="13:15" x14ac:dyDescent="0.3">
      <c r="M12277" s="1"/>
    </row>
    <row r="12281" spans="13:15" x14ac:dyDescent="0.3">
      <c r="N12281" s="1"/>
    </row>
    <row r="12318" spans="13:16" x14ac:dyDescent="0.3">
      <c r="M12318" s="1"/>
      <c r="N12318" s="1"/>
      <c r="P12318" s="1"/>
    </row>
    <row r="12323" spans="13:15" x14ac:dyDescent="0.3">
      <c r="O12323" s="1"/>
    </row>
    <row r="12328" spans="13:15" x14ac:dyDescent="0.3">
      <c r="M12328" s="1"/>
    </row>
    <row r="12337" spans="13:16" x14ac:dyDescent="0.3">
      <c r="N12337" s="1"/>
      <c r="P12337" s="1"/>
    </row>
    <row r="12345" spans="13:16" x14ac:dyDescent="0.3">
      <c r="M12345" s="1"/>
      <c r="O12345" s="1"/>
      <c r="P12345" s="1"/>
    </row>
    <row r="12346" spans="13:16" x14ac:dyDescent="0.3">
      <c r="M12346" s="1"/>
      <c r="N12346" s="1"/>
      <c r="O12346" s="1"/>
    </row>
    <row r="12349" spans="13:16" x14ac:dyDescent="0.3">
      <c r="O12349" s="1"/>
    </row>
    <row r="12354" spans="14:16" x14ac:dyDescent="0.3">
      <c r="N12354" s="1"/>
      <c r="O12354" s="1"/>
    </row>
    <row r="12356" spans="14:16" x14ac:dyDescent="0.3">
      <c r="N12356" s="1"/>
      <c r="P12356" s="1"/>
    </row>
    <row r="12361" spans="14:16" x14ac:dyDescent="0.3">
      <c r="N12361" s="1"/>
      <c r="P12361" s="1"/>
    </row>
    <row r="12375" spans="13:14" x14ac:dyDescent="0.3">
      <c r="M12375" s="1"/>
    </row>
    <row r="12380" spans="13:14" x14ac:dyDescent="0.3">
      <c r="M12380" s="1"/>
      <c r="N12380" s="1"/>
    </row>
    <row r="12386" spans="14:15" x14ac:dyDescent="0.3">
      <c r="O12386" s="1"/>
    </row>
    <row r="12394" spans="14:15" x14ac:dyDescent="0.3">
      <c r="N12394" s="1"/>
    </row>
    <row r="12411" spans="15:15" x14ac:dyDescent="0.3">
      <c r="O12411" s="1"/>
    </row>
    <row r="12443" spans="14:14" x14ac:dyDescent="0.3">
      <c r="N12443" s="1"/>
    </row>
    <row r="12450" spans="13:16" x14ac:dyDescent="0.3">
      <c r="N12450" s="1"/>
      <c r="O12450" s="1"/>
    </row>
    <row r="12462" spans="13:16" x14ac:dyDescent="0.3">
      <c r="O12462" s="1"/>
    </row>
    <row r="12464" spans="13:16" x14ac:dyDescent="0.3">
      <c r="M12464" s="1"/>
      <c r="P12464" s="1"/>
    </row>
    <row r="12472" spans="14:14" x14ac:dyDescent="0.3">
      <c r="N12472" s="1"/>
    </row>
    <row r="12485" spans="13:16" x14ac:dyDescent="0.3">
      <c r="M12485" s="1"/>
      <c r="O12485" s="1"/>
      <c r="P12485" s="1"/>
    </row>
    <row r="12487" spans="13:16" x14ac:dyDescent="0.3">
      <c r="M12487" s="1"/>
      <c r="O12487" s="1"/>
      <c r="P12487" s="1"/>
    </row>
    <row r="12493" spans="13:16" x14ac:dyDescent="0.3">
      <c r="M12493" s="1"/>
      <c r="P12493" s="1"/>
    </row>
    <row r="12498" spans="13:16" x14ac:dyDescent="0.3">
      <c r="M12498" s="1"/>
      <c r="N12498" s="1"/>
      <c r="P12498" s="1"/>
    </row>
    <row r="12499" spans="13:16" x14ac:dyDescent="0.3">
      <c r="M12499" s="1"/>
      <c r="N12499" s="1"/>
    </row>
    <row r="12505" spans="13:16" x14ac:dyDescent="0.3">
      <c r="M12505" s="1"/>
      <c r="N12505" s="1"/>
      <c r="P12505" s="1"/>
    </row>
    <row r="12510" spans="13:16" x14ac:dyDescent="0.3">
      <c r="N12510" s="1"/>
      <c r="P12510" s="1"/>
    </row>
    <row r="12521" spans="15:15" x14ac:dyDescent="0.3">
      <c r="O12521" s="1"/>
    </row>
    <row r="12536" spans="15:16" x14ac:dyDescent="0.3">
      <c r="O12536" s="1"/>
    </row>
    <row r="12539" spans="15:16" x14ac:dyDescent="0.3">
      <c r="O12539" s="1"/>
      <c r="P12539" s="1"/>
    </row>
    <row r="12552" spans="13:13" x14ac:dyDescent="0.3">
      <c r="M12552" s="1"/>
    </row>
    <row r="12559" spans="13:13" x14ac:dyDescent="0.3">
      <c r="M12559" s="1"/>
    </row>
    <row r="12570" spans="14:14" x14ac:dyDescent="0.3">
      <c r="N12570" s="1"/>
    </row>
    <row r="12582" spans="13:15" x14ac:dyDescent="0.3">
      <c r="O12582" s="1"/>
    </row>
    <row r="12586" spans="13:15" x14ac:dyDescent="0.3">
      <c r="N12586" s="1"/>
    </row>
    <row r="12591" spans="13:15" x14ac:dyDescent="0.3">
      <c r="N12591" s="1"/>
    </row>
    <row r="12592" spans="13:15" x14ac:dyDescent="0.3">
      <c r="M12592" s="1"/>
    </row>
    <row r="12598" spans="13:16" x14ac:dyDescent="0.3">
      <c r="N12598" s="1"/>
    </row>
    <row r="12599" spans="13:16" x14ac:dyDescent="0.3">
      <c r="M12599" s="1"/>
      <c r="O12599" s="1"/>
      <c r="P12599" s="1"/>
    </row>
    <row r="12610" spans="13:16" x14ac:dyDescent="0.3">
      <c r="M12610" s="1"/>
    </row>
    <row r="12614" spans="13:16" x14ac:dyDescent="0.3">
      <c r="M12614" s="1"/>
    </row>
    <row r="12616" spans="13:16" x14ac:dyDescent="0.3">
      <c r="O12616" s="1"/>
      <c r="P12616" s="1"/>
    </row>
    <row r="12621" spans="13:16" x14ac:dyDescent="0.3">
      <c r="O12621" s="1"/>
    </row>
    <row r="12622" spans="13:16" x14ac:dyDescent="0.3">
      <c r="O12622" s="1"/>
    </row>
    <row r="12629" spans="13:16" x14ac:dyDescent="0.3">
      <c r="N12629" s="1"/>
    </row>
    <row r="12636" spans="13:16" x14ac:dyDescent="0.3">
      <c r="M12636" s="1"/>
      <c r="N12636" s="1"/>
      <c r="O12636" s="1"/>
      <c r="P12636" s="1"/>
    </row>
    <row r="12643" spans="13:16" x14ac:dyDescent="0.3">
      <c r="O12643" s="1"/>
    </row>
    <row r="12645" spans="13:16" x14ac:dyDescent="0.3">
      <c r="M12645" s="1"/>
      <c r="N12645" s="1"/>
      <c r="O12645" s="1"/>
      <c r="P12645" s="1"/>
    </row>
    <row r="12652" spans="13:16" x14ac:dyDescent="0.3">
      <c r="M12652" s="1"/>
      <c r="O12652" s="1"/>
    </row>
    <row r="12673" spans="13:16" x14ac:dyDescent="0.3">
      <c r="O12673" s="1"/>
    </row>
    <row r="12676" spans="13:16" x14ac:dyDescent="0.3">
      <c r="M12676" s="1"/>
    </row>
    <row r="12680" spans="13:16" x14ac:dyDescent="0.3">
      <c r="M12680" s="1"/>
    </row>
    <row r="12684" spans="13:16" x14ac:dyDescent="0.3">
      <c r="N12684" s="1"/>
    </row>
    <row r="12686" spans="13:16" x14ac:dyDescent="0.3">
      <c r="O12686" s="1"/>
      <c r="P12686" s="1"/>
    </row>
    <row r="12696" spans="15:16" x14ac:dyDescent="0.3">
      <c r="O12696" s="1"/>
      <c r="P12696" s="1"/>
    </row>
    <row r="12698" spans="15:16" x14ac:dyDescent="0.3">
      <c r="O12698" s="1"/>
    </row>
    <row r="12719" spans="13:15" x14ac:dyDescent="0.3">
      <c r="M12719" s="1"/>
      <c r="N12719" s="1"/>
      <c r="O12719" s="1"/>
    </row>
    <row r="12741" spans="13:15" x14ac:dyDescent="0.3">
      <c r="M12741" s="1"/>
    </row>
    <row r="12743" spans="13:15" x14ac:dyDescent="0.3">
      <c r="N12743" s="1"/>
      <c r="O12743" s="1"/>
    </row>
    <row r="12748" spans="13:15" x14ac:dyDescent="0.3">
      <c r="N12748" s="1"/>
    </row>
    <row r="12772" spans="15:15" x14ac:dyDescent="0.3">
      <c r="O12772" s="1"/>
    </row>
    <row r="12799" spans="14:14" x14ac:dyDescent="0.3">
      <c r="N12799" s="1"/>
    </row>
    <row r="12808" spans="13:16" x14ac:dyDescent="0.3">
      <c r="M12808" s="1"/>
      <c r="O12808" s="1"/>
      <c r="P12808" s="1"/>
    </row>
    <row r="12819" spans="13:16" x14ac:dyDescent="0.3">
      <c r="N12819" s="1"/>
    </row>
    <row r="12824" spans="13:16" x14ac:dyDescent="0.3">
      <c r="O12824" s="1"/>
    </row>
    <row r="12825" spans="13:16" x14ac:dyDescent="0.3">
      <c r="M12825" s="1"/>
      <c r="N12825" s="1"/>
      <c r="O12825" s="1"/>
    </row>
    <row r="12827" spans="13:16" x14ac:dyDescent="0.3">
      <c r="M12827" s="1"/>
      <c r="O12827" s="1"/>
      <c r="P12827" s="1"/>
    </row>
    <row r="12830" spans="13:16" x14ac:dyDescent="0.3">
      <c r="M12830" s="1"/>
      <c r="N12830" s="1"/>
    </row>
    <row r="12832" spans="13:16" x14ac:dyDescent="0.3">
      <c r="N12832" s="1"/>
    </row>
    <row r="12833" spans="14:14" x14ac:dyDescent="0.3">
      <c r="N12833" s="1"/>
    </row>
    <row r="12851" spans="13:16" x14ac:dyDescent="0.3">
      <c r="O12851" s="1"/>
      <c r="P12851" s="1"/>
    </row>
    <row r="12854" spans="13:16" x14ac:dyDescent="0.3">
      <c r="N12854" s="1"/>
    </row>
    <row r="12858" spans="13:16" x14ac:dyDescent="0.3">
      <c r="N12858" s="1"/>
    </row>
    <row r="12862" spans="13:16" x14ac:dyDescent="0.3">
      <c r="M12862" s="1"/>
      <c r="O12862" s="1"/>
      <c r="P12862" s="1"/>
    </row>
    <row r="12863" spans="13:16" x14ac:dyDescent="0.3">
      <c r="M12863" s="1"/>
      <c r="P12863" s="1"/>
    </row>
    <row r="12889" spans="13:13" x14ac:dyDescent="0.3">
      <c r="M12889" s="1"/>
    </row>
    <row r="12899" spans="13:16" x14ac:dyDescent="0.3">
      <c r="M12899" s="1"/>
    </row>
    <row r="12904" spans="13:16" x14ac:dyDescent="0.3">
      <c r="O12904" s="1"/>
    </row>
    <row r="12905" spans="13:16" x14ac:dyDescent="0.3">
      <c r="O12905" s="1"/>
      <c r="P12905" s="1"/>
    </row>
    <row r="12933" spans="13:16" x14ac:dyDescent="0.3">
      <c r="N12933" s="1"/>
    </row>
    <row r="12939" spans="13:16" x14ac:dyDescent="0.3">
      <c r="M12939" s="1"/>
    </row>
    <row r="12942" spans="13:16" x14ac:dyDescent="0.3">
      <c r="M12942" s="1"/>
    </row>
    <row r="12943" spans="13:16" x14ac:dyDescent="0.3">
      <c r="M12943" s="1"/>
      <c r="N12943" s="1"/>
      <c r="O12943" s="1"/>
      <c r="P12943" s="1"/>
    </row>
    <row r="12950" spans="13:16" x14ac:dyDescent="0.3">
      <c r="M12950" s="1"/>
      <c r="N12950" s="1"/>
    </row>
    <row r="12956" spans="13:16" x14ac:dyDescent="0.3">
      <c r="O12956" s="1"/>
      <c r="P12956" s="1"/>
    </row>
    <row r="12958" spans="13:16" x14ac:dyDescent="0.3">
      <c r="N12958" s="1"/>
    </row>
    <row r="12971" spans="13:15" x14ac:dyDescent="0.3">
      <c r="M12971" s="1"/>
      <c r="N12971" s="1"/>
      <c r="O12971" s="1"/>
    </row>
    <row r="12978" spans="14:16" x14ac:dyDescent="0.3">
      <c r="N12978" s="1"/>
      <c r="P12978" s="1"/>
    </row>
    <row r="12986" spans="14:16" x14ac:dyDescent="0.3">
      <c r="N12986" s="1"/>
    </row>
    <row r="13002" spans="13:16" x14ac:dyDescent="0.3">
      <c r="M13002" s="1"/>
      <c r="N13002" s="1"/>
      <c r="O13002" s="1"/>
      <c r="P13002" s="1"/>
    </row>
    <row r="13008" spans="13:16" x14ac:dyDescent="0.3">
      <c r="M13008" s="1"/>
      <c r="N13008" s="1"/>
      <c r="O13008" s="1"/>
      <c r="P13008" s="1"/>
    </row>
    <row r="13018" spans="13:15" x14ac:dyDescent="0.3">
      <c r="M13018" s="1"/>
      <c r="N13018" s="1"/>
      <c r="O13018" s="1"/>
    </row>
    <row r="13021" spans="13:15" x14ac:dyDescent="0.3">
      <c r="O13021" s="1"/>
    </row>
    <row r="13022" spans="13:15" x14ac:dyDescent="0.3">
      <c r="N13022" s="1"/>
    </row>
    <row r="13032" spans="13:14" x14ac:dyDescent="0.3">
      <c r="M13032" s="1"/>
      <c r="N13032" s="1"/>
    </row>
    <row r="13047" spans="13:16" x14ac:dyDescent="0.3">
      <c r="M13047" s="1"/>
      <c r="N13047" s="1"/>
      <c r="O13047" s="1"/>
      <c r="P13047" s="1"/>
    </row>
    <row r="13084" spans="13:16" x14ac:dyDescent="0.3">
      <c r="M13084" s="1"/>
      <c r="N13084" s="1"/>
      <c r="P13084" s="1"/>
    </row>
    <row r="13098" spans="13:13" x14ac:dyDescent="0.3">
      <c r="M13098" s="1"/>
    </row>
    <row r="13101" spans="13:13" x14ac:dyDescent="0.3">
      <c r="M13101" s="1"/>
    </row>
    <row r="13107" spans="13:14" x14ac:dyDescent="0.3">
      <c r="M13107" s="1"/>
    </row>
    <row r="13109" spans="13:14" x14ac:dyDescent="0.3">
      <c r="N13109" s="1"/>
    </row>
    <row r="13114" spans="13:14" x14ac:dyDescent="0.3">
      <c r="N13114" s="1"/>
    </row>
    <row r="13121" spans="13:16" x14ac:dyDescent="0.3">
      <c r="M13121" s="1"/>
      <c r="O13121" s="1"/>
      <c r="P13121" s="1"/>
    </row>
    <row r="13124" spans="13:16" x14ac:dyDescent="0.3">
      <c r="O13124" s="1"/>
    </row>
    <row r="13125" spans="13:16" x14ac:dyDescent="0.3">
      <c r="M13125" s="1"/>
      <c r="P13125" s="1"/>
    </row>
    <row r="13130" spans="13:16" x14ac:dyDescent="0.3">
      <c r="M13130" s="1"/>
    </row>
    <row r="13133" spans="13:16" x14ac:dyDescent="0.3">
      <c r="O13133" s="1"/>
    </row>
    <row r="13148" spans="13:16" x14ac:dyDescent="0.3">
      <c r="M13148" s="1"/>
      <c r="N13148" s="1"/>
      <c r="P13148" s="1"/>
    </row>
    <row r="13153" spans="14:16" x14ac:dyDescent="0.3">
      <c r="N13153" s="1"/>
      <c r="O13153" s="1"/>
      <c r="P13153" s="1"/>
    </row>
    <row r="13160" spans="14:16" x14ac:dyDescent="0.3">
      <c r="O13160" s="1"/>
    </row>
    <row r="13161" spans="14:16" x14ac:dyDescent="0.3">
      <c r="N13161" s="1"/>
    </row>
    <row r="13173" spans="13:15" x14ac:dyDescent="0.3">
      <c r="M13173" s="1"/>
      <c r="N13173" s="1"/>
    </row>
    <row r="13177" spans="13:15" x14ac:dyDescent="0.3">
      <c r="N13177" s="1"/>
    </row>
    <row r="13183" spans="13:15" x14ac:dyDescent="0.3">
      <c r="O13183" s="1"/>
    </row>
    <row r="13186" spans="13:16" x14ac:dyDescent="0.3">
      <c r="M13186" s="1"/>
      <c r="N13186" s="1"/>
      <c r="O13186" s="1"/>
      <c r="P13186" s="1"/>
    </row>
    <row r="13226" spans="14:16" x14ac:dyDescent="0.3">
      <c r="N13226" s="1"/>
    </row>
    <row r="13227" spans="14:16" x14ac:dyDescent="0.3">
      <c r="N13227" s="1"/>
    </row>
    <row r="13230" spans="14:16" x14ac:dyDescent="0.3">
      <c r="O13230" s="1"/>
      <c r="P13230" s="1"/>
    </row>
    <row r="13250" spans="13:13" x14ac:dyDescent="0.3">
      <c r="M13250" s="1"/>
    </row>
    <row r="13265" spans="13:15" x14ac:dyDescent="0.3">
      <c r="M13265" s="1"/>
    </row>
    <row r="13271" spans="13:15" x14ac:dyDescent="0.3">
      <c r="M13271" s="1"/>
      <c r="O13271" s="1"/>
    </row>
    <row r="13273" spans="13:15" x14ac:dyDescent="0.3">
      <c r="O13273" s="1"/>
    </row>
    <row r="13288" spans="13:16" x14ac:dyDescent="0.3">
      <c r="M13288" s="1"/>
    </row>
    <row r="13290" spans="13:16" x14ac:dyDescent="0.3">
      <c r="N13290" s="1"/>
      <c r="O13290" s="1"/>
      <c r="P13290" s="1"/>
    </row>
    <row r="13291" spans="13:16" x14ac:dyDescent="0.3">
      <c r="M13291" s="1"/>
      <c r="O13291" s="1"/>
      <c r="P13291" s="1"/>
    </row>
    <row r="13294" spans="13:16" x14ac:dyDescent="0.3">
      <c r="N13294" s="1"/>
    </row>
    <row r="13296" spans="13:16" x14ac:dyDescent="0.3">
      <c r="O13296" s="1"/>
    </row>
    <row r="13298" spans="13:16" x14ac:dyDescent="0.3">
      <c r="M13298" s="1"/>
      <c r="N13298" s="1"/>
      <c r="P13298" s="1"/>
    </row>
    <row r="13299" spans="13:16" x14ac:dyDescent="0.3">
      <c r="O13299" s="1"/>
    </row>
    <row r="13320" spans="13:16" x14ac:dyDescent="0.3">
      <c r="M13320" s="1"/>
      <c r="P13320" s="1"/>
    </row>
    <row r="13321" spans="13:16" x14ac:dyDescent="0.3">
      <c r="P13321" s="1"/>
    </row>
    <row r="13322" spans="13:16" x14ac:dyDescent="0.3">
      <c r="O13322" s="1"/>
    </row>
    <row r="13325" spans="13:16" x14ac:dyDescent="0.3">
      <c r="M13325" s="1"/>
    </row>
    <row r="13330" spans="13:15" x14ac:dyDescent="0.3">
      <c r="M13330" s="1"/>
      <c r="O13330" s="1"/>
    </row>
    <row r="13351" spans="14:15" x14ac:dyDescent="0.3">
      <c r="O13351" s="1"/>
    </row>
    <row r="13357" spans="14:15" x14ac:dyDescent="0.3">
      <c r="N13357" s="1"/>
    </row>
    <row r="13361" spans="13:16" x14ac:dyDescent="0.3">
      <c r="M13361" s="1"/>
    </row>
    <row r="13369" spans="13:16" x14ac:dyDescent="0.3">
      <c r="M13369" s="1"/>
      <c r="N13369" s="1"/>
      <c r="O13369" s="1"/>
    </row>
    <row r="13374" spans="13:16" x14ac:dyDescent="0.3">
      <c r="P13374" s="1"/>
    </row>
    <row r="13382" spans="13:15" x14ac:dyDescent="0.3">
      <c r="M13382" s="1"/>
    </row>
    <row r="13391" spans="13:15" x14ac:dyDescent="0.3">
      <c r="N13391" s="1"/>
      <c r="O13391" s="1"/>
    </row>
    <row r="13393" spans="13:13" x14ac:dyDescent="0.3">
      <c r="M13393" s="1"/>
    </row>
    <row r="13418" spans="13:16" x14ac:dyDescent="0.3">
      <c r="M13418" s="1"/>
      <c r="N13418" s="1"/>
      <c r="O13418" s="1"/>
      <c r="P13418" s="1"/>
    </row>
    <row r="13419" spans="13:16" x14ac:dyDescent="0.3">
      <c r="M13419" s="1"/>
      <c r="O13419" s="1"/>
      <c r="P13419" s="1"/>
    </row>
    <row r="13420" spans="13:16" x14ac:dyDescent="0.3">
      <c r="N13420" s="1"/>
      <c r="O13420" s="1"/>
      <c r="P13420" s="1"/>
    </row>
    <row r="13423" spans="13:16" x14ac:dyDescent="0.3">
      <c r="M13423" s="1"/>
      <c r="O13423" s="1"/>
    </row>
    <row r="13424" spans="13:16" x14ac:dyDescent="0.3">
      <c r="O13424" s="1"/>
    </row>
    <row r="13434" spans="14:15" x14ac:dyDescent="0.3">
      <c r="N13434" s="1"/>
      <c r="O13434" s="1"/>
    </row>
    <row r="13442" spans="13:16" x14ac:dyDescent="0.3">
      <c r="M13442" s="1"/>
      <c r="N13442" s="1"/>
      <c r="O13442" s="1"/>
      <c r="P13442" s="1"/>
    </row>
    <row r="13460" spans="13:15" x14ac:dyDescent="0.3">
      <c r="O13460" s="1"/>
    </row>
    <row r="13464" spans="13:15" x14ac:dyDescent="0.3">
      <c r="M13464" s="1"/>
      <c r="N13464" s="1"/>
    </row>
    <row r="13481" spans="13:14" x14ac:dyDescent="0.3">
      <c r="N13481" s="1"/>
    </row>
    <row r="13483" spans="13:14" x14ac:dyDescent="0.3">
      <c r="M13483" s="1"/>
      <c r="N13483" s="1"/>
    </row>
    <row r="13489" spans="13:15" x14ac:dyDescent="0.3">
      <c r="O13489" s="1"/>
    </row>
    <row r="13500" spans="13:15" x14ac:dyDescent="0.3">
      <c r="M13500" s="1"/>
    </row>
    <row r="13502" spans="13:15" x14ac:dyDescent="0.3">
      <c r="N13502" s="1"/>
    </row>
    <row r="13510" spans="13:16" x14ac:dyDescent="0.3">
      <c r="N13510" s="1"/>
    </row>
    <row r="13514" spans="13:16" x14ac:dyDescent="0.3">
      <c r="M13514" s="1"/>
    </row>
    <row r="13517" spans="13:16" x14ac:dyDescent="0.3">
      <c r="N13517" s="1"/>
      <c r="O13517" s="1"/>
    </row>
    <row r="13519" spans="13:16" x14ac:dyDescent="0.3">
      <c r="M13519" s="1"/>
      <c r="N13519" s="1"/>
      <c r="P13519" s="1"/>
    </row>
    <row r="13521" spans="13:16" x14ac:dyDescent="0.3">
      <c r="N13521" s="1"/>
      <c r="O13521" s="1"/>
      <c r="P13521" s="1"/>
    </row>
    <row r="13524" spans="13:16" x14ac:dyDescent="0.3">
      <c r="M13524" s="1"/>
      <c r="N13524" s="1"/>
      <c r="O13524" s="1"/>
      <c r="P13524" s="1"/>
    </row>
    <row r="13536" spans="13:16" x14ac:dyDescent="0.3">
      <c r="M13536" s="1"/>
    </row>
    <row r="13539" spans="13:16" x14ac:dyDescent="0.3">
      <c r="M13539" s="1"/>
    </row>
    <row r="13545" spans="13:16" x14ac:dyDescent="0.3">
      <c r="M13545" s="1"/>
      <c r="O13545" s="1"/>
      <c r="P13545" s="1"/>
    </row>
    <row r="13581" spans="15:15" x14ac:dyDescent="0.3">
      <c r="O13581" s="1"/>
    </row>
    <row r="13582" spans="15:15" x14ac:dyDescent="0.3">
      <c r="O13582" s="1"/>
    </row>
    <row r="13594" spans="13:14" x14ac:dyDescent="0.3">
      <c r="M13594" s="1"/>
    </row>
    <row r="13600" spans="13:14" x14ac:dyDescent="0.3">
      <c r="N13600" s="1"/>
    </row>
    <row r="13603" spans="13:15" x14ac:dyDescent="0.3">
      <c r="M13603" s="1"/>
    </row>
    <row r="13604" spans="13:15" x14ac:dyDescent="0.3">
      <c r="O13604" s="1"/>
    </row>
    <row r="13607" spans="13:15" x14ac:dyDescent="0.3">
      <c r="O13607" s="1"/>
    </row>
    <row r="13621" spans="13:16" x14ac:dyDescent="0.3">
      <c r="M13621" s="1"/>
      <c r="N13621" s="1"/>
      <c r="O13621" s="1"/>
      <c r="P13621" s="1"/>
    </row>
    <row r="13626" spans="13:16" x14ac:dyDescent="0.3">
      <c r="M13626" s="1"/>
      <c r="N13626" s="1"/>
      <c r="O13626" s="1"/>
      <c r="P13626" s="1"/>
    </row>
    <row r="13637" spans="14:16" x14ac:dyDescent="0.3">
      <c r="N13637" s="1"/>
      <c r="P13637" s="1"/>
    </row>
    <row r="13651" spans="13:14" x14ac:dyDescent="0.3">
      <c r="M13651" s="1"/>
    </row>
    <row r="13658" spans="13:14" x14ac:dyDescent="0.3">
      <c r="N13658" s="1"/>
    </row>
    <row r="13661" spans="13:14" x14ac:dyDescent="0.3">
      <c r="N13661" s="1"/>
    </row>
    <row r="13665" spans="13:16" x14ac:dyDescent="0.3">
      <c r="M13665" s="1"/>
      <c r="N13665" s="1"/>
      <c r="O13665" s="1"/>
      <c r="P13665" s="1"/>
    </row>
    <row r="13666" spans="13:16" x14ac:dyDescent="0.3">
      <c r="N13666" s="1"/>
    </row>
    <row r="13670" spans="13:16" x14ac:dyDescent="0.3">
      <c r="N13670" s="1"/>
      <c r="O13670" s="1"/>
      <c r="P13670" s="1"/>
    </row>
    <row r="13693" spans="13:16" x14ac:dyDescent="0.3">
      <c r="N13693" s="1"/>
      <c r="O13693" s="1"/>
      <c r="P13693" s="1"/>
    </row>
    <row r="13694" spans="13:16" x14ac:dyDescent="0.3">
      <c r="M13694" s="1"/>
      <c r="N13694" s="1"/>
      <c r="P13694" s="1"/>
    </row>
    <row r="13701" spans="14:15" x14ac:dyDescent="0.3">
      <c r="N13701" s="1"/>
      <c r="O13701" s="1"/>
    </row>
    <row r="13713" spans="14:16" x14ac:dyDescent="0.3">
      <c r="N13713" s="1"/>
      <c r="O13713" s="1"/>
      <c r="P13713" s="1"/>
    </row>
    <row r="13725" spans="14:16" x14ac:dyDescent="0.3">
      <c r="O13725" s="1"/>
      <c r="P13725" s="1"/>
    </row>
    <row r="13738" spans="13:15" x14ac:dyDescent="0.3">
      <c r="O13738" s="1"/>
    </row>
    <row r="13741" spans="13:15" x14ac:dyDescent="0.3">
      <c r="M13741" s="1"/>
      <c r="N13741" s="1"/>
    </row>
    <row r="13745" spans="14:16" x14ac:dyDescent="0.3">
      <c r="O13745" s="1"/>
    </row>
    <row r="13746" spans="14:16" x14ac:dyDescent="0.3">
      <c r="N13746" s="1"/>
      <c r="O13746" s="1"/>
      <c r="P13746" s="1"/>
    </row>
    <row r="13781" spans="13:15" x14ac:dyDescent="0.3">
      <c r="O13781" s="1"/>
    </row>
    <row r="13783" spans="13:15" x14ac:dyDescent="0.3">
      <c r="O13783" s="1"/>
    </row>
    <row r="13790" spans="13:15" x14ac:dyDescent="0.3">
      <c r="M13790" s="1"/>
      <c r="N13790" s="1"/>
      <c r="O13790" s="1"/>
    </row>
    <row r="13792" spans="13:15" x14ac:dyDescent="0.3">
      <c r="N13792" s="1"/>
    </row>
    <row r="13801" spans="13:13" x14ac:dyDescent="0.3">
      <c r="M13801" s="1"/>
    </row>
    <row r="13802" spans="13:13" x14ac:dyDescent="0.3">
      <c r="M13802" s="1"/>
    </row>
    <row r="13814" spans="14:14" x14ac:dyDescent="0.3">
      <c r="N13814" s="1"/>
    </row>
    <row r="13834" spans="13:16" x14ac:dyDescent="0.3">
      <c r="M13834" s="1"/>
      <c r="N13834" s="1"/>
      <c r="O13834" s="1"/>
      <c r="P13834" s="1"/>
    </row>
    <row r="13838" spans="13:16" x14ac:dyDescent="0.3">
      <c r="M13838" s="1"/>
    </row>
    <row r="13841" spans="13:16" x14ac:dyDescent="0.3">
      <c r="P13841" s="1"/>
    </row>
    <row r="13847" spans="13:16" x14ac:dyDescent="0.3">
      <c r="N13847" s="1"/>
    </row>
    <row r="13852" spans="13:16" x14ac:dyDescent="0.3">
      <c r="M13852" s="1"/>
    </row>
    <row r="13860" spans="14:16" x14ac:dyDescent="0.3">
      <c r="N13860" s="1"/>
    </row>
    <row r="13862" spans="14:16" x14ac:dyDescent="0.3">
      <c r="N13862" s="1"/>
      <c r="O13862" s="1"/>
      <c r="P13862" s="1"/>
    </row>
    <row r="13888" spans="14:14" x14ac:dyDescent="0.3">
      <c r="N13888" s="1"/>
    </row>
    <row r="13895" spans="14:15" x14ac:dyDescent="0.3">
      <c r="N13895" s="1"/>
      <c r="O13895" s="1"/>
    </row>
    <row r="13906" spans="14:16" x14ac:dyDescent="0.3">
      <c r="N13906" s="1"/>
      <c r="P13906" s="1"/>
    </row>
    <row r="13919" spans="14:16" x14ac:dyDescent="0.3">
      <c r="N13919" s="1"/>
    </row>
    <row r="13921" spans="13:16" x14ac:dyDescent="0.3">
      <c r="N13921" s="1"/>
      <c r="O13921" s="1"/>
    </row>
    <row r="13925" spans="13:16" x14ac:dyDescent="0.3">
      <c r="O13925" s="1"/>
      <c r="P13925" s="1"/>
    </row>
    <row r="13928" spans="13:16" x14ac:dyDescent="0.3">
      <c r="M13928" s="1"/>
      <c r="P13928" s="1"/>
    </row>
    <row r="13929" spans="13:16" x14ac:dyDescent="0.3">
      <c r="N13929" s="1"/>
    </row>
    <row r="13935" spans="13:16" x14ac:dyDescent="0.3">
      <c r="M13935" s="1"/>
      <c r="N13935" s="1"/>
    </row>
    <row r="13951" spans="16:16" x14ac:dyDescent="0.3">
      <c r="P13951" s="1"/>
    </row>
    <row r="13975" spans="15:15" x14ac:dyDescent="0.3">
      <c r="O13975" s="1"/>
    </row>
    <row r="13985" spans="13:16" x14ac:dyDescent="0.3">
      <c r="M13985" s="1"/>
    </row>
    <row r="13986" spans="13:16" x14ac:dyDescent="0.3">
      <c r="M13986" s="1"/>
      <c r="P13986" s="1"/>
    </row>
    <row r="13989" spans="13:16" x14ac:dyDescent="0.3">
      <c r="N13989" s="1"/>
      <c r="O13989" s="1"/>
    </row>
    <row r="13995" spans="13:16" x14ac:dyDescent="0.3">
      <c r="N13995" s="1"/>
    </row>
    <row r="13999" spans="13:16" x14ac:dyDescent="0.3">
      <c r="N13999" s="1"/>
    </row>
    <row r="14001" spans="13:16" x14ac:dyDescent="0.3">
      <c r="N14001" s="1"/>
      <c r="P14001" s="1"/>
    </row>
    <row r="14002" spans="13:16" x14ac:dyDescent="0.3">
      <c r="O14002" s="1"/>
      <c r="P14002" s="1"/>
    </row>
    <row r="14005" spans="13:16" x14ac:dyDescent="0.3">
      <c r="O14005" s="1"/>
    </row>
    <row r="14016" spans="13:16" x14ac:dyDescent="0.3">
      <c r="M14016" s="1"/>
      <c r="N14016" s="1"/>
      <c r="O14016" s="1"/>
      <c r="P14016" s="1"/>
    </row>
    <row r="14018" spans="13:15" x14ac:dyDescent="0.3">
      <c r="M14018" s="1"/>
      <c r="N14018" s="1"/>
      <c r="O14018" s="1"/>
    </row>
    <row r="14019" spans="13:15" x14ac:dyDescent="0.3">
      <c r="M14019" s="1"/>
      <c r="N14019" s="1"/>
    </row>
    <row r="14028" spans="13:15" x14ac:dyDescent="0.3">
      <c r="O14028" s="1"/>
    </row>
    <row r="14037" spans="13:15" x14ac:dyDescent="0.3">
      <c r="M14037" s="1"/>
      <c r="N14037" s="1"/>
      <c r="O14037" s="1"/>
    </row>
    <row r="14048" spans="13:15" x14ac:dyDescent="0.3">
      <c r="M14048" s="1"/>
      <c r="N14048" s="1"/>
    </row>
    <row r="14052" spans="13:16" x14ac:dyDescent="0.3">
      <c r="M14052" s="1"/>
    </row>
    <row r="14055" spans="13:16" x14ac:dyDescent="0.3">
      <c r="M14055" s="1"/>
      <c r="P14055" s="1"/>
    </row>
    <row r="14083" spans="13:16" x14ac:dyDescent="0.3">
      <c r="M14083" s="1"/>
      <c r="P14083" s="1"/>
    </row>
    <row r="14086" spans="13:16" x14ac:dyDescent="0.3">
      <c r="M14086" s="1"/>
      <c r="O14086" s="1"/>
      <c r="P14086" s="1"/>
    </row>
    <row r="14090" spans="13:16" x14ac:dyDescent="0.3">
      <c r="M14090" s="1"/>
      <c r="N14090" s="1"/>
      <c r="O14090" s="1"/>
    </row>
    <row r="14095" spans="13:16" x14ac:dyDescent="0.3">
      <c r="O14095" s="1"/>
    </row>
    <row r="14096" spans="13:16" x14ac:dyDescent="0.3">
      <c r="M14096" s="1"/>
      <c r="N14096" s="1"/>
      <c r="O14096" s="1"/>
      <c r="P14096" s="1"/>
    </row>
    <row r="14102" spans="14:16" x14ac:dyDescent="0.3">
      <c r="N14102" s="1"/>
    </row>
    <row r="14109" spans="14:16" x14ac:dyDescent="0.3">
      <c r="O14109" s="1"/>
      <c r="P14109" s="1"/>
    </row>
    <row r="14132" spans="13:16" x14ac:dyDescent="0.3">
      <c r="M14132" s="1"/>
      <c r="N14132" s="1"/>
      <c r="O14132" s="1"/>
      <c r="P14132" s="1"/>
    </row>
    <row r="14144" spans="13:16" x14ac:dyDescent="0.3">
      <c r="M14144" s="1"/>
      <c r="N14144" s="1"/>
    </row>
    <row r="14148" spans="13:13" x14ac:dyDescent="0.3">
      <c r="M14148" s="1"/>
    </row>
    <row r="14171" spans="13:14" x14ac:dyDescent="0.3">
      <c r="M14171" s="1"/>
      <c r="N14171" s="1"/>
    </row>
    <row r="14180" spans="14:15" x14ac:dyDescent="0.3">
      <c r="O14180" s="1"/>
    </row>
    <row r="14182" spans="14:15" x14ac:dyDescent="0.3">
      <c r="N14182" s="1"/>
    </row>
    <row r="14183" spans="14:15" x14ac:dyDescent="0.3">
      <c r="O14183" s="1"/>
    </row>
    <row r="14186" spans="14:15" x14ac:dyDescent="0.3">
      <c r="O14186" s="1"/>
    </row>
    <row r="14193" spans="13:16" x14ac:dyDescent="0.3">
      <c r="O14193" s="1"/>
    </row>
    <row r="14194" spans="13:16" x14ac:dyDescent="0.3">
      <c r="M14194" s="1"/>
      <c r="O14194" s="1"/>
    </row>
    <row r="14197" spans="13:16" x14ac:dyDescent="0.3">
      <c r="O14197" s="1"/>
    </row>
    <row r="14206" spans="13:16" x14ac:dyDescent="0.3">
      <c r="O14206" s="1"/>
    </row>
    <row r="14208" spans="13:16" x14ac:dyDescent="0.3">
      <c r="M14208" s="1"/>
      <c r="N14208" s="1"/>
      <c r="O14208" s="1"/>
      <c r="P14208" s="1"/>
    </row>
    <row r="14209" spans="14:14" x14ac:dyDescent="0.3">
      <c r="N14209" s="1"/>
    </row>
    <row r="14224" spans="14:14" x14ac:dyDescent="0.3">
      <c r="N14224" s="1"/>
    </row>
    <row r="14242" spans="13:15" x14ac:dyDescent="0.3">
      <c r="O14242" s="1"/>
    </row>
    <row r="14247" spans="13:15" x14ac:dyDescent="0.3">
      <c r="M14247" s="1"/>
    </row>
    <row r="14249" spans="13:15" x14ac:dyDescent="0.3">
      <c r="M14249" s="1"/>
      <c r="N14249" s="1"/>
    </row>
    <row r="14250" spans="13:15" x14ac:dyDescent="0.3">
      <c r="M14250" s="1"/>
      <c r="N14250" s="1"/>
    </row>
    <row r="14254" spans="13:15" x14ac:dyDescent="0.3">
      <c r="M14254" s="1"/>
    </row>
    <row r="14261" spans="13:15" x14ac:dyDescent="0.3">
      <c r="M14261" s="1"/>
      <c r="O14261" s="1"/>
    </row>
    <row r="14268" spans="13:15" x14ac:dyDescent="0.3">
      <c r="M14268" s="1"/>
      <c r="N14268" s="1"/>
    </row>
    <row r="14276" spans="13:16" x14ac:dyDescent="0.3">
      <c r="N14276" s="1"/>
    </row>
    <row r="14279" spans="13:16" x14ac:dyDescent="0.3">
      <c r="M14279" s="1"/>
      <c r="P14279" s="1"/>
    </row>
    <row r="14282" spans="13:16" x14ac:dyDescent="0.3">
      <c r="N14282" s="1"/>
      <c r="O14282" s="1"/>
    </row>
    <row r="14292" spans="13:16" x14ac:dyDescent="0.3">
      <c r="O14292" s="1"/>
    </row>
    <row r="14298" spans="13:16" x14ac:dyDescent="0.3">
      <c r="M14298" s="1"/>
      <c r="N14298" s="1"/>
      <c r="O14298" s="1"/>
      <c r="P14298" s="1"/>
    </row>
    <row r="14302" spans="13:16" x14ac:dyDescent="0.3">
      <c r="O14302" s="1"/>
    </row>
    <row r="14309" spans="14:15" x14ac:dyDescent="0.3">
      <c r="N14309" s="1"/>
    </row>
    <row r="14310" spans="14:15" x14ac:dyDescent="0.3">
      <c r="O14310" s="1"/>
    </row>
    <row r="14326" spans="13:16" x14ac:dyDescent="0.3">
      <c r="N14326" s="1"/>
    </row>
    <row r="14332" spans="13:16" x14ac:dyDescent="0.3">
      <c r="M14332" s="1"/>
      <c r="O14332" s="1"/>
      <c r="P14332" s="1"/>
    </row>
    <row r="14333" spans="13:16" x14ac:dyDescent="0.3">
      <c r="O14333" s="1"/>
    </row>
    <row r="14336" spans="13:16" x14ac:dyDescent="0.3">
      <c r="M14336" s="1"/>
      <c r="N14336" s="1"/>
      <c r="O14336" s="1"/>
    </row>
    <row r="14344" spans="13:14" x14ac:dyDescent="0.3">
      <c r="M14344" s="1"/>
      <c r="N14344" s="1"/>
    </row>
    <row r="14355" spans="13:16" x14ac:dyDescent="0.3">
      <c r="M14355" s="1"/>
      <c r="N14355" s="1"/>
      <c r="O14355" s="1"/>
      <c r="P14355" s="1"/>
    </row>
    <row r="14364" spans="13:16" x14ac:dyDescent="0.3">
      <c r="M14364" s="1"/>
      <c r="O14364" s="1"/>
    </row>
    <row r="14376" spans="13:14" x14ac:dyDescent="0.3">
      <c r="M14376" s="1"/>
      <c r="N14376" s="1"/>
    </row>
    <row r="14385" spans="13:16" x14ac:dyDescent="0.3">
      <c r="O14385" s="1"/>
    </row>
    <row r="14399" spans="13:16" x14ac:dyDescent="0.3">
      <c r="M14399" s="1"/>
      <c r="O14399" s="1"/>
      <c r="P14399" s="1"/>
    </row>
    <row r="14401" spans="13:16" x14ac:dyDescent="0.3">
      <c r="M14401" s="1"/>
    </row>
    <row r="14405" spans="13:16" x14ac:dyDescent="0.3">
      <c r="M14405" s="1"/>
      <c r="P14405" s="1"/>
    </row>
    <row r="14406" spans="13:16" x14ac:dyDescent="0.3">
      <c r="M14406" s="1"/>
      <c r="N14406" s="1"/>
      <c r="P14406" s="1"/>
    </row>
    <row r="14407" spans="13:16" x14ac:dyDescent="0.3">
      <c r="O14407" s="1"/>
    </row>
    <row r="14410" spans="13:16" x14ac:dyDescent="0.3">
      <c r="M14410" s="1"/>
    </row>
    <row r="14420" spans="13:16" x14ac:dyDescent="0.3">
      <c r="O14420" s="1"/>
      <c r="P14420" s="1"/>
    </row>
    <row r="14423" spans="13:16" x14ac:dyDescent="0.3">
      <c r="M14423" s="1"/>
    </row>
    <row r="14429" spans="13:16" x14ac:dyDescent="0.3">
      <c r="M14429" s="1"/>
      <c r="O14429" s="1"/>
    </row>
    <row r="14430" spans="13:16" x14ac:dyDescent="0.3">
      <c r="M14430" s="1"/>
      <c r="N14430" s="1"/>
      <c r="O14430" s="1"/>
      <c r="P14430" s="1"/>
    </row>
    <row r="14436" spans="13:14" x14ac:dyDescent="0.3">
      <c r="M14436" s="1"/>
      <c r="N14436" s="1"/>
    </row>
    <row r="14455" spans="15:15" x14ac:dyDescent="0.3">
      <c r="O14455" s="1"/>
    </row>
    <row r="14476" spans="14:14" x14ac:dyDescent="0.3">
      <c r="N14476" s="1"/>
    </row>
    <row r="14489" spans="13:15" x14ac:dyDescent="0.3">
      <c r="M14489" s="1"/>
      <c r="N14489" s="1"/>
      <c r="O14489" s="1"/>
    </row>
    <row r="14490" spans="13:15" x14ac:dyDescent="0.3">
      <c r="N14490" s="1"/>
      <c r="O14490" s="1"/>
    </row>
    <row r="14494" spans="13:15" x14ac:dyDescent="0.3">
      <c r="M14494" s="1"/>
      <c r="O14494" s="1"/>
    </row>
    <row r="14500" spans="13:15" x14ac:dyDescent="0.3">
      <c r="N14500" s="1"/>
      <c r="O14500" s="1"/>
    </row>
    <row r="14505" spans="13:15" x14ac:dyDescent="0.3">
      <c r="M14505" s="1"/>
    </row>
    <row r="14509" spans="13:15" x14ac:dyDescent="0.3">
      <c r="O14509" s="1"/>
    </row>
    <row r="14517" spans="13:16" x14ac:dyDescent="0.3">
      <c r="M14517" s="1"/>
      <c r="O14517" s="1"/>
    </row>
    <row r="14527" spans="13:16" x14ac:dyDescent="0.3">
      <c r="N14527" s="1"/>
      <c r="P14527" s="1"/>
    </row>
    <row r="14532" spans="13:14" x14ac:dyDescent="0.3">
      <c r="N14532" s="1"/>
    </row>
    <row r="14539" spans="13:14" x14ac:dyDescent="0.3">
      <c r="M14539" s="1"/>
    </row>
    <row r="14545" spans="13:16" x14ac:dyDescent="0.3">
      <c r="N14545" s="1"/>
    </row>
    <row r="14546" spans="13:16" x14ac:dyDescent="0.3">
      <c r="O14546" s="1"/>
    </row>
    <row r="14552" spans="13:16" x14ac:dyDescent="0.3">
      <c r="M14552" s="1"/>
      <c r="N14552" s="1"/>
      <c r="O14552" s="1"/>
      <c r="P14552" s="1"/>
    </row>
    <row r="14555" spans="13:16" x14ac:dyDescent="0.3">
      <c r="M14555" s="1"/>
    </row>
    <row r="14556" spans="13:16" x14ac:dyDescent="0.3">
      <c r="N14556" s="1"/>
    </row>
    <row r="14558" spans="13:16" x14ac:dyDescent="0.3">
      <c r="M14558" s="1"/>
    </row>
    <row r="14561" spans="14:16" x14ac:dyDescent="0.3">
      <c r="N14561" s="1"/>
    </row>
    <row r="14565" spans="14:16" x14ac:dyDescent="0.3">
      <c r="N14565" s="1"/>
      <c r="O14565" s="1"/>
      <c r="P14565" s="1"/>
    </row>
    <row r="14587" spans="15:15" x14ac:dyDescent="0.3">
      <c r="O14587" s="1"/>
    </row>
    <row r="14599" spans="13:15" x14ac:dyDescent="0.3">
      <c r="M14599" s="1"/>
    </row>
    <row r="14601" spans="13:15" x14ac:dyDescent="0.3">
      <c r="M14601" s="1"/>
      <c r="O14601" s="1"/>
    </row>
    <row r="14610" spans="13:16" x14ac:dyDescent="0.3">
      <c r="O14610" s="1"/>
      <c r="P14610" s="1"/>
    </row>
    <row r="14623" spans="13:16" x14ac:dyDescent="0.3">
      <c r="M14623" s="1"/>
      <c r="N14623" s="1"/>
      <c r="P14623" s="1"/>
    </row>
    <row r="14631" spans="13:13" x14ac:dyDescent="0.3">
      <c r="M14631" s="1"/>
    </row>
    <row r="14647" spans="15:15" x14ac:dyDescent="0.3">
      <c r="O14647" s="1"/>
    </row>
    <row r="14684" spans="14:14" x14ac:dyDescent="0.3">
      <c r="N14684" s="1"/>
    </row>
    <row r="14690" spans="13:16" x14ac:dyDescent="0.3">
      <c r="N14690" s="1"/>
      <c r="O14690" s="1"/>
      <c r="P14690" s="1"/>
    </row>
    <row r="14703" spans="13:16" x14ac:dyDescent="0.3">
      <c r="M14703" s="1"/>
    </row>
    <row r="14719" spans="13:14" x14ac:dyDescent="0.3">
      <c r="M14719" s="1"/>
      <c r="N14719" s="1"/>
    </row>
    <row r="14722" spans="13:16" x14ac:dyDescent="0.3">
      <c r="M14722" s="1"/>
      <c r="N14722" s="1"/>
      <c r="O14722" s="1"/>
      <c r="P14722" s="1"/>
    </row>
    <row r="14733" spans="13:16" x14ac:dyDescent="0.3">
      <c r="N14733" s="1"/>
    </row>
    <row r="14750" spans="16:16" x14ac:dyDescent="0.3">
      <c r="P14750" s="1"/>
    </row>
    <row r="14755" spans="13:15" x14ac:dyDescent="0.3">
      <c r="N14755" s="1"/>
    </row>
    <row r="14756" spans="13:15" x14ac:dyDescent="0.3">
      <c r="M14756" s="1"/>
      <c r="N14756" s="1"/>
      <c r="O14756" s="1"/>
    </row>
    <row r="14760" spans="13:15" x14ac:dyDescent="0.3">
      <c r="O14760" s="1"/>
    </row>
    <row r="14796" spans="14:14" x14ac:dyDescent="0.3">
      <c r="N14796" s="1"/>
    </row>
    <row r="14816" spans="14:14" x14ac:dyDescent="0.3">
      <c r="N14816" s="1"/>
    </row>
    <row r="14823" spans="13:16" x14ac:dyDescent="0.3">
      <c r="M14823" s="1"/>
      <c r="O14823" s="1"/>
    </row>
    <row r="14824" spans="13:16" x14ac:dyDescent="0.3">
      <c r="M14824" s="1"/>
      <c r="N14824" s="1"/>
      <c r="P14824" s="1"/>
    </row>
    <row r="14828" spans="13:16" x14ac:dyDescent="0.3">
      <c r="M14828" s="1"/>
      <c r="N14828" s="1"/>
      <c r="O14828" s="1"/>
      <c r="P14828" s="1"/>
    </row>
    <row r="14838" spans="13:16" x14ac:dyDescent="0.3">
      <c r="M14838" s="1"/>
      <c r="N14838" s="1"/>
      <c r="O14838" s="1"/>
      <c r="P14838" s="1"/>
    </row>
    <row r="14841" spans="13:16" x14ac:dyDescent="0.3">
      <c r="N14841" s="1"/>
    </row>
    <row r="14861" spans="14:14" x14ac:dyDescent="0.3">
      <c r="N14861" s="1"/>
    </row>
    <row r="14869" spans="13:16" x14ac:dyDescent="0.3">
      <c r="M14869" s="1"/>
    </row>
    <row r="14880" spans="13:16" x14ac:dyDescent="0.3">
      <c r="N14880" s="1"/>
      <c r="P14880" s="1"/>
    </row>
    <row r="14891" spans="13:14" x14ac:dyDescent="0.3">
      <c r="M14891" s="1"/>
      <c r="N14891" s="1"/>
    </row>
    <row r="14909" spans="15:15" x14ac:dyDescent="0.3">
      <c r="O14909" s="1"/>
    </row>
    <row r="14919" spans="13:15" x14ac:dyDescent="0.3">
      <c r="M14919" s="1"/>
      <c r="O14919" s="1"/>
    </row>
    <row r="14920" spans="13:15" x14ac:dyDescent="0.3">
      <c r="M14920" s="1"/>
    </row>
    <row r="14928" spans="13:15" x14ac:dyDescent="0.3">
      <c r="O14928" s="1"/>
    </row>
    <row r="14933" spans="13:15" x14ac:dyDescent="0.3">
      <c r="M14933" s="1"/>
      <c r="O14933" s="1"/>
    </row>
    <row r="14937" spans="13:15" x14ac:dyDescent="0.3">
      <c r="M14937" s="1"/>
      <c r="O14937" s="1"/>
    </row>
    <row r="14952" spans="13:16" x14ac:dyDescent="0.3">
      <c r="N14952" s="1"/>
    </row>
    <row r="14957" spans="13:16" x14ac:dyDescent="0.3">
      <c r="M14957" s="1"/>
      <c r="N14957" s="1"/>
      <c r="P14957" s="1"/>
    </row>
    <row r="14970" spans="13:14" x14ac:dyDescent="0.3">
      <c r="M14970" s="1"/>
    </row>
    <row r="14973" spans="13:14" x14ac:dyDescent="0.3">
      <c r="N14973" s="1"/>
    </row>
    <row r="14988" spans="15:15" x14ac:dyDescent="0.3">
      <c r="O14988" s="1"/>
    </row>
    <row r="14997" spans="13:16" x14ac:dyDescent="0.3">
      <c r="O14997" s="1"/>
    </row>
    <row r="15000" spans="13:16" x14ac:dyDescent="0.3">
      <c r="M15000" s="1"/>
      <c r="O15000" s="1"/>
    </row>
    <row r="15001" spans="13:16" x14ac:dyDescent="0.3">
      <c r="N15001" s="1"/>
    </row>
    <row r="15002" spans="13:16" x14ac:dyDescent="0.3">
      <c r="N15002" s="1"/>
      <c r="O15002" s="1"/>
      <c r="P15002" s="1"/>
    </row>
    <row r="15004" spans="13:16" x14ac:dyDescent="0.3">
      <c r="O15004" s="1"/>
    </row>
    <row r="15005" spans="13:16" x14ac:dyDescent="0.3">
      <c r="N15005" s="1"/>
      <c r="O15005" s="1"/>
      <c r="P15005" s="1"/>
    </row>
    <row r="15010" spans="13:15" x14ac:dyDescent="0.3">
      <c r="M15010" s="1"/>
    </row>
    <row r="15018" spans="13:15" x14ac:dyDescent="0.3">
      <c r="O15018" s="1"/>
    </row>
    <row r="15027" spans="13:16" x14ac:dyDescent="0.3">
      <c r="M15027" s="1"/>
      <c r="N15027" s="1"/>
      <c r="O15027" s="1"/>
      <c r="P15027" s="1"/>
    </row>
    <row r="15030" spans="13:16" x14ac:dyDescent="0.3">
      <c r="M15030" s="1"/>
      <c r="N15030" s="1"/>
    </row>
    <row r="15033" spans="13:16" x14ac:dyDescent="0.3">
      <c r="O15033" s="1"/>
    </row>
    <row r="15046" spans="13:16" x14ac:dyDescent="0.3">
      <c r="N15046" s="1"/>
      <c r="O15046" s="1"/>
    </row>
    <row r="15054" spans="13:16" x14ac:dyDescent="0.3">
      <c r="M15054" s="1"/>
      <c r="O15054" s="1"/>
      <c r="P15054" s="1"/>
    </row>
    <row r="15060" spans="13:16" x14ac:dyDescent="0.3">
      <c r="M15060" s="1"/>
    </row>
    <row r="15067" spans="13:16" x14ac:dyDescent="0.3">
      <c r="O15067" s="1"/>
    </row>
    <row r="15068" spans="13:16" x14ac:dyDescent="0.3">
      <c r="M15068" s="1"/>
      <c r="N15068" s="1"/>
      <c r="O15068" s="1"/>
      <c r="P15068" s="1"/>
    </row>
    <row r="15087" spans="13:16" x14ac:dyDescent="0.3">
      <c r="M15087" s="1"/>
      <c r="P15087" s="1"/>
    </row>
    <row r="15089" spans="13:16" x14ac:dyDescent="0.3">
      <c r="M15089" s="1"/>
      <c r="O15089" s="1"/>
      <c r="P15089" s="1"/>
    </row>
    <row r="15092" spans="13:16" x14ac:dyDescent="0.3">
      <c r="O15092" s="1"/>
    </row>
    <row r="15105" spans="13:16" x14ac:dyDescent="0.3">
      <c r="O15105" s="1"/>
      <c r="P15105" s="1"/>
    </row>
    <row r="15109" spans="13:16" x14ac:dyDescent="0.3">
      <c r="M15109" s="1"/>
      <c r="O15109" s="1"/>
    </row>
    <row r="15111" spans="13:16" x14ac:dyDescent="0.3">
      <c r="N15111" s="1"/>
    </row>
    <row r="15120" spans="13:16" x14ac:dyDescent="0.3">
      <c r="M15120" s="1"/>
      <c r="N15120" s="1"/>
      <c r="O15120" s="1"/>
      <c r="P15120" s="1"/>
    </row>
    <row r="15132" spans="13:16" x14ac:dyDescent="0.3">
      <c r="M15132" s="1"/>
      <c r="N15132" s="1"/>
      <c r="O15132" s="1"/>
      <c r="P15132" s="1"/>
    </row>
    <row r="15135" spans="13:16" x14ac:dyDescent="0.3">
      <c r="M15135" s="1"/>
    </row>
    <row r="15145" spans="13:14" x14ac:dyDescent="0.3">
      <c r="M15145" s="1"/>
      <c r="N15145" s="1"/>
    </row>
    <row r="15153" spans="13:14" x14ac:dyDescent="0.3">
      <c r="N15153" s="1"/>
    </row>
    <row r="15160" spans="13:14" x14ac:dyDescent="0.3">
      <c r="M15160" s="1"/>
      <c r="N15160" s="1"/>
    </row>
    <row r="15188" spans="13:16" x14ac:dyDescent="0.3">
      <c r="N15188" s="1"/>
      <c r="O15188" s="1"/>
      <c r="P15188" s="1"/>
    </row>
    <row r="15190" spans="13:16" x14ac:dyDescent="0.3">
      <c r="O15190" s="1"/>
    </row>
    <row r="15191" spans="13:16" x14ac:dyDescent="0.3">
      <c r="M15191" s="1"/>
      <c r="O15191" s="1"/>
      <c r="P15191" s="1"/>
    </row>
    <row r="15200" spans="13:16" x14ac:dyDescent="0.3">
      <c r="M15200" s="1"/>
      <c r="O15200" s="1"/>
    </row>
    <row r="15205" spans="13:16" x14ac:dyDescent="0.3">
      <c r="N15205" s="1"/>
      <c r="P15205" s="1"/>
    </row>
    <row r="15208" spans="13:16" x14ac:dyDescent="0.3">
      <c r="N15208" s="1"/>
    </row>
    <row r="15210" spans="13:16" x14ac:dyDescent="0.3">
      <c r="O15210" s="1"/>
    </row>
    <row r="15213" spans="13:16" x14ac:dyDescent="0.3">
      <c r="M15213" s="1"/>
      <c r="O15213" s="1"/>
      <c r="P15213" s="1"/>
    </row>
    <row r="15228" spans="15:15" x14ac:dyDescent="0.3">
      <c r="O15228" s="1"/>
    </row>
    <row r="15236" spans="13:16" x14ac:dyDescent="0.3">
      <c r="M15236" s="1"/>
      <c r="N15236" s="1"/>
      <c r="P15236" s="1"/>
    </row>
    <row r="15240" spans="13:16" x14ac:dyDescent="0.3">
      <c r="M15240" s="1"/>
      <c r="O15240" s="1"/>
    </row>
    <row r="15252" spans="14:15" x14ac:dyDescent="0.3">
      <c r="N15252" s="1"/>
      <c r="O15252" s="1"/>
    </row>
    <row r="15266" spans="13:15" x14ac:dyDescent="0.3">
      <c r="N15266" s="1"/>
    </row>
    <row r="15268" spans="13:15" x14ac:dyDescent="0.3">
      <c r="N15268" s="1"/>
    </row>
    <row r="15276" spans="13:15" x14ac:dyDescent="0.3">
      <c r="M15276" s="1"/>
      <c r="O15276" s="1"/>
    </row>
    <row r="15279" spans="13:15" x14ac:dyDescent="0.3">
      <c r="O15279" s="1"/>
    </row>
    <row r="15282" spans="16:16" x14ac:dyDescent="0.3">
      <c r="P15282" s="1"/>
    </row>
    <row r="15302" spans="14:16" x14ac:dyDescent="0.3">
      <c r="N15302" s="1"/>
      <c r="O15302" s="1"/>
      <c r="P15302" s="1"/>
    </row>
    <row r="15305" spans="14:16" x14ac:dyDescent="0.3">
      <c r="N15305" s="1"/>
    </row>
    <row r="15315" spans="13:16" x14ac:dyDescent="0.3">
      <c r="M15315" s="1"/>
      <c r="N15315" s="1"/>
      <c r="P15315" s="1"/>
    </row>
    <row r="15324" spans="13:16" x14ac:dyDescent="0.3">
      <c r="M15324" s="1"/>
      <c r="O15324" s="1"/>
    </row>
    <row r="15334" spans="15:15" x14ac:dyDescent="0.3">
      <c r="O15334" s="1"/>
    </row>
    <row r="15363" spans="13:15" x14ac:dyDescent="0.3">
      <c r="M15363" s="1"/>
      <c r="N15363" s="1"/>
      <c r="O15363" s="1"/>
    </row>
    <row r="15367" spans="13:15" x14ac:dyDescent="0.3">
      <c r="O15367" s="1"/>
    </row>
    <row r="15369" spans="13:15" x14ac:dyDescent="0.3">
      <c r="O15369" s="1"/>
    </row>
    <row r="15380" spans="13:16" x14ac:dyDescent="0.3">
      <c r="M15380" s="1"/>
      <c r="N15380" s="1"/>
      <c r="O15380" s="1"/>
      <c r="P15380" s="1"/>
    </row>
    <row r="15384" spans="13:16" x14ac:dyDescent="0.3">
      <c r="M15384" s="1"/>
    </row>
    <row r="15389" spans="13:16" x14ac:dyDescent="0.3">
      <c r="N15389" s="1"/>
    </row>
    <row r="15390" spans="13:16" x14ac:dyDescent="0.3">
      <c r="N15390" s="1"/>
    </row>
    <row r="15404" spans="14:16" x14ac:dyDescent="0.3">
      <c r="N15404" s="1"/>
    </row>
    <row r="15407" spans="14:16" x14ac:dyDescent="0.3">
      <c r="P15407" s="1"/>
    </row>
    <row r="15416" spans="13:16" x14ac:dyDescent="0.3">
      <c r="M15416" s="1"/>
      <c r="N15416" s="1"/>
    </row>
    <row r="15417" spans="13:16" x14ac:dyDescent="0.3">
      <c r="M15417" s="1"/>
      <c r="N15417" s="1"/>
      <c r="P15417" s="1"/>
    </row>
    <row r="15431" spans="13:15" x14ac:dyDescent="0.3">
      <c r="M15431" s="1"/>
      <c r="O15431" s="1"/>
    </row>
    <row r="15435" spans="13:15" x14ac:dyDescent="0.3">
      <c r="N15435" s="1"/>
    </row>
    <row r="15444" spans="13:15" x14ac:dyDescent="0.3">
      <c r="O15444" s="1"/>
    </row>
    <row r="15451" spans="13:15" x14ac:dyDescent="0.3">
      <c r="M15451" s="1"/>
      <c r="N15451" s="1"/>
    </row>
    <row r="15456" spans="13:15" x14ac:dyDescent="0.3">
      <c r="M15456" s="1"/>
      <c r="N15456" s="1"/>
    </row>
    <row r="15476" spans="13:14" x14ac:dyDescent="0.3">
      <c r="M15476" s="1"/>
      <c r="N15476" s="1"/>
    </row>
    <row r="15501" spans="13:13" x14ac:dyDescent="0.3">
      <c r="M15501" s="1"/>
    </row>
    <row r="15508" spans="13:14" x14ac:dyDescent="0.3">
      <c r="M15508" s="1"/>
      <c r="N15508" s="1"/>
    </row>
    <row r="15510" spans="13:14" x14ac:dyDescent="0.3">
      <c r="N15510" s="1"/>
    </row>
    <row r="15539" spans="14:16" x14ac:dyDescent="0.3">
      <c r="N15539" s="1"/>
      <c r="P15539" s="1"/>
    </row>
    <row r="15555" spans="13:16" x14ac:dyDescent="0.3">
      <c r="M15555" s="1"/>
      <c r="O15555" s="1"/>
    </row>
    <row r="15559" spans="13:16" x14ac:dyDescent="0.3">
      <c r="M15559" s="1"/>
      <c r="P15559" s="1"/>
    </row>
    <row r="15568" spans="13:16" x14ac:dyDescent="0.3">
      <c r="M15568" s="1"/>
      <c r="N15568" s="1"/>
      <c r="O15568" s="1"/>
      <c r="P15568" s="1"/>
    </row>
    <row r="15574" spans="13:16" x14ac:dyDescent="0.3">
      <c r="M15574" s="1"/>
      <c r="O15574" s="1"/>
      <c r="P15574" s="1"/>
    </row>
    <row r="15577" spans="13:16" x14ac:dyDescent="0.3">
      <c r="N15577" s="1"/>
    </row>
    <row r="15581" spans="13:16" x14ac:dyDescent="0.3">
      <c r="M15581" s="1"/>
      <c r="N15581" s="1"/>
      <c r="O15581" s="1"/>
      <c r="P15581" s="1"/>
    </row>
    <row r="15586" spans="13:14" x14ac:dyDescent="0.3">
      <c r="N15586" s="1"/>
    </row>
    <row r="15590" spans="13:14" x14ac:dyDescent="0.3">
      <c r="M15590" s="1"/>
    </row>
    <row r="15605" spans="13:16" x14ac:dyDescent="0.3">
      <c r="M15605" s="1"/>
      <c r="N15605" s="1"/>
      <c r="O15605" s="1"/>
      <c r="P15605" s="1"/>
    </row>
    <row r="15607" spans="13:16" x14ac:dyDescent="0.3">
      <c r="N15607" s="1"/>
    </row>
    <row r="15627" spans="13:16" x14ac:dyDescent="0.3">
      <c r="M15627" s="1"/>
      <c r="N15627" s="1"/>
      <c r="P15627" s="1"/>
    </row>
    <row r="15633" spans="13:15" x14ac:dyDescent="0.3">
      <c r="N15633" s="1"/>
      <c r="O15633" s="1"/>
    </row>
    <row r="15636" spans="13:15" x14ac:dyDescent="0.3">
      <c r="M15636" s="1"/>
      <c r="O15636" s="1"/>
    </row>
    <row r="15660" spans="14:14" x14ac:dyDescent="0.3">
      <c r="N15660" s="1"/>
    </row>
    <row r="15677" spans="14:14" x14ac:dyDescent="0.3">
      <c r="N15677" s="1"/>
    </row>
    <row r="15684" spans="14:14" x14ac:dyDescent="0.3">
      <c r="N15684" s="1"/>
    </row>
    <row r="15704" spans="13:15" x14ac:dyDescent="0.3">
      <c r="O15704" s="1"/>
    </row>
    <row r="15708" spans="13:15" x14ac:dyDescent="0.3">
      <c r="M15708" s="1"/>
    </row>
    <row r="15714" spans="13:15" x14ac:dyDescent="0.3">
      <c r="O15714" s="1"/>
    </row>
    <row r="15718" spans="13:15" x14ac:dyDescent="0.3">
      <c r="N15718" s="1"/>
    </row>
    <row r="15719" spans="13:15" x14ac:dyDescent="0.3">
      <c r="M15719" s="1"/>
      <c r="N15719" s="1"/>
    </row>
    <row r="15730" spans="14:14" x14ac:dyDescent="0.3">
      <c r="N15730" s="1"/>
    </row>
    <row r="15745" spans="13:16" x14ac:dyDescent="0.3">
      <c r="M15745" s="1"/>
      <c r="O15745" s="1"/>
    </row>
    <row r="15749" spans="13:16" x14ac:dyDescent="0.3">
      <c r="M15749" s="1"/>
      <c r="O15749" s="1"/>
      <c r="P15749" s="1"/>
    </row>
    <row r="15751" spans="13:16" x14ac:dyDescent="0.3">
      <c r="O15751" s="1"/>
    </row>
    <row r="15758" spans="13:16" x14ac:dyDescent="0.3">
      <c r="O15758" s="1"/>
      <c r="P15758" s="1"/>
    </row>
    <row r="15780" spans="13:16" x14ac:dyDescent="0.3">
      <c r="O15780" s="1"/>
    </row>
    <row r="15781" spans="13:16" x14ac:dyDescent="0.3">
      <c r="M15781" s="1"/>
      <c r="N15781" s="1"/>
      <c r="O15781" s="1"/>
      <c r="P15781" s="1"/>
    </row>
    <row r="15790" spans="13:16" x14ac:dyDescent="0.3">
      <c r="M15790" s="1"/>
      <c r="N15790" s="1"/>
      <c r="O15790" s="1"/>
      <c r="P15790" s="1"/>
    </row>
    <row r="15792" spans="13:16" x14ac:dyDescent="0.3">
      <c r="O15792" s="1"/>
    </row>
    <row r="15800" spans="13:15" x14ac:dyDescent="0.3">
      <c r="M15800" s="1"/>
    </row>
    <row r="15806" spans="13:15" x14ac:dyDescent="0.3">
      <c r="N15806" s="1"/>
      <c r="O15806" s="1"/>
    </row>
    <row r="15807" spans="13:15" x14ac:dyDescent="0.3">
      <c r="O15807" s="1"/>
    </row>
    <row r="15829" spans="13:15" x14ac:dyDescent="0.3">
      <c r="O15829" s="1"/>
    </row>
    <row r="15836" spans="13:15" x14ac:dyDescent="0.3">
      <c r="M15836" s="1"/>
      <c r="O15836" s="1"/>
    </row>
    <row r="15848" spans="13:14" x14ac:dyDescent="0.3">
      <c r="N15848" s="1"/>
    </row>
    <row r="15849" spans="13:14" x14ac:dyDescent="0.3">
      <c r="M15849" s="1"/>
    </row>
    <row r="15851" spans="13:14" x14ac:dyDescent="0.3">
      <c r="M15851" s="1"/>
    </row>
    <row r="15863" spans="13:16" x14ac:dyDescent="0.3">
      <c r="M15863" s="1"/>
    </row>
    <row r="15871" spans="13:16" x14ac:dyDescent="0.3">
      <c r="M15871" s="1"/>
      <c r="N15871" s="1"/>
      <c r="P15871" s="1"/>
    </row>
    <row r="15876" spans="13:15" x14ac:dyDescent="0.3">
      <c r="O15876" s="1"/>
    </row>
    <row r="15887" spans="13:15" x14ac:dyDescent="0.3">
      <c r="N15887" s="1"/>
    </row>
    <row r="15888" spans="13:15" x14ac:dyDescent="0.3">
      <c r="M15888" s="1"/>
    </row>
    <row r="15891" spans="13:16" x14ac:dyDescent="0.3">
      <c r="M15891" s="1"/>
      <c r="P15891" s="1"/>
    </row>
    <row r="15892" spans="13:16" x14ac:dyDescent="0.3">
      <c r="N15892" s="1"/>
      <c r="O15892" s="1"/>
    </row>
    <row r="15897" spans="13:16" x14ac:dyDescent="0.3">
      <c r="O15897" s="1"/>
    </row>
    <row r="15899" spans="13:16" x14ac:dyDescent="0.3">
      <c r="M15899" s="1"/>
    </row>
    <row r="15909" spans="13:14" x14ac:dyDescent="0.3">
      <c r="M15909" s="1"/>
      <c r="N15909" s="1"/>
    </row>
    <row r="15912" spans="13:14" x14ac:dyDescent="0.3">
      <c r="M15912" s="1"/>
    </row>
    <row r="15920" spans="13:14" x14ac:dyDescent="0.3">
      <c r="N15920" s="1"/>
    </row>
    <row r="15922" spans="14:16" x14ac:dyDescent="0.3">
      <c r="P15922" s="1"/>
    </row>
    <row r="15924" spans="14:16" x14ac:dyDescent="0.3">
      <c r="N15924" s="1"/>
    </row>
    <row r="15965" spans="13:15" x14ac:dyDescent="0.3">
      <c r="M15965" s="1"/>
      <c r="N15965" s="1"/>
    </row>
    <row r="15966" spans="13:15" x14ac:dyDescent="0.3">
      <c r="N15966" s="1"/>
      <c r="O15966" s="1"/>
    </row>
    <row r="15970" spans="13:13" x14ac:dyDescent="0.3">
      <c r="M15970" s="1"/>
    </row>
    <row r="15986" spans="13:16" x14ac:dyDescent="0.3">
      <c r="N15986" s="1"/>
    </row>
    <row r="16000" spans="13:16" x14ac:dyDescent="0.3">
      <c r="M16000" s="1"/>
      <c r="O16000" s="1"/>
      <c r="P16000" s="1"/>
    </row>
    <row r="16001" spans="13:16" x14ac:dyDescent="0.3">
      <c r="M16001" s="1"/>
      <c r="N16001" s="1"/>
      <c r="O16001" s="1"/>
      <c r="P16001" s="1"/>
    </row>
    <row r="16002" spans="13:16" x14ac:dyDescent="0.3">
      <c r="N16002" s="1"/>
    </row>
    <row r="16003" spans="13:16" x14ac:dyDescent="0.3">
      <c r="M16003" s="1"/>
      <c r="O16003" s="1"/>
      <c r="P16003" s="1"/>
    </row>
    <row r="16008" spans="13:16" x14ac:dyDescent="0.3">
      <c r="N16008" s="1"/>
    </row>
    <row r="16015" spans="13:16" x14ac:dyDescent="0.3">
      <c r="N16015" s="1"/>
    </row>
    <row r="16016" spans="13:16" x14ac:dyDescent="0.3">
      <c r="N16016" s="1"/>
    </row>
    <row r="16028" spans="13:15" x14ac:dyDescent="0.3">
      <c r="M16028" s="1"/>
    </row>
    <row r="16029" spans="13:15" x14ac:dyDescent="0.3">
      <c r="N16029" s="1"/>
      <c r="O16029" s="1"/>
    </row>
    <row r="16039" spans="16:16" x14ac:dyDescent="0.3">
      <c r="P16039" s="1"/>
    </row>
    <row r="16058" spans="13:16" x14ac:dyDescent="0.3">
      <c r="M16058" s="1"/>
      <c r="O16058" s="1"/>
      <c r="P16058" s="1"/>
    </row>
    <row r="16061" spans="13:16" x14ac:dyDescent="0.3">
      <c r="M16061" s="1"/>
      <c r="N16061" s="1"/>
    </row>
    <row r="16070" spans="13:14" x14ac:dyDescent="0.3">
      <c r="M16070" s="1"/>
      <c r="N16070" s="1"/>
    </row>
    <row r="16083" spans="13:15" x14ac:dyDescent="0.3">
      <c r="M16083" s="1"/>
      <c r="O16083" s="1"/>
    </row>
    <row r="16091" spans="13:15" x14ac:dyDescent="0.3">
      <c r="M16091" s="1"/>
    </row>
    <row r="16114" spans="13:16" x14ac:dyDescent="0.3">
      <c r="M16114" s="1"/>
      <c r="P16114" s="1"/>
    </row>
    <row r="16124" spans="13:16" x14ac:dyDescent="0.3">
      <c r="M16124" s="1"/>
      <c r="N16124" s="1"/>
    </row>
    <row r="16136" spans="13:15" x14ac:dyDescent="0.3">
      <c r="M16136" s="1"/>
    </row>
    <row r="16139" spans="13:15" x14ac:dyDescent="0.3">
      <c r="N16139" s="1"/>
      <c r="O16139" s="1"/>
    </row>
    <row r="16145" spans="13:15" x14ac:dyDescent="0.3">
      <c r="O16145" s="1"/>
    </row>
    <row r="16149" spans="13:15" x14ac:dyDescent="0.3">
      <c r="M16149" s="1"/>
      <c r="N16149" s="1"/>
      <c r="O16149" s="1"/>
    </row>
    <row r="16160" spans="13:15" x14ac:dyDescent="0.3">
      <c r="O16160" s="1"/>
    </row>
    <row r="16166" spans="14:14" x14ac:dyDescent="0.3">
      <c r="N16166" s="1"/>
    </row>
    <row r="16186" spans="13:16" x14ac:dyDescent="0.3">
      <c r="M16186" s="1"/>
      <c r="N16186" s="1"/>
      <c r="P16186" s="1"/>
    </row>
    <row r="16198" spans="13:14" x14ac:dyDescent="0.3">
      <c r="N16198" s="1"/>
    </row>
    <row r="16204" spans="13:14" x14ac:dyDescent="0.3">
      <c r="M16204" s="1"/>
      <c r="N16204" s="1"/>
    </row>
    <row r="16238" spans="13:16" x14ac:dyDescent="0.3">
      <c r="M16238" s="1"/>
      <c r="P16238" s="1"/>
    </row>
    <row r="16243" spans="13:13" x14ac:dyDescent="0.3">
      <c r="M16243" s="1"/>
    </row>
    <row r="16274" spans="14:14" x14ac:dyDescent="0.3">
      <c r="N16274" s="1"/>
    </row>
    <row r="16276" spans="14:14" x14ac:dyDescent="0.3">
      <c r="N16276" s="1"/>
    </row>
    <row r="16297" spans="13:16" x14ac:dyDescent="0.3">
      <c r="N16297" s="1"/>
    </row>
    <row r="16301" spans="13:16" x14ac:dyDescent="0.3">
      <c r="M16301" s="1"/>
      <c r="N16301" s="1"/>
      <c r="O16301" s="1"/>
      <c r="P16301" s="1"/>
    </row>
    <row r="16322" spans="13:13" x14ac:dyDescent="0.3">
      <c r="M16322" s="1"/>
    </row>
    <row r="16337" spans="14:16" x14ac:dyDescent="0.3">
      <c r="N16337" s="1"/>
      <c r="O16337" s="1"/>
      <c r="P16337" s="1"/>
    </row>
    <row r="16338" spans="14:16" x14ac:dyDescent="0.3">
      <c r="O16338" s="1"/>
    </row>
    <row r="16357" spans="13:16" x14ac:dyDescent="0.3">
      <c r="M16357" s="1"/>
      <c r="N16357" s="1"/>
    </row>
    <row r="16364" spans="13:16" x14ac:dyDescent="0.3">
      <c r="M16364" s="1"/>
      <c r="O16364" s="1"/>
      <c r="P16364" s="1"/>
    </row>
    <row r="16366" spans="13:16" x14ac:dyDescent="0.3">
      <c r="M16366" s="1"/>
      <c r="O16366" s="1"/>
      <c r="P16366" s="1"/>
    </row>
    <row r="16373" spans="13:16" x14ac:dyDescent="0.3">
      <c r="M16373" s="1"/>
      <c r="P16373" s="1"/>
    </row>
    <row r="16382" spans="13:16" x14ac:dyDescent="0.3">
      <c r="O16382" s="1"/>
      <c r="P16382" s="1"/>
    </row>
    <row r="16393" spans="13:13" x14ac:dyDescent="0.3">
      <c r="M16393" s="1"/>
    </row>
    <row r="16407" spans="13:14" x14ac:dyDescent="0.3">
      <c r="M16407" s="1"/>
    </row>
    <row r="16412" spans="13:14" x14ac:dyDescent="0.3">
      <c r="M16412" s="1"/>
      <c r="N16412" s="1"/>
    </row>
    <row r="16425" spans="15:16" x14ac:dyDescent="0.3">
      <c r="O16425" s="1"/>
    </row>
    <row r="16426" spans="15:16" x14ac:dyDescent="0.3">
      <c r="O16426" s="1"/>
      <c r="P16426" s="1"/>
    </row>
    <row r="16430" spans="15:16" x14ac:dyDescent="0.3">
      <c r="P16430" s="1"/>
    </row>
    <row r="16438" spans="13:15" x14ac:dyDescent="0.3">
      <c r="N16438" s="1"/>
      <c r="O16438" s="1"/>
    </row>
    <row r="16440" spans="13:15" x14ac:dyDescent="0.3">
      <c r="M16440" s="1"/>
    </row>
    <row r="16456" spans="13:16" x14ac:dyDescent="0.3">
      <c r="M16456" s="1"/>
      <c r="N16456" s="1"/>
      <c r="P16456" s="1"/>
    </row>
    <row r="16466" spans="15:15" x14ac:dyDescent="0.3">
      <c r="O16466" s="1"/>
    </row>
    <row r="16489" spans="14:16" x14ac:dyDescent="0.3">
      <c r="N16489" s="1"/>
      <c r="P16489" s="1"/>
    </row>
    <row r="16515" spans="14:16" x14ac:dyDescent="0.3">
      <c r="N16515" s="1"/>
      <c r="O16515" s="1"/>
      <c r="P16515" s="1"/>
    </row>
    <row r="16523" spans="14:16" x14ac:dyDescent="0.3">
      <c r="N16523" s="1"/>
    </row>
    <row r="16532" spans="13:15" x14ac:dyDescent="0.3">
      <c r="N16532" s="1"/>
    </row>
    <row r="16539" spans="13:15" x14ac:dyDescent="0.3">
      <c r="M16539" s="1"/>
      <c r="O16539" s="1"/>
    </row>
    <row r="16549" spans="13:16" x14ac:dyDescent="0.3">
      <c r="M16549" s="1"/>
      <c r="N16549" s="1"/>
      <c r="P16549" s="1"/>
    </row>
    <row r="16553" spans="13:16" x14ac:dyDescent="0.3">
      <c r="O16553" s="1"/>
    </row>
    <row r="16578" spans="13:16" x14ac:dyDescent="0.3">
      <c r="M16578" s="1"/>
      <c r="N16578" s="1"/>
      <c r="P16578" s="1"/>
    </row>
    <row r="16583" spans="13:16" x14ac:dyDescent="0.3">
      <c r="M16583" s="1"/>
      <c r="N16583" s="1"/>
      <c r="P16583" s="1"/>
    </row>
    <row r="16600" spans="13:15" x14ac:dyDescent="0.3">
      <c r="O16600" s="1"/>
    </row>
    <row r="16605" spans="13:15" x14ac:dyDescent="0.3">
      <c r="M16605" s="1"/>
    </row>
    <row r="16606" spans="13:15" x14ac:dyDescent="0.3">
      <c r="N16606" s="1"/>
    </row>
    <row r="16614" spans="13:16" x14ac:dyDescent="0.3">
      <c r="M16614" s="1"/>
      <c r="P16614" s="1"/>
    </row>
    <row r="16626" spans="13:16" x14ac:dyDescent="0.3">
      <c r="N16626" s="1"/>
      <c r="O16626" s="1"/>
      <c r="P16626" s="1"/>
    </row>
    <row r="16627" spans="13:16" x14ac:dyDescent="0.3">
      <c r="M16627" s="1"/>
    </row>
    <row r="16635" spans="13:16" x14ac:dyDescent="0.3">
      <c r="N16635" s="1"/>
      <c r="O16635" s="1"/>
      <c r="P16635" s="1"/>
    </row>
    <row r="16640" spans="13:16" x14ac:dyDescent="0.3">
      <c r="O16640" s="1"/>
    </row>
    <row r="16650" spans="13:15" x14ac:dyDescent="0.3">
      <c r="M16650" s="1"/>
      <c r="O16650" s="1"/>
    </row>
    <row r="16664" spans="13:16" x14ac:dyDescent="0.3">
      <c r="M16664" s="1"/>
      <c r="N16664" s="1"/>
      <c r="O16664" s="1"/>
      <c r="P16664" s="1"/>
    </row>
    <row r="16666" spans="13:16" x14ac:dyDescent="0.3">
      <c r="N16666" s="1"/>
      <c r="O16666" s="1"/>
    </row>
    <row r="16675" spans="14:16" x14ac:dyDescent="0.3">
      <c r="N16675" s="1"/>
      <c r="P16675" s="1"/>
    </row>
    <row r="16683" spans="14:16" x14ac:dyDescent="0.3">
      <c r="P16683" s="1"/>
    </row>
    <row r="16698" spans="15:16" x14ac:dyDescent="0.3">
      <c r="O16698" s="1"/>
      <c r="P16698" s="1"/>
    </row>
    <row r="16718" spans="13:14" x14ac:dyDescent="0.3">
      <c r="M16718" s="1"/>
      <c r="N16718" s="1"/>
    </row>
    <row r="16731" spans="13:14" x14ac:dyDescent="0.3">
      <c r="M16731" s="1"/>
      <c r="N16731" s="1"/>
    </row>
    <row r="16749" spans="13:14" x14ac:dyDescent="0.3">
      <c r="M16749" s="1"/>
      <c r="N16749" s="1"/>
    </row>
    <row r="16755" spans="13:13" x14ac:dyDescent="0.3">
      <c r="M16755" s="1"/>
    </row>
    <row r="16774" spans="13:15" x14ac:dyDescent="0.3">
      <c r="M16774" s="1"/>
      <c r="O16774" s="1"/>
    </row>
    <row r="16782" spans="13:15" x14ac:dyDescent="0.3">
      <c r="M16782" s="1"/>
    </row>
    <row r="16794" spans="13:16" x14ac:dyDescent="0.3">
      <c r="M16794" s="1"/>
      <c r="O16794" s="1"/>
      <c r="P16794" s="1"/>
    </row>
    <row r="16808" spans="14:14" x14ac:dyDescent="0.3">
      <c r="N16808" s="1"/>
    </row>
    <row r="16844" spans="13:14" x14ac:dyDescent="0.3">
      <c r="M16844" s="1"/>
    </row>
    <row r="16845" spans="13:14" x14ac:dyDescent="0.3">
      <c r="N16845" s="1"/>
    </row>
    <row r="16874" spans="14:15" x14ac:dyDescent="0.3">
      <c r="N16874" s="1"/>
      <c r="O16874" s="1"/>
    </row>
    <row r="16877" spans="14:15" x14ac:dyDescent="0.3">
      <c r="O16877" s="1"/>
    </row>
    <row r="16886" spans="13:16" x14ac:dyDescent="0.3">
      <c r="M16886" s="1"/>
      <c r="N16886" s="1"/>
      <c r="O16886" s="1"/>
    </row>
    <row r="16889" spans="13:16" x14ac:dyDescent="0.3">
      <c r="O16889" s="1"/>
      <c r="P16889" s="1"/>
    </row>
    <row r="16890" spans="13:16" x14ac:dyDescent="0.3">
      <c r="M16890" s="1"/>
    </row>
    <row r="16896" spans="13:16" x14ac:dyDescent="0.3">
      <c r="O16896" s="1"/>
    </row>
    <row r="16907" spans="13:14" x14ac:dyDescent="0.3">
      <c r="N16907" s="1"/>
    </row>
    <row r="16910" spans="13:14" x14ac:dyDescent="0.3">
      <c r="M16910" s="1"/>
      <c r="N16910" s="1"/>
    </row>
    <row r="16916" spans="14:16" x14ac:dyDescent="0.3">
      <c r="O16916" s="1"/>
      <c r="P16916" s="1"/>
    </row>
    <row r="16925" spans="14:16" x14ac:dyDescent="0.3">
      <c r="P16925" s="1"/>
    </row>
    <row r="16927" spans="14:16" x14ac:dyDescent="0.3">
      <c r="N16927" s="1"/>
    </row>
    <row r="16932" spans="13:16" x14ac:dyDescent="0.3">
      <c r="M16932" s="1"/>
      <c r="N16932" s="1"/>
    </row>
    <row r="16941" spans="13:16" x14ac:dyDescent="0.3">
      <c r="N16941" s="1"/>
      <c r="P16941" s="1"/>
    </row>
    <row r="16951" spans="13:16" x14ac:dyDescent="0.3">
      <c r="N16951" s="1"/>
      <c r="O16951" s="1"/>
    </row>
    <row r="16956" spans="13:16" x14ac:dyDescent="0.3">
      <c r="M16956" s="1"/>
      <c r="N16956" s="1"/>
      <c r="P16956" s="1"/>
    </row>
    <row r="16958" spans="13:16" x14ac:dyDescent="0.3">
      <c r="M16958" s="1"/>
      <c r="N16958" s="1"/>
    </row>
    <row r="16963" spans="14:16" x14ac:dyDescent="0.3">
      <c r="N16963" s="1"/>
    </row>
    <row r="16966" spans="14:16" x14ac:dyDescent="0.3">
      <c r="P16966" s="1"/>
    </row>
    <row r="16972" spans="14:16" x14ac:dyDescent="0.3">
      <c r="O16972" s="1"/>
    </row>
    <row r="16973" spans="14:16" x14ac:dyDescent="0.3">
      <c r="P16973" s="1"/>
    </row>
    <row r="16995" spans="13:16" x14ac:dyDescent="0.3">
      <c r="M16995" s="1"/>
    </row>
    <row r="17001" spans="13:16" x14ac:dyDescent="0.3">
      <c r="M17001" s="1"/>
      <c r="N17001" s="1"/>
      <c r="P17001" s="1"/>
    </row>
    <row r="17009" spans="14:16" x14ac:dyDescent="0.3">
      <c r="N17009" s="1"/>
      <c r="O17009" s="1"/>
      <c r="P17009" s="1"/>
    </row>
    <row r="17028" spans="13:16" x14ac:dyDescent="0.3">
      <c r="M17028" s="1"/>
      <c r="N17028" s="1"/>
      <c r="O17028" s="1"/>
    </row>
    <row r="17035" spans="13:16" x14ac:dyDescent="0.3">
      <c r="M17035" s="1"/>
      <c r="N17035" s="1"/>
      <c r="O17035" s="1"/>
      <c r="P17035" s="1"/>
    </row>
    <row r="17039" spans="13:16" x14ac:dyDescent="0.3">
      <c r="M17039" s="1"/>
      <c r="N17039" s="1"/>
      <c r="O17039" s="1"/>
      <c r="P17039" s="1"/>
    </row>
    <row r="17065" spans="13:13" x14ac:dyDescent="0.3">
      <c r="M17065" s="1"/>
    </row>
    <row r="17076" spans="14:15" x14ac:dyDescent="0.3">
      <c r="N17076" s="1"/>
      <c r="O17076" s="1"/>
    </row>
    <row r="17089" spans="13:15" x14ac:dyDescent="0.3">
      <c r="M17089" s="1"/>
    </row>
    <row r="17090" spans="13:15" x14ac:dyDescent="0.3">
      <c r="M17090" s="1"/>
      <c r="N17090" s="1"/>
      <c r="O17090" s="1"/>
    </row>
    <row r="17093" spans="13:15" x14ac:dyDescent="0.3">
      <c r="O17093" s="1"/>
    </row>
    <row r="17094" spans="13:15" x14ac:dyDescent="0.3">
      <c r="N17094" s="1"/>
      <c r="O17094" s="1"/>
    </row>
    <row r="17096" spans="13:15" x14ac:dyDescent="0.3">
      <c r="M17096" s="1"/>
    </row>
    <row r="17101" spans="13:15" x14ac:dyDescent="0.3">
      <c r="O17101" s="1"/>
    </row>
    <row r="17103" spans="13:15" x14ac:dyDescent="0.3">
      <c r="M17103" s="1"/>
      <c r="N17103" s="1"/>
    </row>
    <row r="17106" spans="14:14" x14ac:dyDescent="0.3">
      <c r="N17106" s="1"/>
    </row>
    <row r="17119" spans="14:14" x14ac:dyDescent="0.3">
      <c r="N17119" s="1"/>
    </row>
    <row r="17126" spans="13:16" x14ac:dyDescent="0.3">
      <c r="N17126" s="1"/>
      <c r="O17126" s="1"/>
      <c r="P17126" s="1"/>
    </row>
    <row r="17133" spans="13:16" x14ac:dyDescent="0.3">
      <c r="M17133" s="1"/>
      <c r="N17133" s="1"/>
    </row>
    <row r="17134" spans="13:16" x14ac:dyDescent="0.3">
      <c r="M17134" s="1"/>
      <c r="N17134" s="1"/>
      <c r="O17134" s="1"/>
      <c r="P17134" s="1"/>
    </row>
    <row r="17141" spans="13:16" x14ac:dyDescent="0.3">
      <c r="M17141" s="1"/>
      <c r="P17141" s="1"/>
    </row>
    <row r="17150" spans="13:16" x14ac:dyDescent="0.3">
      <c r="N17150" s="1"/>
    </row>
    <row r="17151" spans="13:16" x14ac:dyDescent="0.3">
      <c r="O17151" s="1"/>
    </row>
    <row r="17163" spans="13:14" x14ac:dyDescent="0.3">
      <c r="M17163" s="1"/>
    </row>
    <row r="17164" spans="13:14" x14ac:dyDescent="0.3">
      <c r="M17164" s="1"/>
    </row>
    <row r="17166" spans="13:14" x14ac:dyDescent="0.3">
      <c r="N17166" s="1"/>
    </row>
    <row r="17176" spans="13:16" x14ac:dyDescent="0.3">
      <c r="M17176" s="1"/>
    </row>
    <row r="17177" spans="13:16" x14ac:dyDescent="0.3">
      <c r="M17177" s="1"/>
      <c r="O17177" s="1"/>
      <c r="P17177" s="1"/>
    </row>
    <row r="17179" spans="13:16" x14ac:dyDescent="0.3">
      <c r="M17179" s="1"/>
    </row>
    <row r="17184" spans="13:16" x14ac:dyDescent="0.3">
      <c r="N17184" s="1"/>
    </row>
    <row r="17201" spans="14:16" x14ac:dyDescent="0.3">
      <c r="N17201" s="1"/>
    </row>
    <row r="17215" spans="14:16" x14ac:dyDescent="0.3">
      <c r="N17215" s="1"/>
      <c r="P17215" s="1"/>
    </row>
    <row r="17220" spans="13:16" x14ac:dyDescent="0.3">
      <c r="M17220" s="1"/>
      <c r="N17220" s="1"/>
      <c r="O17220" s="1"/>
      <c r="P17220" s="1"/>
    </row>
    <row r="17244" spans="14:15" x14ac:dyDescent="0.3">
      <c r="N17244" s="1"/>
      <c r="O17244" s="1"/>
    </row>
    <row r="17256" spans="13:14" x14ac:dyDescent="0.3">
      <c r="M17256" s="1"/>
    </row>
    <row r="17264" spans="13:14" x14ac:dyDescent="0.3">
      <c r="M17264" s="1"/>
      <c r="N17264" s="1"/>
    </row>
    <row r="17268" spans="13:16" x14ac:dyDescent="0.3">
      <c r="M17268" s="1"/>
      <c r="N17268" s="1"/>
      <c r="P17268" s="1"/>
    </row>
    <row r="17281" spans="13:16" x14ac:dyDescent="0.3">
      <c r="O17281" s="1"/>
    </row>
    <row r="17283" spans="13:16" x14ac:dyDescent="0.3">
      <c r="M17283" s="1"/>
      <c r="N17283" s="1"/>
      <c r="P17283" s="1"/>
    </row>
    <row r="17284" spans="13:16" x14ac:dyDescent="0.3">
      <c r="O17284" s="1"/>
    </row>
    <row r="17285" spans="13:16" x14ac:dyDescent="0.3">
      <c r="M17285" s="1"/>
      <c r="N17285" s="1"/>
      <c r="P17285" s="1"/>
    </row>
    <row r="17286" spans="13:16" x14ac:dyDescent="0.3">
      <c r="O17286" s="1"/>
    </row>
    <row r="17289" spans="13:16" x14ac:dyDescent="0.3">
      <c r="P17289" s="1"/>
    </row>
    <row r="17290" spans="13:16" x14ac:dyDescent="0.3">
      <c r="M17290" s="1"/>
    </row>
    <row r="17297" spans="13:16" x14ac:dyDescent="0.3">
      <c r="N17297" s="1"/>
      <c r="P17297" s="1"/>
    </row>
    <row r="17298" spans="13:16" x14ac:dyDescent="0.3">
      <c r="N17298" s="1"/>
    </row>
    <row r="17305" spans="13:16" x14ac:dyDescent="0.3">
      <c r="O17305" s="1"/>
      <c r="P17305" s="1"/>
    </row>
    <row r="17308" spans="13:16" x14ac:dyDescent="0.3">
      <c r="M17308" s="1"/>
      <c r="O17308" s="1"/>
    </row>
    <row r="17314" spans="13:16" x14ac:dyDescent="0.3">
      <c r="M17314" s="1"/>
      <c r="N17314" s="1"/>
    </row>
    <row r="17316" spans="13:16" x14ac:dyDescent="0.3">
      <c r="M17316" s="1"/>
      <c r="P17316" s="1"/>
    </row>
    <row r="17337" spans="14:15" x14ac:dyDescent="0.3">
      <c r="N17337" s="1"/>
      <c r="O17337" s="1"/>
    </row>
    <row r="17345" spans="14:15" x14ac:dyDescent="0.3">
      <c r="O17345" s="1"/>
    </row>
    <row r="17348" spans="14:15" x14ac:dyDescent="0.3">
      <c r="N17348" s="1"/>
    </row>
    <row r="17366" spans="13:15" x14ac:dyDescent="0.3">
      <c r="M17366" s="1"/>
      <c r="O17366" s="1"/>
    </row>
    <row r="17367" spans="13:15" x14ac:dyDescent="0.3">
      <c r="N17367" s="1"/>
    </row>
    <row r="17369" spans="13:15" x14ac:dyDescent="0.3">
      <c r="N17369" s="1"/>
    </row>
    <row r="17372" spans="13:15" x14ac:dyDescent="0.3">
      <c r="O17372" s="1"/>
    </row>
    <row r="17382" spans="13:15" x14ac:dyDescent="0.3">
      <c r="M17382" s="1"/>
    </row>
    <row r="17388" spans="13:15" x14ac:dyDescent="0.3">
      <c r="N17388" s="1"/>
    </row>
    <row r="17392" spans="13:15" x14ac:dyDescent="0.3">
      <c r="O17392" s="1"/>
    </row>
    <row r="17398" spans="14:16" x14ac:dyDescent="0.3">
      <c r="N17398" s="1"/>
      <c r="O17398" s="1"/>
      <c r="P17398" s="1"/>
    </row>
    <row r="17420" spans="13:16" x14ac:dyDescent="0.3">
      <c r="O17420" s="1"/>
    </row>
    <row r="17424" spans="13:16" x14ac:dyDescent="0.3">
      <c r="M17424" s="1"/>
      <c r="P17424" s="1"/>
    </row>
    <row r="17431" spans="14:16" x14ac:dyDescent="0.3">
      <c r="N17431" s="1"/>
      <c r="O17431" s="1"/>
      <c r="P17431" s="1"/>
    </row>
    <row r="17444" spans="14:14" x14ac:dyDescent="0.3">
      <c r="N17444" s="1"/>
    </row>
    <row r="17466" spans="14:15" x14ac:dyDescent="0.3">
      <c r="N17466" s="1"/>
    </row>
    <row r="17470" spans="14:15" x14ac:dyDescent="0.3">
      <c r="O17470" s="1"/>
    </row>
    <row r="17479" spans="13:15" x14ac:dyDescent="0.3">
      <c r="M17479" s="1"/>
      <c r="O17479" s="1"/>
    </row>
    <row r="17506" spans="15:15" x14ac:dyDescent="0.3">
      <c r="O17506" s="1"/>
    </row>
    <row r="17508" spans="15:15" x14ac:dyDescent="0.3">
      <c r="O17508" s="1"/>
    </row>
    <row r="17518" spans="15:15" x14ac:dyDescent="0.3">
      <c r="O17518" s="1"/>
    </row>
    <row r="17523" spans="13:14" x14ac:dyDescent="0.3">
      <c r="M17523" s="1"/>
    </row>
    <row r="17527" spans="13:14" x14ac:dyDescent="0.3">
      <c r="M17527" s="1"/>
    </row>
    <row r="17529" spans="13:14" x14ac:dyDescent="0.3">
      <c r="N17529" s="1"/>
    </row>
    <row r="17537" spans="13:16" x14ac:dyDescent="0.3">
      <c r="N17537" s="1"/>
    </row>
    <row r="17538" spans="13:16" x14ac:dyDescent="0.3">
      <c r="M17538" s="1"/>
    </row>
    <row r="17540" spans="13:16" x14ac:dyDescent="0.3">
      <c r="M17540" s="1"/>
      <c r="N17540" s="1"/>
      <c r="O17540" s="1"/>
      <c r="P17540" s="1"/>
    </row>
    <row r="17552" spans="13:16" x14ac:dyDescent="0.3">
      <c r="O17552" s="1"/>
      <c r="P17552" s="1"/>
    </row>
    <row r="17556" spans="13:14" x14ac:dyDescent="0.3">
      <c r="M17556" s="1"/>
      <c r="N17556" s="1"/>
    </row>
    <row r="17586" spans="13:15" x14ac:dyDescent="0.3">
      <c r="M17586" s="1"/>
      <c r="N17586" s="1"/>
      <c r="O17586" s="1"/>
    </row>
    <row r="17594" spans="13:15" x14ac:dyDescent="0.3">
      <c r="N17594" s="1"/>
    </row>
    <row r="17600" spans="13:15" x14ac:dyDescent="0.3">
      <c r="O17600" s="1"/>
    </row>
    <row r="17614" spans="15:15" x14ac:dyDescent="0.3">
      <c r="O17614" s="1"/>
    </row>
    <row r="17620" spans="13:16" x14ac:dyDescent="0.3">
      <c r="M17620" s="1"/>
      <c r="P17620" s="1"/>
    </row>
    <row r="17625" spans="13:16" x14ac:dyDescent="0.3">
      <c r="O17625" s="1"/>
    </row>
    <row r="17628" spans="13:16" x14ac:dyDescent="0.3">
      <c r="M17628" s="1"/>
    </row>
    <row r="17630" spans="13:16" x14ac:dyDescent="0.3">
      <c r="N17630" s="1"/>
      <c r="O17630" s="1"/>
    </row>
    <row r="17642" spans="15:16" x14ac:dyDescent="0.3">
      <c r="O17642" s="1"/>
    </row>
    <row r="17644" spans="15:16" x14ac:dyDescent="0.3">
      <c r="O17644" s="1"/>
    </row>
    <row r="17645" spans="15:16" x14ac:dyDescent="0.3">
      <c r="O17645" s="1"/>
    </row>
    <row r="17646" spans="15:16" x14ac:dyDescent="0.3">
      <c r="P17646" s="1"/>
    </row>
    <row r="17658" spans="13:15" x14ac:dyDescent="0.3">
      <c r="M17658" s="1"/>
      <c r="O17658" s="1"/>
    </row>
    <row r="17660" spans="13:15" x14ac:dyDescent="0.3">
      <c r="N17660" s="1"/>
    </row>
    <row r="17664" spans="13:15" x14ac:dyDescent="0.3">
      <c r="M17664" s="1"/>
    </row>
    <row r="17682" spans="13:14" x14ac:dyDescent="0.3">
      <c r="M17682" s="1"/>
    </row>
    <row r="17685" spans="13:14" x14ac:dyDescent="0.3">
      <c r="N17685" s="1"/>
    </row>
    <row r="17690" spans="13:14" x14ac:dyDescent="0.3">
      <c r="M17690" s="1"/>
    </row>
    <row r="17720" spans="13:16" x14ac:dyDescent="0.3">
      <c r="M17720" s="1"/>
    </row>
    <row r="17727" spans="13:16" x14ac:dyDescent="0.3">
      <c r="M17727" s="1"/>
      <c r="N17727" s="1"/>
      <c r="P17727" s="1"/>
    </row>
    <row r="17731" spans="13:15" x14ac:dyDescent="0.3">
      <c r="M17731" s="1"/>
      <c r="N17731" s="1"/>
    </row>
    <row r="17734" spans="13:15" x14ac:dyDescent="0.3">
      <c r="O17734" s="1"/>
    </row>
    <row r="17741" spans="13:15" x14ac:dyDescent="0.3">
      <c r="N17741" s="1"/>
      <c r="O17741" s="1"/>
    </row>
    <row r="17749" spans="14:16" x14ac:dyDescent="0.3">
      <c r="O17749" s="1"/>
      <c r="P17749" s="1"/>
    </row>
    <row r="17753" spans="14:16" x14ac:dyDescent="0.3">
      <c r="N17753" s="1"/>
    </row>
    <row r="17760" spans="14:16" x14ac:dyDescent="0.3">
      <c r="N17760" s="1"/>
    </row>
    <row r="17764" spans="15:15" x14ac:dyDescent="0.3">
      <c r="O17764" s="1"/>
    </row>
    <row r="17779" spans="13:16" x14ac:dyDescent="0.3">
      <c r="N17779" s="1"/>
    </row>
    <row r="17782" spans="13:16" x14ac:dyDescent="0.3">
      <c r="M17782" s="1"/>
    </row>
    <row r="17788" spans="13:16" x14ac:dyDescent="0.3">
      <c r="O17788" s="1"/>
      <c r="P17788" s="1"/>
    </row>
    <row r="17789" spans="13:16" x14ac:dyDescent="0.3">
      <c r="N17789" s="1"/>
    </row>
    <row r="17797" spans="13:14" x14ac:dyDescent="0.3">
      <c r="M17797" s="1"/>
      <c r="N17797" s="1"/>
    </row>
    <row r="17812" spans="14:15" x14ac:dyDescent="0.3">
      <c r="N17812" s="1"/>
    </row>
    <row r="17822" spans="14:15" x14ac:dyDescent="0.3">
      <c r="O17822" s="1"/>
    </row>
    <row r="17830" spans="14:14" x14ac:dyDescent="0.3">
      <c r="N17830" s="1"/>
    </row>
    <row r="17860" spans="13:16" x14ac:dyDescent="0.3">
      <c r="N17860" s="1"/>
      <c r="O17860" s="1"/>
    </row>
    <row r="17865" spans="13:16" x14ac:dyDescent="0.3">
      <c r="O17865" s="1"/>
      <c r="P17865" s="1"/>
    </row>
    <row r="17866" spans="13:16" x14ac:dyDescent="0.3">
      <c r="M17866" s="1"/>
      <c r="N17866" s="1"/>
      <c r="O17866" s="1"/>
      <c r="P17866" s="1"/>
    </row>
    <row r="17868" spans="13:16" x14ac:dyDescent="0.3">
      <c r="O17868" s="1"/>
    </row>
    <row r="17869" spans="13:16" x14ac:dyDescent="0.3">
      <c r="M17869" s="1"/>
      <c r="N17869" s="1"/>
      <c r="O17869" s="1"/>
      <c r="P17869" s="1"/>
    </row>
    <row r="17872" spans="13:16" x14ac:dyDescent="0.3">
      <c r="N17872" s="1"/>
    </row>
    <row r="17877" spans="13:16" x14ac:dyDescent="0.3">
      <c r="M17877" s="1"/>
      <c r="N17877" s="1"/>
      <c r="P17877" s="1"/>
    </row>
    <row r="17885" spans="13:16" x14ac:dyDescent="0.3">
      <c r="M17885" s="1"/>
      <c r="P17885" s="1"/>
    </row>
    <row r="17926" spans="13:14" x14ac:dyDescent="0.3">
      <c r="M17926" s="1"/>
    </row>
    <row r="17930" spans="13:14" x14ac:dyDescent="0.3">
      <c r="N17930" s="1"/>
    </row>
    <row r="17945" spans="15:15" x14ac:dyDescent="0.3">
      <c r="O17945" s="1"/>
    </row>
    <row r="17954" spans="13:16" x14ac:dyDescent="0.3">
      <c r="M17954" s="1"/>
      <c r="N17954" s="1"/>
      <c r="P17954" s="1"/>
    </row>
    <row r="17955" spans="13:16" x14ac:dyDescent="0.3">
      <c r="N17955" s="1"/>
    </row>
    <row r="17956" spans="13:16" x14ac:dyDescent="0.3">
      <c r="M17956" s="1"/>
      <c r="N17956" s="1"/>
      <c r="O17956" s="1"/>
      <c r="P17956" s="1"/>
    </row>
    <row r="17957" spans="13:16" x14ac:dyDescent="0.3">
      <c r="M17957" s="1"/>
      <c r="P17957" s="1"/>
    </row>
    <row r="17972" spans="13:16" x14ac:dyDescent="0.3">
      <c r="M17972" s="1"/>
      <c r="N17972" s="1"/>
      <c r="P17972" s="1"/>
    </row>
    <row r="17976" spans="13:16" x14ac:dyDescent="0.3">
      <c r="M17976" s="1"/>
      <c r="N17976" s="1"/>
      <c r="O17976" s="1"/>
      <c r="P17976" s="1"/>
    </row>
    <row r="18003" spans="14:16" x14ac:dyDescent="0.3">
      <c r="N18003" s="1"/>
      <c r="O18003" s="1"/>
      <c r="P18003" s="1"/>
    </row>
    <row r="18023" spans="14:14" x14ac:dyDescent="0.3">
      <c r="N18023" s="1"/>
    </row>
    <row r="18036" spans="13:16" x14ac:dyDescent="0.3">
      <c r="N18036" s="1"/>
    </row>
    <row r="18043" spans="13:16" x14ac:dyDescent="0.3">
      <c r="M18043" s="1"/>
      <c r="N18043" s="1"/>
      <c r="O18043" s="1"/>
      <c r="P18043" s="1"/>
    </row>
    <row r="18047" spans="13:16" x14ac:dyDescent="0.3">
      <c r="O18047" s="1"/>
    </row>
    <row r="18052" spans="13:15" x14ac:dyDescent="0.3">
      <c r="M18052" s="1"/>
    </row>
    <row r="18055" spans="13:15" x14ac:dyDescent="0.3">
      <c r="O18055" s="1"/>
    </row>
    <row r="18073" spans="15:16" x14ac:dyDescent="0.3">
      <c r="O18073" s="1"/>
      <c r="P18073" s="1"/>
    </row>
    <row r="18086" spans="15:15" x14ac:dyDescent="0.3">
      <c r="O18086" s="1"/>
    </row>
    <row r="18093" spans="15:15" x14ac:dyDescent="0.3">
      <c r="O18093" s="1"/>
    </row>
    <row r="18119" spans="14:16" x14ac:dyDescent="0.3">
      <c r="N18119" s="1"/>
      <c r="P18119" s="1"/>
    </row>
    <row r="18137" spans="16:16" x14ac:dyDescent="0.3">
      <c r="P18137" s="1"/>
    </row>
    <row r="18153" spans="13:13" x14ac:dyDescent="0.3">
      <c r="M18153" s="1"/>
    </row>
    <row r="18154" spans="13:13" x14ac:dyDescent="0.3">
      <c r="M18154" s="1"/>
    </row>
    <row r="18173" spans="14:15" x14ac:dyDescent="0.3">
      <c r="O18173" s="1"/>
    </row>
    <row r="18174" spans="14:15" x14ac:dyDescent="0.3">
      <c r="N18174" s="1"/>
    </row>
    <row r="18182" spans="15:15" x14ac:dyDescent="0.3">
      <c r="O18182" s="1"/>
    </row>
    <row r="18195" spans="14:16" x14ac:dyDescent="0.3">
      <c r="O18195" s="1"/>
      <c r="P18195" s="1"/>
    </row>
    <row r="18199" spans="14:16" x14ac:dyDescent="0.3">
      <c r="N18199" s="1"/>
    </row>
    <row r="18207" spans="14:16" x14ac:dyDescent="0.3">
      <c r="N18207" s="1"/>
    </row>
    <row r="18214" spans="13:16" x14ac:dyDescent="0.3">
      <c r="N18214" s="1"/>
      <c r="P18214" s="1"/>
    </row>
    <row r="18223" spans="13:16" x14ac:dyDescent="0.3">
      <c r="O18223" s="1"/>
    </row>
    <row r="18224" spans="13:16" x14ac:dyDescent="0.3">
      <c r="M18224" s="1"/>
    </row>
    <row r="18233" spans="13:16" x14ac:dyDescent="0.3">
      <c r="N18233" s="1"/>
      <c r="P18233" s="1"/>
    </row>
    <row r="18235" spans="13:16" x14ac:dyDescent="0.3">
      <c r="M18235" s="1"/>
      <c r="P18235" s="1"/>
    </row>
    <row r="18236" spans="13:16" x14ac:dyDescent="0.3">
      <c r="N18236" s="1"/>
    </row>
    <row r="18244" spans="13:16" x14ac:dyDescent="0.3">
      <c r="M18244" s="1"/>
      <c r="N18244" s="1"/>
      <c r="O18244" s="1"/>
      <c r="P18244" s="1"/>
    </row>
    <row r="18255" spans="13:16" x14ac:dyDescent="0.3">
      <c r="M18255" s="1"/>
      <c r="N18255" s="1"/>
    </row>
    <row r="18257" spans="14:16" x14ac:dyDescent="0.3">
      <c r="N18257" s="1"/>
      <c r="O18257" s="1"/>
    </row>
    <row r="18266" spans="14:16" x14ac:dyDescent="0.3">
      <c r="N18266" s="1"/>
      <c r="P18266" s="1"/>
    </row>
    <row r="18283" spans="13:16" x14ac:dyDescent="0.3">
      <c r="M18283" s="1"/>
      <c r="P18283" s="1"/>
    </row>
    <row r="18284" spans="13:16" x14ac:dyDescent="0.3">
      <c r="M18284" s="1"/>
      <c r="N18284" s="1"/>
      <c r="P18284" s="1"/>
    </row>
    <row r="18314" spans="15:15" x14ac:dyDescent="0.3">
      <c r="O18314" s="1"/>
    </row>
    <row r="18321" spans="14:14" x14ac:dyDescent="0.3">
      <c r="N18321" s="1"/>
    </row>
    <row r="18337" spans="13:15" x14ac:dyDescent="0.3">
      <c r="M18337" s="1"/>
    </row>
    <row r="18344" spans="13:15" x14ac:dyDescent="0.3">
      <c r="O18344" s="1"/>
    </row>
    <row r="18366" spans="13:14" x14ac:dyDescent="0.3">
      <c r="N18366" s="1"/>
    </row>
    <row r="18367" spans="13:14" x14ac:dyDescent="0.3">
      <c r="M18367" s="1"/>
    </row>
    <row r="18379" spans="13:14" x14ac:dyDescent="0.3">
      <c r="M18379" s="1"/>
    </row>
    <row r="18384" spans="13:14" x14ac:dyDescent="0.3">
      <c r="N18384" s="1"/>
    </row>
    <row r="18390" spans="13:16" x14ac:dyDescent="0.3">
      <c r="M18390" s="1"/>
      <c r="N18390" s="1"/>
      <c r="O18390" s="1"/>
      <c r="P18390" s="1"/>
    </row>
    <row r="18396" spans="13:16" x14ac:dyDescent="0.3">
      <c r="M18396" s="1"/>
    </row>
    <row r="18406" spans="14:15" x14ac:dyDescent="0.3">
      <c r="N18406" s="1"/>
    </row>
    <row r="18408" spans="14:15" x14ac:dyDescent="0.3">
      <c r="O18408" s="1"/>
    </row>
    <row r="18449" spans="13:15" x14ac:dyDescent="0.3">
      <c r="N18449" s="1"/>
    </row>
    <row r="18450" spans="13:15" x14ac:dyDescent="0.3">
      <c r="M18450" s="1"/>
    </row>
    <row r="18457" spans="13:15" x14ac:dyDescent="0.3">
      <c r="N18457" s="1"/>
    </row>
    <row r="18461" spans="13:15" x14ac:dyDescent="0.3">
      <c r="O18461" s="1"/>
    </row>
    <row r="18469" spans="15:15" x14ac:dyDescent="0.3">
      <c r="O18469" s="1"/>
    </row>
    <row r="18495" spans="14:15" x14ac:dyDescent="0.3">
      <c r="O18495" s="1"/>
    </row>
    <row r="18496" spans="14:15" x14ac:dyDescent="0.3">
      <c r="N18496" s="1"/>
    </row>
    <row r="18499" spans="13:15" x14ac:dyDescent="0.3">
      <c r="M18499" s="1"/>
      <c r="O18499" s="1"/>
    </row>
    <row r="18506" spans="13:15" x14ac:dyDescent="0.3">
      <c r="M18506" s="1"/>
    </row>
    <row r="18508" spans="13:15" x14ac:dyDescent="0.3">
      <c r="N18508" s="1"/>
    </row>
    <row r="18513" spans="15:15" x14ac:dyDescent="0.3">
      <c r="O18513" s="1"/>
    </row>
    <row r="18529" spans="13:13" x14ac:dyDescent="0.3">
      <c r="M18529" s="1"/>
    </row>
    <row r="18539" spans="13:13" x14ac:dyDescent="0.3">
      <c r="M18539" s="1"/>
    </row>
    <row r="18547" spans="13:13" x14ac:dyDescent="0.3">
      <c r="M18547" s="1"/>
    </row>
    <row r="18565" spans="14:15" x14ac:dyDescent="0.3">
      <c r="O18565" s="1"/>
    </row>
    <row r="18569" spans="14:15" x14ac:dyDescent="0.3">
      <c r="N18569" s="1"/>
    </row>
    <row r="18570" spans="14:15" x14ac:dyDescent="0.3">
      <c r="N18570" s="1"/>
    </row>
    <row r="18584" spans="14:14" x14ac:dyDescent="0.3">
      <c r="N18584" s="1"/>
    </row>
    <row r="18585" spans="14:14" x14ac:dyDescent="0.3">
      <c r="N18585" s="1"/>
    </row>
    <row r="18592" spans="14:14" x14ac:dyDescent="0.3">
      <c r="N18592" s="1"/>
    </row>
    <row r="18598" spans="13:16" x14ac:dyDescent="0.3">
      <c r="M18598" s="1"/>
      <c r="N18598" s="1"/>
    </row>
    <row r="18601" spans="13:16" x14ac:dyDescent="0.3">
      <c r="N18601" s="1"/>
      <c r="O18601" s="1"/>
    </row>
    <row r="18603" spans="13:16" x14ac:dyDescent="0.3">
      <c r="M18603" s="1"/>
      <c r="O18603" s="1"/>
      <c r="P18603" s="1"/>
    </row>
    <row r="18605" spans="13:16" x14ac:dyDescent="0.3">
      <c r="M18605" s="1"/>
      <c r="N18605" s="1"/>
      <c r="P18605" s="1"/>
    </row>
    <row r="18620" spans="15:15" x14ac:dyDescent="0.3">
      <c r="O18620" s="1"/>
    </row>
    <row r="18625" spans="14:15" x14ac:dyDescent="0.3">
      <c r="O18625" s="1"/>
    </row>
    <row r="18629" spans="14:15" x14ac:dyDescent="0.3">
      <c r="N18629" s="1"/>
    </row>
    <row r="18632" spans="14:15" x14ac:dyDescent="0.3">
      <c r="N18632" s="1"/>
    </row>
    <row r="18655" spans="15:15" x14ac:dyDescent="0.3">
      <c r="O18655" s="1"/>
    </row>
    <row r="18681" spans="14:14" x14ac:dyDescent="0.3">
      <c r="N18681" s="1"/>
    </row>
    <row r="18695" spans="13:16" x14ac:dyDescent="0.3">
      <c r="M18695" s="1"/>
    </row>
    <row r="18700" spans="13:16" x14ac:dyDescent="0.3">
      <c r="N18700" s="1"/>
      <c r="P18700" s="1"/>
    </row>
    <row r="18715" spans="13:16" x14ac:dyDescent="0.3">
      <c r="M18715" s="1"/>
      <c r="O18715" s="1"/>
      <c r="P18715" s="1"/>
    </row>
    <row r="18725" spans="15:15" x14ac:dyDescent="0.3">
      <c r="O18725" s="1"/>
    </row>
    <row r="18740" spans="13:15" x14ac:dyDescent="0.3">
      <c r="O18740" s="1"/>
    </row>
    <row r="18744" spans="13:15" x14ac:dyDescent="0.3">
      <c r="M18744" s="1"/>
    </row>
    <row r="18747" spans="13:15" x14ac:dyDescent="0.3">
      <c r="O18747" s="1"/>
    </row>
    <row r="18769" spans="13:16" x14ac:dyDescent="0.3">
      <c r="M18769" s="1"/>
      <c r="O18769" s="1"/>
      <c r="P18769" s="1"/>
    </row>
    <row r="18773" spans="13:16" x14ac:dyDescent="0.3">
      <c r="P18773" s="1"/>
    </row>
    <row r="18781" spans="13:16" x14ac:dyDescent="0.3">
      <c r="O18781" s="1"/>
    </row>
    <row r="18801" spans="13:14" x14ac:dyDescent="0.3">
      <c r="N18801" s="1"/>
    </row>
    <row r="18807" spans="13:14" x14ac:dyDescent="0.3">
      <c r="M18807" s="1"/>
      <c r="N18807" s="1"/>
    </row>
    <row r="18824" spans="14:14" x14ac:dyDescent="0.3">
      <c r="N18824" s="1"/>
    </row>
    <row r="18833" spans="13:14" x14ac:dyDescent="0.3">
      <c r="M18833" s="1"/>
      <c r="N18833" s="1"/>
    </row>
    <row r="18852" spans="13:15" x14ac:dyDescent="0.3">
      <c r="N18852" s="1"/>
      <c r="O18852" s="1"/>
    </row>
    <row r="18856" spans="13:15" x14ac:dyDescent="0.3">
      <c r="M18856" s="1"/>
      <c r="O18856" s="1"/>
    </row>
    <row r="18861" spans="13:15" x14ac:dyDescent="0.3">
      <c r="M18861" s="1"/>
    </row>
    <row r="18864" spans="13:15" x14ac:dyDescent="0.3">
      <c r="M18864" s="1"/>
      <c r="N18864" s="1"/>
    </row>
    <row r="18889" spans="13:16" x14ac:dyDescent="0.3">
      <c r="M18889" s="1"/>
      <c r="N18889" s="1"/>
      <c r="P18889" s="1"/>
    </row>
    <row r="18892" spans="13:16" x14ac:dyDescent="0.3">
      <c r="N18892" s="1"/>
      <c r="P18892" s="1"/>
    </row>
    <row r="18904" spans="14:15" x14ac:dyDescent="0.3">
      <c r="N18904" s="1"/>
    </row>
    <row r="18909" spans="14:15" x14ac:dyDescent="0.3">
      <c r="O18909" s="1"/>
    </row>
    <row r="18914" spans="13:14" x14ac:dyDescent="0.3">
      <c r="M18914" s="1"/>
      <c r="N18914" s="1"/>
    </row>
    <row r="18926" spans="13:14" x14ac:dyDescent="0.3">
      <c r="M18926" s="1"/>
    </row>
    <row r="18940" spans="13:14" x14ac:dyDescent="0.3">
      <c r="M18940" s="1"/>
      <c r="N18940" s="1"/>
    </row>
    <row r="18945" spans="13:15" x14ac:dyDescent="0.3">
      <c r="M18945" s="1"/>
    </row>
    <row r="18946" spans="13:15" x14ac:dyDescent="0.3">
      <c r="M18946" s="1"/>
      <c r="O18946" s="1"/>
    </row>
    <row r="18959" spans="13:15" x14ac:dyDescent="0.3">
      <c r="M18959" s="1"/>
    </row>
    <row r="18961" spans="14:15" x14ac:dyDescent="0.3">
      <c r="N18961" s="1"/>
      <c r="O18961" s="1"/>
    </row>
    <row r="18969" spans="14:15" x14ac:dyDescent="0.3">
      <c r="O18969" s="1"/>
    </row>
    <row r="18979" spans="13:16" x14ac:dyDescent="0.3">
      <c r="M18979" s="1"/>
      <c r="N18979" s="1"/>
      <c r="P18979" s="1"/>
    </row>
    <row r="18987" spans="13:16" x14ac:dyDescent="0.3">
      <c r="N18987" s="1"/>
    </row>
    <row r="19022" spans="13:13" x14ac:dyDescent="0.3">
      <c r="M19022" s="1"/>
    </row>
    <row r="19027" spans="13:16" x14ac:dyDescent="0.3">
      <c r="M19027" s="1"/>
      <c r="O19027" s="1"/>
      <c r="P19027" s="1"/>
    </row>
    <row r="19034" spans="13:16" x14ac:dyDescent="0.3">
      <c r="M19034" s="1"/>
      <c r="N19034" s="1"/>
      <c r="P19034" s="1"/>
    </row>
    <row r="19051" spans="13:15" x14ac:dyDescent="0.3">
      <c r="O19051" s="1"/>
    </row>
    <row r="19053" spans="13:15" x14ac:dyDescent="0.3">
      <c r="M19053" s="1"/>
    </row>
    <row r="19075" spans="13:16" x14ac:dyDescent="0.3">
      <c r="M19075" s="1"/>
      <c r="N19075" s="1"/>
      <c r="P19075" s="1"/>
    </row>
    <row r="19077" spans="13:16" x14ac:dyDescent="0.3">
      <c r="M19077" s="1"/>
      <c r="N19077" s="1"/>
    </row>
    <row r="19080" spans="13:16" x14ac:dyDescent="0.3">
      <c r="M19080" s="1"/>
    </row>
    <row r="19111" spans="13:16" x14ac:dyDescent="0.3">
      <c r="M19111" s="1"/>
    </row>
    <row r="19114" spans="13:16" x14ac:dyDescent="0.3">
      <c r="N19114" s="1"/>
      <c r="P19114" s="1"/>
    </row>
    <row r="19137" spans="14:16" x14ac:dyDescent="0.3">
      <c r="N19137" s="1"/>
      <c r="P19137" s="1"/>
    </row>
    <row r="19139" spans="14:16" x14ac:dyDescent="0.3">
      <c r="N19139" s="1"/>
    </row>
    <row r="19144" spans="14:16" x14ac:dyDescent="0.3">
      <c r="P19144" s="1"/>
    </row>
    <row r="19156" spans="14:14" x14ac:dyDescent="0.3">
      <c r="N19156" s="1"/>
    </row>
    <row r="19157" spans="14:14" x14ac:dyDescent="0.3">
      <c r="N19157" s="1"/>
    </row>
    <row r="19174" spans="13:13" x14ac:dyDescent="0.3">
      <c r="M19174" s="1"/>
    </row>
    <row r="19190" spans="13:15" x14ac:dyDescent="0.3">
      <c r="O19190" s="1"/>
    </row>
    <row r="19197" spans="13:15" x14ac:dyDescent="0.3">
      <c r="N19197" s="1"/>
      <c r="O19197" s="1"/>
    </row>
    <row r="19198" spans="13:15" x14ac:dyDescent="0.3">
      <c r="M19198" s="1"/>
    </row>
    <row r="19219" spans="13:16" x14ac:dyDescent="0.3">
      <c r="M19219" s="1"/>
      <c r="N19219" s="1"/>
      <c r="P19219" s="1"/>
    </row>
    <row r="19221" spans="13:16" x14ac:dyDescent="0.3">
      <c r="N19221" s="1"/>
    </row>
    <row r="19226" spans="13:16" x14ac:dyDescent="0.3">
      <c r="M19226" s="1"/>
    </row>
    <row r="19240" spans="14:16" x14ac:dyDescent="0.3">
      <c r="N19240" s="1"/>
      <c r="O19240" s="1"/>
      <c r="P19240" s="1"/>
    </row>
    <row r="19246" spans="14:16" x14ac:dyDescent="0.3">
      <c r="N19246" s="1"/>
      <c r="O19246" s="1"/>
    </row>
    <row r="19256" spans="13:15" x14ac:dyDescent="0.3">
      <c r="M19256" s="1"/>
      <c r="O19256" s="1"/>
    </row>
    <row r="19261" spans="13:15" x14ac:dyDescent="0.3">
      <c r="O19261" s="1"/>
    </row>
    <row r="19271" spans="13:16" x14ac:dyDescent="0.3">
      <c r="O19271" s="1"/>
      <c r="P19271" s="1"/>
    </row>
    <row r="19278" spans="13:16" x14ac:dyDescent="0.3">
      <c r="M19278" s="1"/>
      <c r="N19278" s="1"/>
      <c r="P19278" s="1"/>
    </row>
    <row r="19281" spans="15:15" x14ac:dyDescent="0.3">
      <c r="O19281" s="1"/>
    </row>
    <row r="19309" spans="15:15" x14ac:dyDescent="0.3">
      <c r="O19309" s="1"/>
    </row>
    <row r="19315" spans="13:15" x14ac:dyDescent="0.3">
      <c r="M19315" s="1"/>
    </row>
    <row r="19321" spans="13:15" x14ac:dyDescent="0.3">
      <c r="M19321" s="1"/>
      <c r="N19321" s="1"/>
    </row>
    <row r="19327" spans="13:15" x14ac:dyDescent="0.3">
      <c r="N19327" s="1"/>
      <c r="O19327" s="1"/>
    </row>
    <row r="19333" spans="14:16" x14ac:dyDescent="0.3">
      <c r="N19333" s="1"/>
      <c r="P19333" s="1"/>
    </row>
    <row r="19346" spans="13:16" x14ac:dyDescent="0.3">
      <c r="M19346" s="1"/>
      <c r="O19346" s="1"/>
      <c r="P19346" s="1"/>
    </row>
    <row r="19349" spans="13:16" x14ac:dyDescent="0.3">
      <c r="N19349" s="1"/>
    </row>
    <row r="19378" spans="13:16" x14ac:dyDescent="0.3">
      <c r="M19378" s="1"/>
      <c r="N19378" s="1"/>
      <c r="O19378" s="1"/>
    </row>
    <row r="19383" spans="13:16" x14ac:dyDescent="0.3">
      <c r="O19383" s="1"/>
    </row>
    <row r="19385" spans="13:16" x14ac:dyDescent="0.3">
      <c r="O19385" s="1"/>
    </row>
    <row r="19391" spans="13:16" x14ac:dyDescent="0.3">
      <c r="N19391" s="1"/>
      <c r="O19391" s="1"/>
      <c r="P19391" s="1"/>
    </row>
    <row r="19396" spans="13:16" x14ac:dyDescent="0.3">
      <c r="M19396" s="1"/>
      <c r="N19396" s="1"/>
    </row>
    <row r="19399" spans="13:16" x14ac:dyDescent="0.3">
      <c r="N19399" s="1"/>
    </row>
    <row r="19400" spans="13:16" x14ac:dyDescent="0.3">
      <c r="M19400" s="1"/>
    </row>
    <row r="19401" spans="13:16" x14ac:dyDescent="0.3">
      <c r="P19401" s="1"/>
    </row>
    <row r="19402" spans="13:16" x14ac:dyDescent="0.3">
      <c r="O19402" s="1"/>
    </row>
    <row r="19406" spans="13:16" x14ac:dyDescent="0.3">
      <c r="M19406" s="1"/>
      <c r="O19406" s="1"/>
    </row>
    <row r="19408" spans="13:16" x14ac:dyDescent="0.3">
      <c r="M19408" s="1"/>
      <c r="P19408" s="1"/>
    </row>
    <row r="19410" spans="14:15" x14ac:dyDescent="0.3">
      <c r="N19410" s="1"/>
    </row>
    <row r="19412" spans="14:15" x14ac:dyDescent="0.3">
      <c r="O19412" s="1"/>
    </row>
    <row r="19415" spans="14:15" x14ac:dyDescent="0.3">
      <c r="N19415" s="1"/>
    </row>
    <row r="19432" spans="13:16" x14ac:dyDescent="0.3">
      <c r="M19432" s="1"/>
      <c r="N19432" s="1"/>
      <c r="P19432" s="1"/>
    </row>
    <row r="19442" spans="13:15" x14ac:dyDescent="0.3">
      <c r="O19442" s="1"/>
    </row>
    <row r="19444" spans="13:15" x14ac:dyDescent="0.3">
      <c r="M19444" s="1"/>
    </row>
    <row r="19448" spans="13:15" x14ac:dyDescent="0.3">
      <c r="N19448" s="1"/>
      <c r="O19448" s="1"/>
    </row>
    <row r="19449" spans="13:15" x14ac:dyDescent="0.3">
      <c r="N19449" s="1"/>
    </row>
    <row r="19473" spans="15:15" x14ac:dyDescent="0.3">
      <c r="O19473" s="1"/>
    </row>
    <row r="19489" spans="13:16" x14ac:dyDescent="0.3">
      <c r="M19489" s="1"/>
      <c r="P19489" s="1"/>
    </row>
    <row r="19490" spans="13:16" x14ac:dyDescent="0.3">
      <c r="M19490" s="1"/>
      <c r="O19490" s="1"/>
      <c r="P19490" s="1"/>
    </row>
    <row r="19492" spans="13:16" x14ac:dyDescent="0.3">
      <c r="O19492" s="1"/>
    </row>
    <row r="19515" spans="13:15" x14ac:dyDescent="0.3">
      <c r="M19515" s="1"/>
      <c r="N19515" s="1"/>
      <c r="O19515" s="1"/>
    </row>
    <row r="19528" spans="13:16" x14ac:dyDescent="0.3">
      <c r="M19528" s="1"/>
      <c r="N19528" s="1"/>
      <c r="O19528" s="1"/>
      <c r="P19528" s="1"/>
    </row>
    <row r="19546" spans="13:16" x14ac:dyDescent="0.3">
      <c r="M19546" s="1"/>
      <c r="O19546" s="1"/>
      <c r="P19546" s="1"/>
    </row>
    <row r="19555" spans="14:15" x14ac:dyDescent="0.3">
      <c r="N19555" s="1"/>
    </row>
    <row r="19560" spans="14:15" x14ac:dyDescent="0.3">
      <c r="N19560" s="1"/>
    </row>
    <row r="19561" spans="14:15" x14ac:dyDescent="0.3">
      <c r="N19561" s="1"/>
    </row>
    <row r="19566" spans="14:15" x14ac:dyDescent="0.3">
      <c r="N19566" s="1"/>
      <c r="O19566" s="1"/>
    </row>
    <row r="19567" spans="14:15" x14ac:dyDescent="0.3">
      <c r="N19567" s="1"/>
      <c r="O19567" s="1"/>
    </row>
    <row r="19573" spans="14:16" x14ac:dyDescent="0.3">
      <c r="N19573" s="1"/>
      <c r="O19573" s="1"/>
      <c r="P19573" s="1"/>
    </row>
    <row r="19579" spans="14:16" x14ac:dyDescent="0.3">
      <c r="N19579" s="1"/>
      <c r="O19579" s="1"/>
    </row>
    <row r="19592" spans="13:13" x14ac:dyDescent="0.3">
      <c r="M19592" s="1"/>
    </row>
    <row r="19609" spans="13:16" x14ac:dyDescent="0.3">
      <c r="O19609" s="1"/>
    </row>
    <row r="19614" spans="13:16" x14ac:dyDescent="0.3">
      <c r="M19614" s="1"/>
      <c r="O19614" s="1"/>
      <c r="P19614" s="1"/>
    </row>
    <row r="19657" spans="13:15" x14ac:dyDescent="0.3">
      <c r="M19657" s="1"/>
      <c r="O19657" s="1"/>
    </row>
    <row r="19665" spans="14:16" x14ac:dyDescent="0.3">
      <c r="O19665" s="1"/>
      <c r="P19665" s="1"/>
    </row>
    <row r="19678" spans="14:16" x14ac:dyDescent="0.3">
      <c r="N19678" s="1"/>
    </row>
    <row r="19692" spans="13:16" x14ac:dyDescent="0.3">
      <c r="M19692" s="1"/>
      <c r="O19692" s="1"/>
      <c r="P19692" s="1"/>
    </row>
    <row r="19697" spans="13:16" x14ac:dyDescent="0.3">
      <c r="M19697" s="1"/>
      <c r="N19697" s="1"/>
      <c r="O19697" s="1"/>
      <c r="P19697" s="1"/>
    </row>
    <row r="19729" spans="13:13" x14ac:dyDescent="0.3">
      <c r="M19729" s="1"/>
    </row>
    <row r="19753" spans="13:15" x14ac:dyDescent="0.3">
      <c r="O19753" s="1"/>
    </row>
    <row r="19754" spans="13:15" x14ac:dyDescent="0.3">
      <c r="M19754" s="1"/>
      <c r="O19754" s="1"/>
    </row>
    <row r="19757" spans="13:15" x14ac:dyDescent="0.3">
      <c r="M19757" s="1"/>
    </row>
    <row r="19779" spans="13:15" x14ac:dyDescent="0.3">
      <c r="O19779" s="1"/>
    </row>
    <row r="19781" spans="13:15" x14ac:dyDescent="0.3">
      <c r="M19781" s="1"/>
      <c r="N19781" s="1"/>
      <c r="O19781" s="1"/>
    </row>
    <row r="19783" spans="13:15" x14ac:dyDescent="0.3">
      <c r="N19783" s="1"/>
    </row>
    <row r="19801" spans="13:16" x14ac:dyDescent="0.3">
      <c r="M19801" s="1"/>
    </row>
    <row r="19804" spans="13:16" x14ac:dyDescent="0.3">
      <c r="P19804" s="1"/>
    </row>
    <row r="19806" spans="13:16" x14ac:dyDescent="0.3">
      <c r="O19806" s="1"/>
    </row>
    <row r="19818" spans="13:14" x14ac:dyDescent="0.3">
      <c r="N19818" s="1"/>
    </row>
    <row r="19824" spans="13:14" x14ac:dyDescent="0.3">
      <c r="M19824" s="1"/>
      <c r="N19824" s="1"/>
    </row>
    <row r="19828" spans="13:16" x14ac:dyDescent="0.3">
      <c r="M19828" s="1"/>
      <c r="O19828" s="1"/>
    </row>
    <row r="19829" spans="13:16" x14ac:dyDescent="0.3">
      <c r="M19829" s="1"/>
      <c r="P19829" s="1"/>
    </row>
    <row r="19871" spans="13:15" x14ac:dyDescent="0.3">
      <c r="M19871" s="1"/>
      <c r="O19871" s="1"/>
    </row>
    <row r="19877" spans="13:15" x14ac:dyDescent="0.3">
      <c r="M19877" s="1"/>
      <c r="O19877" s="1"/>
    </row>
    <row r="19904" spans="13:13" x14ac:dyDescent="0.3">
      <c r="M19904" s="1"/>
    </row>
    <row r="19916" spans="13:16" x14ac:dyDescent="0.3">
      <c r="P19916" s="1"/>
    </row>
    <row r="19918" spans="13:16" x14ac:dyDescent="0.3">
      <c r="M19918" s="1"/>
      <c r="N19918" s="1"/>
      <c r="P19918" s="1"/>
    </row>
    <row r="19923" spans="13:16" x14ac:dyDescent="0.3">
      <c r="N19923" s="1"/>
    </row>
    <row r="19928" spans="13:16" x14ac:dyDescent="0.3">
      <c r="M19928" s="1"/>
      <c r="O19928" s="1"/>
      <c r="P19928" s="1"/>
    </row>
    <row r="19947" spans="13:16" x14ac:dyDescent="0.3">
      <c r="M19947" s="1"/>
      <c r="N19947" s="1"/>
    </row>
    <row r="19950" spans="13:16" x14ac:dyDescent="0.3">
      <c r="N19950" s="1"/>
    </row>
    <row r="19951" spans="13:16" x14ac:dyDescent="0.3">
      <c r="M19951" s="1"/>
      <c r="N19951" s="1"/>
      <c r="O19951" s="1"/>
      <c r="P19951" s="1"/>
    </row>
    <row r="19962" spans="13:16" x14ac:dyDescent="0.3">
      <c r="M19962" s="1"/>
      <c r="N19962" s="1"/>
      <c r="O19962" s="1"/>
      <c r="P19962" s="1"/>
    </row>
    <row r="19966" spans="13:16" x14ac:dyDescent="0.3">
      <c r="N19966" s="1"/>
      <c r="P19966" s="1"/>
    </row>
    <row r="19967" spans="13:16" x14ac:dyDescent="0.3">
      <c r="N19967" s="1"/>
    </row>
    <row r="19971" spans="13:13" x14ac:dyDescent="0.3">
      <c r="M19971" s="1"/>
    </row>
    <row r="19986" spans="16:16" x14ac:dyDescent="0.3">
      <c r="P19986" s="1"/>
    </row>
    <row r="20005" spans="15:16" x14ac:dyDescent="0.3">
      <c r="O20005" s="1"/>
    </row>
    <row r="20008" spans="15:16" x14ac:dyDescent="0.3">
      <c r="O20008" s="1"/>
      <c r="P20008" s="1"/>
    </row>
    <row r="20036" spans="13:15" x14ac:dyDescent="0.3">
      <c r="O20036" s="1"/>
    </row>
    <row r="20048" spans="13:15" x14ac:dyDescent="0.3">
      <c r="M20048" s="1"/>
    </row>
    <row r="20062" spans="13:16" x14ac:dyDescent="0.3">
      <c r="M20062" s="1"/>
      <c r="O20062" s="1"/>
      <c r="P20062" s="1"/>
    </row>
    <row r="20076" spans="14:14" x14ac:dyDescent="0.3">
      <c r="N20076" s="1"/>
    </row>
    <row r="20097" spans="13:16" x14ac:dyDescent="0.3">
      <c r="M20097" s="1"/>
      <c r="P20097" s="1"/>
    </row>
    <row r="20098" spans="13:16" x14ac:dyDescent="0.3">
      <c r="O20098" s="1"/>
    </row>
    <row r="20119" spans="14:15" x14ac:dyDescent="0.3">
      <c r="N20119" s="1"/>
      <c r="O20119" s="1"/>
    </row>
    <row r="20123" spans="14:15" x14ac:dyDescent="0.3">
      <c r="O20123" s="1"/>
    </row>
    <row r="20145" spans="14:15" x14ac:dyDescent="0.3">
      <c r="O20145" s="1"/>
    </row>
    <row r="20146" spans="14:15" x14ac:dyDescent="0.3">
      <c r="N20146" s="1"/>
      <c r="O20146" s="1"/>
    </row>
    <row r="20167" spans="13:15" x14ac:dyDescent="0.3">
      <c r="N20167" s="1"/>
    </row>
    <row r="20169" spans="13:15" x14ac:dyDescent="0.3">
      <c r="M20169" s="1"/>
      <c r="O20169" s="1"/>
    </row>
    <row r="20178" spans="14:16" x14ac:dyDescent="0.3">
      <c r="P20178" s="1"/>
    </row>
    <row r="20179" spans="14:16" x14ac:dyDescent="0.3">
      <c r="N20179" s="1"/>
    </row>
    <row r="20181" spans="14:16" x14ac:dyDescent="0.3">
      <c r="N20181" s="1"/>
      <c r="P20181" s="1"/>
    </row>
    <row r="20183" spans="14:16" x14ac:dyDescent="0.3">
      <c r="O20183" s="1"/>
    </row>
    <row r="20184" spans="14:16" x14ac:dyDescent="0.3">
      <c r="N20184" s="1"/>
    </row>
    <row r="20196" spans="14:14" x14ac:dyDescent="0.3">
      <c r="N20196" s="1"/>
    </row>
    <row r="20210" spans="13:15" x14ac:dyDescent="0.3">
      <c r="M20210" s="1"/>
      <c r="N20210" s="1"/>
      <c r="O20210" s="1"/>
    </row>
    <row r="20226" spans="13:16" x14ac:dyDescent="0.3">
      <c r="O20226" s="1"/>
    </row>
    <row r="20231" spans="13:16" x14ac:dyDescent="0.3">
      <c r="M20231" s="1"/>
      <c r="N20231" s="1"/>
      <c r="P20231" s="1"/>
    </row>
    <row r="20252" spans="13:13" x14ac:dyDescent="0.3">
      <c r="M20252" s="1"/>
    </row>
    <row r="20257" spans="13:15" x14ac:dyDescent="0.3">
      <c r="O20257" s="1"/>
    </row>
    <row r="20261" spans="13:15" x14ac:dyDescent="0.3">
      <c r="M20261" s="1"/>
    </row>
    <row r="20285" spans="13:16" x14ac:dyDescent="0.3">
      <c r="M20285" s="1"/>
      <c r="N20285" s="1"/>
      <c r="O20285" s="1"/>
      <c r="P20285" s="1"/>
    </row>
    <row r="20288" spans="13:16" x14ac:dyDescent="0.3">
      <c r="M20288" s="1"/>
      <c r="O20288" s="1"/>
    </row>
    <row r="20294" spans="13:13" x14ac:dyDescent="0.3">
      <c r="M20294" s="1"/>
    </row>
    <row r="20306" spans="13:16" x14ac:dyDescent="0.3">
      <c r="M20306" s="1"/>
      <c r="O20306" s="1"/>
    </row>
    <row r="20307" spans="13:16" x14ac:dyDescent="0.3">
      <c r="N20307" s="1"/>
    </row>
    <row r="20308" spans="13:16" x14ac:dyDescent="0.3">
      <c r="N20308" s="1"/>
      <c r="P20308" s="1"/>
    </row>
    <row r="20310" spans="13:16" x14ac:dyDescent="0.3">
      <c r="O20310" s="1"/>
    </row>
    <row r="20316" spans="13:16" x14ac:dyDescent="0.3">
      <c r="O20316" s="1"/>
    </row>
    <row r="20322" spans="13:15" x14ac:dyDescent="0.3">
      <c r="M20322" s="1"/>
      <c r="O20322" s="1"/>
    </row>
    <row r="20326" spans="13:15" x14ac:dyDescent="0.3">
      <c r="M20326" s="1"/>
      <c r="O20326" s="1"/>
    </row>
    <row r="20341" spans="13:16" x14ac:dyDescent="0.3">
      <c r="M20341" s="1"/>
    </row>
    <row r="20342" spans="13:16" x14ac:dyDescent="0.3">
      <c r="M20342" s="1"/>
    </row>
    <row r="20347" spans="13:16" x14ac:dyDescent="0.3">
      <c r="M20347" s="1"/>
      <c r="P20347" s="1"/>
    </row>
    <row r="20348" spans="13:16" x14ac:dyDescent="0.3">
      <c r="M20348" s="1"/>
    </row>
    <row r="20355" spans="13:16" x14ac:dyDescent="0.3">
      <c r="M20355" s="1"/>
      <c r="N20355" s="1"/>
      <c r="P20355" s="1"/>
    </row>
    <row r="20359" spans="13:16" x14ac:dyDescent="0.3">
      <c r="O20359" s="1"/>
    </row>
    <row r="20393" spans="13:16" x14ac:dyDescent="0.3">
      <c r="N20393" s="1"/>
      <c r="O20393" s="1"/>
    </row>
    <row r="20396" spans="13:16" x14ac:dyDescent="0.3">
      <c r="M20396" s="1"/>
      <c r="P20396" s="1"/>
    </row>
    <row r="20402" spans="13:16" x14ac:dyDescent="0.3">
      <c r="N20402" s="1"/>
    </row>
    <row r="20407" spans="13:16" x14ac:dyDescent="0.3">
      <c r="O20407" s="1"/>
    </row>
    <row r="20409" spans="13:16" x14ac:dyDescent="0.3">
      <c r="N20409" s="1"/>
    </row>
    <row r="20412" spans="13:16" x14ac:dyDescent="0.3">
      <c r="O20412" s="1"/>
    </row>
    <row r="20413" spans="13:16" x14ac:dyDescent="0.3">
      <c r="M20413" s="1"/>
      <c r="N20413" s="1"/>
      <c r="O20413" s="1"/>
      <c r="P20413" s="1"/>
    </row>
    <row r="20428" spans="13:16" x14ac:dyDescent="0.3">
      <c r="M20428" s="1"/>
      <c r="N20428" s="1"/>
      <c r="O20428" s="1"/>
      <c r="P20428" s="1"/>
    </row>
    <row r="20436" spans="14:16" x14ac:dyDescent="0.3">
      <c r="N20436" s="1"/>
    </row>
    <row r="20442" spans="14:16" x14ac:dyDescent="0.3">
      <c r="N20442" s="1"/>
      <c r="O20442" s="1"/>
      <c r="P20442" s="1"/>
    </row>
    <row r="20445" spans="14:16" x14ac:dyDescent="0.3">
      <c r="N20445" s="1"/>
    </row>
    <row r="20446" spans="14:16" x14ac:dyDescent="0.3">
      <c r="N20446" s="1"/>
      <c r="P20446" s="1"/>
    </row>
    <row r="20454" spans="15:15" x14ac:dyDescent="0.3">
      <c r="O20454" s="1"/>
    </row>
    <row r="20466" spans="13:15" x14ac:dyDescent="0.3">
      <c r="M20466" s="1"/>
    </row>
    <row r="20469" spans="13:15" x14ac:dyDescent="0.3">
      <c r="N20469" s="1"/>
      <c r="O20469" s="1"/>
    </row>
    <row r="20476" spans="13:15" x14ac:dyDescent="0.3">
      <c r="N20476" s="1"/>
    </row>
    <row r="20480" spans="13:15" x14ac:dyDescent="0.3">
      <c r="O20480" s="1"/>
    </row>
    <row r="20490" spans="13:14" x14ac:dyDescent="0.3">
      <c r="M20490" s="1"/>
      <c r="N20490" s="1"/>
    </row>
    <row r="20505" spans="13:16" x14ac:dyDescent="0.3">
      <c r="M20505" s="1"/>
      <c r="N20505" s="1"/>
      <c r="O20505" s="1"/>
      <c r="P20505" s="1"/>
    </row>
    <row r="20521" spans="14:15" x14ac:dyDescent="0.3">
      <c r="N20521" s="1"/>
      <c r="O20521" s="1"/>
    </row>
    <row r="20539" spans="13:13" x14ac:dyDescent="0.3">
      <c r="M20539" s="1"/>
    </row>
    <row r="20550" spans="14:14" x14ac:dyDescent="0.3">
      <c r="N20550" s="1"/>
    </row>
    <row r="20555" spans="14:14" x14ac:dyDescent="0.3">
      <c r="N20555" s="1"/>
    </row>
    <row r="20562" spans="13:16" x14ac:dyDescent="0.3">
      <c r="M20562" s="1"/>
      <c r="N20562" s="1"/>
      <c r="O20562" s="1"/>
    </row>
    <row r="20564" spans="13:16" x14ac:dyDescent="0.3">
      <c r="M20564" s="1"/>
    </row>
    <row r="20573" spans="13:16" x14ac:dyDescent="0.3">
      <c r="M20573" s="1"/>
      <c r="N20573" s="1"/>
      <c r="P20573" s="1"/>
    </row>
    <row r="20575" spans="13:16" x14ac:dyDescent="0.3">
      <c r="N20575" s="1"/>
    </row>
    <row r="20588" spans="14:14" x14ac:dyDescent="0.3">
      <c r="N20588" s="1"/>
    </row>
    <row r="20599" spans="15:16" x14ac:dyDescent="0.3">
      <c r="O20599" s="1"/>
      <c r="P20599" s="1"/>
    </row>
    <row r="20604" spans="15:16" x14ac:dyDescent="0.3">
      <c r="O20604" s="1"/>
    </row>
    <row r="20620" spans="13:15" x14ac:dyDescent="0.3">
      <c r="M20620" s="1"/>
      <c r="N20620" s="1"/>
      <c r="O20620" s="1"/>
    </row>
    <row r="20626" spans="13:14" x14ac:dyDescent="0.3">
      <c r="N20626" s="1"/>
    </row>
    <row r="20632" spans="13:14" x14ac:dyDescent="0.3">
      <c r="M20632" s="1"/>
    </row>
    <row r="20645" spans="14:14" x14ac:dyDescent="0.3">
      <c r="N20645" s="1"/>
    </row>
    <row r="20658" spans="13:16" x14ac:dyDescent="0.3">
      <c r="M20658" s="1"/>
      <c r="N20658" s="1"/>
      <c r="O20658" s="1"/>
      <c r="P20658" s="1"/>
    </row>
    <row r="20667" spans="13:16" x14ac:dyDescent="0.3">
      <c r="O20667" s="1"/>
    </row>
    <row r="20677" spans="13:16" x14ac:dyDescent="0.3">
      <c r="M20677" s="1"/>
      <c r="P20677" s="1"/>
    </row>
    <row r="20684" spans="13:16" x14ac:dyDescent="0.3">
      <c r="M20684" s="1"/>
      <c r="N20684" s="1"/>
    </row>
    <row r="20689" spans="13:16" x14ac:dyDescent="0.3">
      <c r="N20689" s="1"/>
      <c r="P20689" s="1"/>
    </row>
    <row r="20690" spans="13:16" x14ac:dyDescent="0.3">
      <c r="M20690" s="1"/>
    </row>
    <row r="20694" spans="13:16" x14ac:dyDescent="0.3">
      <c r="O20694" s="1"/>
    </row>
    <row r="20707" spans="13:16" x14ac:dyDescent="0.3">
      <c r="N20707" s="1"/>
    </row>
    <row r="20717" spans="13:16" x14ac:dyDescent="0.3">
      <c r="P20717" s="1"/>
    </row>
    <row r="20720" spans="13:16" x14ac:dyDescent="0.3">
      <c r="M20720" s="1"/>
      <c r="O20720" s="1"/>
    </row>
    <row r="20732" spans="14:14" x14ac:dyDescent="0.3">
      <c r="N20732" s="1"/>
    </row>
    <row r="20734" spans="14:14" x14ac:dyDescent="0.3">
      <c r="N20734" s="1"/>
    </row>
    <row r="20747" spans="13:13" x14ac:dyDescent="0.3">
      <c r="M20747" s="1"/>
    </row>
    <row r="20764" spans="13:15" x14ac:dyDescent="0.3">
      <c r="N20764" s="1"/>
    </row>
    <row r="20765" spans="13:15" x14ac:dyDescent="0.3">
      <c r="M20765" s="1"/>
      <c r="O20765" s="1"/>
    </row>
    <row r="20791" spans="13:16" x14ac:dyDescent="0.3">
      <c r="N20791" s="1"/>
      <c r="O20791" s="1"/>
      <c r="P20791" s="1"/>
    </row>
    <row r="20794" spans="13:16" x14ac:dyDescent="0.3">
      <c r="M20794" s="1"/>
      <c r="N20794" s="1"/>
      <c r="O20794" s="1"/>
      <c r="P20794" s="1"/>
    </row>
    <row r="20797" spans="13:16" x14ac:dyDescent="0.3">
      <c r="N20797" s="1"/>
      <c r="O20797" s="1"/>
    </row>
    <row r="20808" spans="13:15" x14ac:dyDescent="0.3">
      <c r="M20808" s="1"/>
      <c r="O20808" s="1"/>
    </row>
    <row r="20812" spans="13:15" x14ac:dyDescent="0.3">
      <c r="N20812" s="1"/>
      <c r="O20812" s="1"/>
    </row>
    <row r="20839" spans="13:16" x14ac:dyDescent="0.3">
      <c r="M20839" s="1"/>
      <c r="O20839" s="1"/>
      <c r="P20839" s="1"/>
    </row>
    <row r="20840" spans="13:16" x14ac:dyDescent="0.3">
      <c r="M20840" s="1"/>
      <c r="N20840" s="1"/>
    </row>
    <row r="20843" spans="13:16" x14ac:dyDescent="0.3">
      <c r="M20843" s="1"/>
      <c r="O20843" s="1"/>
      <c r="P20843" s="1"/>
    </row>
    <row r="20845" spans="13:16" x14ac:dyDescent="0.3">
      <c r="O20845" s="1"/>
      <c r="P20845" s="1"/>
    </row>
    <row r="20849" spans="13:16" x14ac:dyDescent="0.3">
      <c r="O20849" s="1"/>
    </row>
    <row r="20851" spans="13:16" x14ac:dyDescent="0.3">
      <c r="M20851" s="1"/>
      <c r="N20851" s="1"/>
      <c r="O20851" s="1"/>
      <c r="P20851" s="1"/>
    </row>
    <row r="20862" spans="13:16" x14ac:dyDescent="0.3">
      <c r="M20862" s="1"/>
      <c r="N20862" s="1"/>
    </row>
    <row r="20863" spans="13:16" x14ac:dyDescent="0.3">
      <c r="O20863" s="1"/>
    </row>
    <row r="20878" spans="15:15" x14ac:dyDescent="0.3">
      <c r="O20878" s="1"/>
    </row>
    <row r="20908" spans="13:15" x14ac:dyDescent="0.3">
      <c r="N20908" s="1"/>
    </row>
    <row r="20909" spans="13:15" x14ac:dyDescent="0.3">
      <c r="M20909" s="1"/>
      <c r="O20909" s="1"/>
    </row>
    <row r="20921" spans="13:16" x14ac:dyDescent="0.3">
      <c r="M20921" s="1"/>
      <c r="N20921" s="1"/>
      <c r="P20921" s="1"/>
    </row>
    <row r="20923" spans="13:16" x14ac:dyDescent="0.3">
      <c r="N20923" s="1"/>
    </row>
    <row r="20925" spans="13:16" x14ac:dyDescent="0.3">
      <c r="M20925" s="1"/>
      <c r="N20925" s="1"/>
      <c r="O20925" s="1"/>
      <c r="P20925" s="1"/>
    </row>
    <row r="20945" spans="13:15" x14ac:dyDescent="0.3">
      <c r="M20945" s="1"/>
      <c r="N20945" s="1"/>
    </row>
    <row r="20946" spans="13:15" x14ac:dyDescent="0.3">
      <c r="M20946" s="1"/>
      <c r="N20946" s="1"/>
    </row>
    <row r="20949" spans="13:15" x14ac:dyDescent="0.3">
      <c r="O20949" s="1"/>
    </row>
    <row r="20957" spans="13:15" x14ac:dyDescent="0.3">
      <c r="O20957" s="1"/>
    </row>
    <row r="20959" spans="13:15" x14ac:dyDescent="0.3">
      <c r="N20959" s="1"/>
      <c r="O20959" s="1"/>
    </row>
    <row r="20964" spans="13:14" x14ac:dyDescent="0.3">
      <c r="M20964" s="1"/>
      <c r="N20964" s="1"/>
    </row>
    <row r="20975" spans="13:14" x14ac:dyDescent="0.3">
      <c r="N20975" s="1"/>
    </row>
    <row r="20980" spans="15:15" x14ac:dyDescent="0.3">
      <c r="O20980" s="1"/>
    </row>
    <row r="20985" spans="15:15" x14ac:dyDescent="0.3">
      <c r="O20985" s="1"/>
    </row>
    <row r="20991" spans="15:15" x14ac:dyDescent="0.3">
      <c r="O20991" s="1"/>
    </row>
    <row r="21010" spans="14:16" x14ac:dyDescent="0.3">
      <c r="N21010" s="1"/>
    </row>
    <row r="21011" spans="14:16" x14ac:dyDescent="0.3">
      <c r="N21011" s="1"/>
      <c r="O21011" s="1"/>
      <c r="P21011" s="1"/>
    </row>
    <row r="21042" spans="13:14" x14ac:dyDescent="0.3">
      <c r="M21042" s="1"/>
      <c r="N21042" s="1"/>
    </row>
    <row r="21045" spans="13:14" x14ac:dyDescent="0.3">
      <c r="M21045" s="1"/>
    </row>
    <row r="21046" spans="13:14" x14ac:dyDescent="0.3">
      <c r="M21046" s="1"/>
      <c r="N21046" s="1"/>
    </row>
    <row r="21050" spans="13:14" x14ac:dyDescent="0.3">
      <c r="N21050" s="1"/>
    </row>
    <row r="21057" spans="14:16" x14ac:dyDescent="0.3">
      <c r="O21057" s="1"/>
    </row>
    <row r="21072" spans="14:16" x14ac:dyDescent="0.3">
      <c r="N21072" s="1"/>
      <c r="P21072" s="1"/>
    </row>
    <row r="21076" spans="14:16" x14ac:dyDescent="0.3">
      <c r="O21076" s="1"/>
      <c r="P21076" s="1"/>
    </row>
    <row r="21085" spans="14:16" x14ac:dyDescent="0.3">
      <c r="N21085" s="1"/>
    </row>
    <row r="21089" spans="13:16" x14ac:dyDescent="0.3">
      <c r="M21089" s="1"/>
      <c r="N21089" s="1"/>
      <c r="P21089" s="1"/>
    </row>
    <row r="21105" spans="13:16" x14ac:dyDescent="0.3">
      <c r="M21105" s="1"/>
      <c r="N21105" s="1"/>
      <c r="O21105" s="1"/>
      <c r="P21105" s="1"/>
    </row>
    <row r="21113" spans="13:16" x14ac:dyDescent="0.3">
      <c r="M21113" s="1"/>
      <c r="O21113" s="1"/>
    </row>
    <row r="21114" spans="13:16" x14ac:dyDescent="0.3">
      <c r="O21114" s="1"/>
    </row>
    <row r="21121" spans="13:16" x14ac:dyDescent="0.3">
      <c r="N21121" s="1"/>
    </row>
    <row r="21126" spans="13:16" x14ac:dyDescent="0.3">
      <c r="O21126" s="1"/>
      <c r="P21126" s="1"/>
    </row>
    <row r="21129" spans="13:16" x14ac:dyDescent="0.3">
      <c r="O21129" s="1"/>
    </row>
    <row r="21132" spans="13:16" x14ac:dyDescent="0.3">
      <c r="M21132" s="1"/>
      <c r="N21132" s="1"/>
    </row>
    <row r="21144" spans="13:16" x14ac:dyDescent="0.3">
      <c r="M21144" s="1"/>
      <c r="N21144" s="1"/>
      <c r="O21144" s="1"/>
      <c r="P21144" s="1"/>
    </row>
    <row r="21156" spans="14:15" x14ac:dyDescent="0.3">
      <c r="N21156" s="1"/>
    </row>
    <row r="21161" spans="14:15" x14ac:dyDescent="0.3">
      <c r="O21161" s="1"/>
    </row>
    <row r="21167" spans="14:15" x14ac:dyDescent="0.3">
      <c r="N21167" s="1"/>
    </row>
    <row r="21171" spans="13:16" x14ac:dyDescent="0.3">
      <c r="N21171" s="1"/>
      <c r="O21171" s="1"/>
      <c r="P21171" s="1"/>
    </row>
    <row r="21177" spans="13:16" x14ac:dyDescent="0.3">
      <c r="O21177" s="1"/>
    </row>
    <row r="21182" spans="13:16" x14ac:dyDescent="0.3">
      <c r="M21182" s="1"/>
      <c r="O21182" s="1"/>
      <c r="P21182" s="1"/>
    </row>
    <row r="21184" spans="13:16" x14ac:dyDescent="0.3">
      <c r="O21184" s="1"/>
    </row>
    <row r="21186" spans="13:16" x14ac:dyDescent="0.3">
      <c r="M21186" s="1"/>
    </row>
    <row r="21191" spans="13:16" x14ac:dyDescent="0.3">
      <c r="M21191" s="1"/>
      <c r="N21191" s="1"/>
      <c r="O21191" s="1"/>
      <c r="P21191" s="1"/>
    </row>
    <row r="21193" spans="13:16" x14ac:dyDescent="0.3">
      <c r="M21193" s="1"/>
      <c r="N21193" s="1"/>
      <c r="P21193" s="1"/>
    </row>
    <row r="21200" spans="13:16" x14ac:dyDescent="0.3">
      <c r="M21200" s="1"/>
      <c r="N21200" s="1"/>
      <c r="P21200" s="1"/>
    </row>
    <row r="21203" spans="13:13" x14ac:dyDescent="0.3">
      <c r="M21203" s="1"/>
    </row>
    <row r="21224" spans="14:15" x14ac:dyDescent="0.3">
      <c r="N21224" s="1"/>
      <c r="O21224" s="1"/>
    </row>
    <row r="21241" spans="13:15" x14ac:dyDescent="0.3">
      <c r="N21241" s="1"/>
      <c r="O21241" s="1"/>
    </row>
    <row r="21242" spans="13:15" x14ac:dyDescent="0.3">
      <c r="O21242" s="1"/>
    </row>
    <row r="21245" spans="13:15" x14ac:dyDescent="0.3">
      <c r="N21245" s="1"/>
    </row>
    <row r="21247" spans="13:15" x14ac:dyDescent="0.3">
      <c r="M21247" s="1"/>
      <c r="O21247" s="1"/>
    </row>
    <row r="21250" spans="13:16" x14ac:dyDescent="0.3">
      <c r="O21250" s="1"/>
    </row>
    <row r="21252" spans="13:16" x14ac:dyDescent="0.3">
      <c r="N21252" s="1"/>
      <c r="P21252" s="1"/>
    </row>
    <row r="21256" spans="13:16" x14ac:dyDescent="0.3">
      <c r="M21256" s="1"/>
      <c r="N21256" s="1"/>
      <c r="O21256" s="1"/>
    </row>
    <row r="21263" spans="13:16" x14ac:dyDescent="0.3">
      <c r="O21263" s="1"/>
    </row>
    <row r="21265" spans="13:15" x14ac:dyDescent="0.3">
      <c r="M21265" s="1"/>
      <c r="O21265" s="1"/>
    </row>
    <row r="21274" spans="13:15" x14ac:dyDescent="0.3">
      <c r="M21274" s="1"/>
      <c r="N21274" s="1"/>
      <c r="O21274" s="1"/>
    </row>
    <row r="21289" spans="14:16" x14ac:dyDescent="0.3">
      <c r="O21289" s="1"/>
    </row>
    <row r="21293" spans="14:16" x14ac:dyDescent="0.3">
      <c r="N21293" s="1"/>
    </row>
    <row r="21294" spans="14:16" x14ac:dyDescent="0.3">
      <c r="N21294" s="1"/>
      <c r="O21294" s="1"/>
      <c r="P21294" s="1"/>
    </row>
    <row r="21299" spans="14:15" x14ac:dyDescent="0.3">
      <c r="N21299" s="1"/>
    </row>
    <row r="21304" spans="14:15" x14ac:dyDescent="0.3">
      <c r="O21304" s="1"/>
    </row>
    <row r="21320" spans="13:15" x14ac:dyDescent="0.3">
      <c r="M21320" s="1"/>
      <c r="N21320" s="1"/>
      <c r="O21320" s="1"/>
    </row>
    <row r="21321" spans="13:15" x14ac:dyDescent="0.3">
      <c r="M21321" s="1"/>
    </row>
    <row r="21332" spans="13:16" x14ac:dyDescent="0.3">
      <c r="M21332" s="1"/>
      <c r="N21332" s="1"/>
      <c r="O21332" s="1"/>
      <c r="P21332" s="1"/>
    </row>
    <row r="21336" spans="13:16" x14ac:dyDescent="0.3">
      <c r="O21336" s="1"/>
    </row>
    <row r="21340" spans="13:16" x14ac:dyDescent="0.3">
      <c r="N21340" s="1"/>
    </row>
    <row r="21349" spans="13:16" x14ac:dyDescent="0.3">
      <c r="M21349" s="1"/>
    </row>
    <row r="21352" spans="13:16" x14ac:dyDescent="0.3">
      <c r="M21352" s="1"/>
    </row>
    <row r="21355" spans="13:16" x14ac:dyDescent="0.3">
      <c r="N21355" s="1"/>
      <c r="O21355" s="1"/>
      <c r="P21355" s="1"/>
    </row>
    <row r="21363" spans="14:15" x14ac:dyDescent="0.3">
      <c r="N21363" s="1"/>
    </row>
    <row r="21365" spans="14:15" x14ac:dyDescent="0.3">
      <c r="N21365" s="1"/>
    </row>
    <row r="21368" spans="14:15" x14ac:dyDescent="0.3">
      <c r="O21368" s="1"/>
    </row>
    <row r="21372" spans="14:15" x14ac:dyDescent="0.3">
      <c r="O21372" s="1"/>
    </row>
    <row r="21391" spans="13:16" x14ac:dyDescent="0.3">
      <c r="M21391" s="1"/>
      <c r="N21391" s="1"/>
      <c r="P21391" s="1"/>
    </row>
    <row r="21401" spans="13:16" x14ac:dyDescent="0.3">
      <c r="M21401" s="1"/>
      <c r="O21401" s="1"/>
      <c r="P21401" s="1"/>
    </row>
    <row r="21408" spans="13:16" x14ac:dyDescent="0.3">
      <c r="O21408" s="1"/>
    </row>
    <row r="21425" spans="13:16" x14ac:dyDescent="0.3">
      <c r="M21425" s="1"/>
      <c r="N21425" s="1"/>
      <c r="P21425" s="1"/>
    </row>
    <row r="21438" spans="13:16" x14ac:dyDescent="0.3">
      <c r="N21438" s="1"/>
      <c r="O21438" s="1"/>
    </row>
    <row r="21449" spans="13:13" x14ac:dyDescent="0.3">
      <c r="M21449" s="1"/>
    </row>
    <row r="21460" spans="14:14" x14ac:dyDescent="0.3">
      <c r="N21460" s="1"/>
    </row>
    <row r="21487" spans="13:16" x14ac:dyDescent="0.3">
      <c r="O21487" s="1"/>
    </row>
    <row r="21488" spans="13:16" x14ac:dyDescent="0.3">
      <c r="M21488" s="1"/>
      <c r="O21488" s="1"/>
      <c r="P21488" s="1"/>
    </row>
    <row r="21489" spans="13:15" x14ac:dyDescent="0.3">
      <c r="M21489" s="1"/>
      <c r="N21489" s="1"/>
    </row>
    <row r="21499" spans="13:15" x14ac:dyDescent="0.3">
      <c r="N21499" s="1"/>
      <c r="O21499" s="1"/>
    </row>
    <row r="21505" spans="13:15" x14ac:dyDescent="0.3">
      <c r="O21505" s="1"/>
    </row>
    <row r="21512" spans="13:15" x14ac:dyDescent="0.3">
      <c r="M21512" s="1"/>
    </row>
    <row r="21528" spans="13:16" x14ac:dyDescent="0.3">
      <c r="M21528" s="1"/>
    </row>
    <row r="21529" spans="13:16" x14ac:dyDescent="0.3">
      <c r="O21529" s="1"/>
      <c r="P21529" s="1"/>
    </row>
    <row r="21540" spans="13:16" x14ac:dyDescent="0.3">
      <c r="M21540" s="1"/>
      <c r="N21540" s="1"/>
      <c r="O21540" s="1"/>
    </row>
    <row r="21542" spans="13:16" x14ac:dyDescent="0.3">
      <c r="M21542" s="1"/>
      <c r="N21542" s="1"/>
      <c r="O21542" s="1"/>
      <c r="P21542" s="1"/>
    </row>
    <row r="21546" spans="13:16" x14ac:dyDescent="0.3">
      <c r="M21546" s="1"/>
    </row>
    <row r="21551" spans="13:16" x14ac:dyDescent="0.3">
      <c r="M21551" s="1"/>
      <c r="N21551" s="1"/>
      <c r="P21551" s="1"/>
    </row>
    <row r="21556" spans="13:15" x14ac:dyDescent="0.3">
      <c r="O21556" s="1"/>
    </row>
    <row r="21557" spans="13:15" x14ac:dyDescent="0.3">
      <c r="M21557" s="1"/>
      <c r="O21557" s="1"/>
    </row>
    <row r="21567" spans="13:15" x14ac:dyDescent="0.3">
      <c r="O21567" s="1"/>
    </row>
    <row r="21589" spans="13:16" x14ac:dyDescent="0.3">
      <c r="N21589" s="1"/>
    </row>
    <row r="21592" spans="13:16" x14ac:dyDescent="0.3">
      <c r="M21592" s="1"/>
      <c r="P21592" s="1"/>
    </row>
    <row r="21595" spans="13:16" x14ac:dyDescent="0.3">
      <c r="M21595" s="1"/>
      <c r="N21595" s="1"/>
    </row>
    <row r="21608" spans="13:15" x14ac:dyDescent="0.3">
      <c r="N21608" s="1"/>
    </row>
    <row r="21613" spans="13:15" x14ac:dyDescent="0.3">
      <c r="M21613" s="1"/>
      <c r="O21613" s="1"/>
    </row>
    <row r="21614" spans="13:15" x14ac:dyDescent="0.3">
      <c r="M21614" s="1"/>
    </row>
    <row r="21631" spans="13:14" x14ac:dyDescent="0.3">
      <c r="M21631" s="1"/>
      <c r="N21631" s="1"/>
    </row>
    <row r="21637" spans="13:15" x14ac:dyDescent="0.3">
      <c r="O21637" s="1"/>
    </row>
    <row r="21638" spans="13:15" x14ac:dyDescent="0.3">
      <c r="M21638" s="1"/>
    </row>
    <row r="21646" spans="13:15" x14ac:dyDescent="0.3">
      <c r="M21646" s="1"/>
    </row>
    <row r="21648" spans="13:15" x14ac:dyDescent="0.3">
      <c r="M21648" s="1"/>
    </row>
    <row r="21650" spans="13:16" x14ac:dyDescent="0.3">
      <c r="M21650" s="1"/>
      <c r="O21650" s="1"/>
    </row>
    <row r="21654" spans="13:16" x14ac:dyDescent="0.3">
      <c r="M21654" s="1"/>
      <c r="N21654" s="1"/>
    </row>
    <row r="21657" spans="13:16" x14ac:dyDescent="0.3">
      <c r="M21657" s="1"/>
      <c r="O21657" s="1"/>
      <c r="P21657" s="1"/>
    </row>
    <row r="21666" spans="13:15" x14ac:dyDescent="0.3">
      <c r="O21666" s="1"/>
    </row>
    <row r="21673" spans="13:15" x14ac:dyDescent="0.3">
      <c r="M21673" s="1"/>
      <c r="O21673" s="1"/>
    </row>
    <row r="21684" spans="13:15" x14ac:dyDescent="0.3">
      <c r="M21684" s="1"/>
      <c r="O21684" s="1"/>
    </row>
    <row r="21686" spans="13:15" x14ac:dyDescent="0.3">
      <c r="M21686" s="1"/>
      <c r="O21686" s="1"/>
    </row>
    <row r="21711" spans="14:14" x14ac:dyDescent="0.3">
      <c r="N21711" s="1"/>
    </row>
    <row r="21721" spans="13:15" x14ac:dyDescent="0.3">
      <c r="O21721" s="1"/>
    </row>
    <row r="21725" spans="13:15" x14ac:dyDescent="0.3">
      <c r="M21725" s="1"/>
    </row>
    <row r="21729" spans="14:15" x14ac:dyDescent="0.3">
      <c r="N21729" s="1"/>
    </row>
    <row r="21732" spans="14:15" x14ac:dyDescent="0.3">
      <c r="O21732" s="1"/>
    </row>
    <row r="21758" spans="15:15" x14ac:dyDescent="0.3">
      <c r="O21758" s="1"/>
    </row>
    <row r="21769" spans="14:15" x14ac:dyDescent="0.3">
      <c r="N21769" s="1"/>
    </row>
    <row r="21776" spans="14:15" x14ac:dyDescent="0.3">
      <c r="O21776" s="1"/>
    </row>
    <row r="21783" spans="13:16" x14ac:dyDescent="0.3">
      <c r="M21783" s="1"/>
      <c r="O21783" s="1"/>
      <c r="P21783" s="1"/>
    </row>
    <row r="21796" spans="13:15" x14ac:dyDescent="0.3">
      <c r="M21796" s="1"/>
    </row>
    <row r="21797" spans="13:15" x14ac:dyDescent="0.3">
      <c r="M21797" s="1"/>
      <c r="N21797" s="1"/>
      <c r="O21797" s="1"/>
    </row>
    <row r="21799" spans="13:15" x14ac:dyDescent="0.3">
      <c r="N21799" s="1"/>
      <c r="O21799" s="1"/>
    </row>
    <row r="21812" spans="13:16" x14ac:dyDescent="0.3">
      <c r="O21812" s="1"/>
    </row>
    <row r="21816" spans="13:16" x14ac:dyDescent="0.3">
      <c r="M21816" s="1"/>
      <c r="N21816" s="1"/>
    </row>
    <row r="21820" spans="13:16" x14ac:dyDescent="0.3">
      <c r="O21820" s="1"/>
    </row>
    <row r="21823" spans="13:16" x14ac:dyDescent="0.3">
      <c r="M21823" s="1"/>
      <c r="P21823" s="1"/>
    </row>
    <row r="21830" spans="13:16" x14ac:dyDescent="0.3">
      <c r="M21830" s="1"/>
      <c r="N21830" s="1"/>
    </row>
    <row r="21837" spans="13:16" x14ac:dyDescent="0.3">
      <c r="M21837" s="1"/>
      <c r="O21837" s="1"/>
      <c r="P21837" s="1"/>
    </row>
    <row r="21839" spans="13:16" x14ac:dyDescent="0.3">
      <c r="N21839" s="1"/>
      <c r="O21839" s="1"/>
    </row>
    <row r="21841" spans="13:15" x14ac:dyDescent="0.3">
      <c r="M21841" s="1"/>
      <c r="N21841" s="1"/>
    </row>
    <row r="21842" spans="13:15" x14ac:dyDescent="0.3">
      <c r="O21842" s="1"/>
    </row>
    <row r="21845" spans="13:15" x14ac:dyDescent="0.3">
      <c r="O21845" s="1"/>
    </row>
    <row r="21871" spans="13:13" x14ac:dyDescent="0.3">
      <c r="M21871" s="1"/>
    </row>
    <row r="21878" spans="13:16" x14ac:dyDescent="0.3">
      <c r="M21878" s="1"/>
      <c r="O21878" s="1"/>
    </row>
    <row r="21881" spans="13:16" x14ac:dyDescent="0.3">
      <c r="M21881" s="1"/>
      <c r="O21881" s="1"/>
    </row>
    <row r="21882" spans="13:16" x14ac:dyDescent="0.3">
      <c r="M21882" s="1"/>
      <c r="P21882" s="1"/>
    </row>
    <row r="21884" spans="13:16" x14ac:dyDescent="0.3">
      <c r="N21884" s="1"/>
    </row>
    <row r="21885" spans="13:16" x14ac:dyDescent="0.3">
      <c r="N21885" s="1"/>
      <c r="P21885" s="1"/>
    </row>
    <row r="21887" spans="13:16" x14ac:dyDescent="0.3">
      <c r="M21887" s="1"/>
    </row>
    <row r="21893" spans="13:16" x14ac:dyDescent="0.3">
      <c r="M21893" s="1"/>
      <c r="N21893" s="1"/>
      <c r="O21893" s="1"/>
      <c r="P21893" s="1"/>
    </row>
    <row r="21899" spans="13:16" x14ac:dyDescent="0.3">
      <c r="O21899" s="1"/>
    </row>
    <row r="21915" spans="13:15" x14ac:dyDescent="0.3">
      <c r="M21915" s="1"/>
      <c r="N21915" s="1"/>
    </row>
    <row r="21916" spans="13:15" x14ac:dyDescent="0.3">
      <c r="O21916" s="1"/>
    </row>
    <row r="21922" spans="13:16" x14ac:dyDescent="0.3">
      <c r="M21922" s="1"/>
      <c r="N21922" s="1"/>
      <c r="O21922" s="1"/>
      <c r="P21922" s="1"/>
    </row>
    <row r="21927" spans="13:16" x14ac:dyDescent="0.3">
      <c r="M21927" s="1"/>
    </row>
    <row r="21930" spans="13:16" x14ac:dyDescent="0.3">
      <c r="N21930" s="1"/>
      <c r="O21930" s="1"/>
    </row>
    <row r="21935" spans="13:16" x14ac:dyDescent="0.3">
      <c r="M21935" s="1"/>
      <c r="N21935" s="1"/>
    </row>
    <row r="21939" spans="13:16" x14ac:dyDescent="0.3">
      <c r="M21939" s="1"/>
      <c r="N21939" s="1"/>
    </row>
    <row r="21940" spans="13:16" x14ac:dyDescent="0.3">
      <c r="P21940" s="1"/>
    </row>
    <row r="21943" spans="13:16" x14ac:dyDescent="0.3">
      <c r="N21943" s="1"/>
    </row>
    <row r="21954" spans="13:16" x14ac:dyDescent="0.3">
      <c r="M21954" s="1"/>
    </row>
    <row r="21955" spans="13:16" x14ac:dyDescent="0.3">
      <c r="M21955" s="1"/>
      <c r="N21955" s="1"/>
      <c r="P21955" s="1"/>
    </row>
    <row r="21988" spans="15:15" x14ac:dyDescent="0.3">
      <c r="O21988" s="1"/>
    </row>
    <row r="21991" spans="15:15" x14ac:dyDescent="0.3">
      <c r="O21991" s="1"/>
    </row>
    <row r="22011" spans="13:13" x14ac:dyDescent="0.3">
      <c r="M22011" s="1"/>
    </row>
    <row r="22020" spans="14:16" x14ac:dyDescent="0.3">
      <c r="N22020" s="1"/>
    </row>
    <row r="22026" spans="14:16" x14ac:dyDescent="0.3">
      <c r="N22026" s="1"/>
      <c r="O22026" s="1"/>
      <c r="P22026" s="1"/>
    </row>
    <row r="22046" spans="15:15" x14ac:dyDescent="0.3">
      <c r="O22046" s="1"/>
    </row>
    <row r="22050" spans="13:16" x14ac:dyDescent="0.3">
      <c r="O22050" s="1"/>
    </row>
    <row r="22054" spans="13:16" x14ac:dyDescent="0.3">
      <c r="O22054" s="1"/>
    </row>
    <row r="22055" spans="13:16" x14ac:dyDescent="0.3">
      <c r="N22055" s="1"/>
      <c r="O22055" s="1"/>
    </row>
    <row r="22059" spans="13:16" x14ac:dyDescent="0.3">
      <c r="M22059" s="1"/>
      <c r="O22059" s="1"/>
    </row>
    <row r="22061" spans="13:16" x14ac:dyDescent="0.3">
      <c r="N22061" s="1"/>
      <c r="O22061" s="1"/>
      <c r="P22061" s="1"/>
    </row>
    <row r="22062" spans="13:16" x14ac:dyDescent="0.3">
      <c r="N22062" s="1"/>
    </row>
    <row r="22068" spans="13:16" x14ac:dyDescent="0.3">
      <c r="M22068" s="1"/>
      <c r="N22068" s="1"/>
      <c r="O22068" s="1"/>
      <c r="P22068" s="1"/>
    </row>
    <row r="22098" spans="13:15" x14ac:dyDescent="0.3">
      <c r="O22098" s="1"/>
    </row>
    <row r="22099" spans="13:15" x14ac:dyDescent="0.3">
      <c r="M22099" s="1"/>
    </row>
    <row r="22125" spans="13:16" x14ac:dyDescent="0.3">
      <c r="M22125" s="1"/>
      <c r="O22125" s="1"/>
      <c r="P22125" s="1"/>
    </row>
    <row r="22130" spans="14:15" x14ac:dyDescent="0.3">
      <c r="N22130" s="1"/>
      <c r="O22130" s="1"/>
    </row>
    <row r="22135" spans="14:15" x14ac:dyDescent="0.3">
      <c r="N22135" s="1"/>
    </row>
    <row r="22146" spans="15:15" x14ac:dyDescent="0.3">
      <c r="O22146" s="1"/>
    </row>
    <row r="22168" spans="13:16" x14ac:dyDescent="0.3">
      <c r="O22168" s="1"/>
    </row>
    <row r="22171" spans="13:16" x14ac:dyDescent="0.3">
      <c r="M22171" s="1"/>
      <c r="O22171" s="1"/>
      <c r="P22171" s="1"/>
    </row>
    <row r="22198" spans="14:15" x14ac:dyDescent="0.3">
      <c r="O22198" s="1"/>
    </row>
    <row r="22204" spans="14:15" x14ac:dyDescent="0.3">
      <c r="N22204" s="1"/>
      <c r="O22204" s="1"/>
    </row>
    <row r="22210" spans="13:15" x14ac:dyDescent="0.3">
      <c r="N22210" s="1"/>
    </row>
    <row r="22215" spans="13:15" x14ac:dyDescent="0.3">
      <c r="M22215" s="1"/>
    </row>
    <row r="22218" spans="13:15" x14ac:dyDescent="0.3">
      <c r="O22218" s="1"/>
    </row>
    <row r="22233" spans="13:13" x14ac:dyDescent="0.3">
      <c r="M22233" s="1"/>
    </row>
    <row r="22239" spans="13:13" x14ac:dyDescent="0.3">
      <c r="M22239" s="1"/>
    </row>
    <row r="22253" spans="13:14" x14ac:dyDescent="0.3">
      <c r="M22253" s="1"/>
      <c r="N22253" s="1"/>
    </row>
    <row r="22259" spans="13:14" x14ac:dyDescent="0.3">
      <c r="M22259" s="1"/>
    </row>
    <row r="22260" spans="13:14" x14ac:dyDescent="0.3">
      <c r="M22260" s="1"/>
    </row>
    <row r="22271" spans="13:14" x14ac:dyDescent="0.3">
      <c r="N22271" s="1"/>
    </row>
    <row r="22292" spans="13:16" x14ac:dyDescent="0.3">
      <c r="O22292" s="1"/>
    </row>
    <row r="22294" spans="13:16" x14ac:dyDescent="0.3">
      <c r="M22294" s="1"/>
      <c r="O22294" s="1"/>
      <c r="P22294" s="1"/>
    </row>
    <row r="22297" spans="13:16" x14ac:dyDescent="0.3">
      <c r="M22297" s="1"/>
    </row>
    <row r="22309" spans="15:15" x14ac:dyDescent="0.3">
      <c r="O22309" s="1"/>
    </row>
    <row r="22339" spans="13:15" x14ac:dyDescent="0.3">
      <c r="M22339" s="1"/>
      <c r="O22339" s="1"/>
    </row>
    <row r="22341" spans="13:15" x14ac:dyDescent="0.3">
      <c r="O22341" s="1"/>
    </row>
    <row r="22353" spans="13:16" x14ac:dyDescent="0.3">
      <c r="M22353" s="1"/>
    </row>
    <row r="22366" spans="13:16" x14ac:dyDescent="0.3">
      <c r="N22366" s="1"/>
      <c r="P22366" s="1"/>
    </row>
    <row r="22373" spans="13:15" x14ac:dyDescent="0.3">
      <c r="M22373" s="1"/>
      <c r="O22373" s="1"/>
    </row>
    <row r="22394" spans="13:15" x14ac:dyDescent="0.3">
      <c r="M22394" s="1"/>
    </row>
    <row r="22398" spans="13:15" x14ac:dyDescent="0.3">
      <c r="M22398" s="1"/>
      <c r="O22398" s="1"/>
    </row>
    <row r="22407" spans="13:16" x14ac:dyDescent="0.3">
      <c r="N22407" s="1"/>
      <c r="O22407" s="1"/>
      <c r="P22407" s="1"/>
    </row>
    <row r="22408" spans="13:16" x14ac:dyDescent="0.3">
      <c r="P22408" s="1"/>
    </row>
    <row r="22414" spans="13:16" x14ac:dyDescent="0.3">
      <c r="M22414" s="1"/>
      <c r="O22414" s="1"/>
    </row>
    <row r="22430" spans="15:15" x14ac:dyDescent="0.3">
      <c r="O22430" s="1"/>
    </row>
    <row r="22437" spans="13:16" x14ac:dyDescent="0.3">
      <c r="M22437" s="1"/>
      <c r="N22437" s="1"/>
      <c r="O22437" s="1"/>
      <c r="P22437" s="1"/>
    </row>
    <row r="22452" spans="13:16" x14ac:dyDescent="0.3">
      <c r="O22452" s="1"/>
    </row>
    <row r="22455" spans="13:16" x14ac:dyDescent="0.3">
      <c r="M22455" s="1"/>
      <c r="N22455" s="1"/>
      <c r="O22455" s="1"/>
    </row>
    <row r="22460" spans="13:16" x14ac:dyDescent="0.3">
      <c r="N22460" s="1"/>
      <c r="P22460" s="1"/>
    </row>
    <row r="22463" spans="13:16" x14ac:dyDescent="0.3">
      <c r="M22463" s="1"/>
      <c r="N22463" s="1"/>
      <c r="P22463" s="1"/>
    </row>
    <row r="22467" spans="13:16" x14ac:dyDescent="0.3">
      <c r="N22467" s="1"/>
    </row>
    <row r="22468" spans="13:16" x14ac:dyDescent="0.3">
      <c r="O22468" s="1"/>
    </row>
    <row r="22476" spans="13:16" x14ac:dyDescent="0.3">
      <c r="M22476" s="1"/>
      <c r="N22476" s="1"/>
      <c r="O22476" s="1"/>
      <c r="P22476" s="1"/>
    </row>
    <row r="22477" spans="13:16" x14ac:dyDescent="0.3">
      <c r="N22477" s="1"/>
    </row>
    <row r="22491" spans="13:16" x14ac:dyDescent="0.3">
      <c r="M22491" s="1"/>
    </row>
    <row r="22496" spans="13:16" x14ac:dyDescent="0.3">
      <c r="N22496" s="1"/>
      <c r="O22496" s="1"/>
      <c r="P22496" s="1"/>
    </row>
    <row r="22499" spans="14:15" x14ac:dyDescent="0.3">
      <c r="O22499" s="1"/>
    </row>
    <row r="22510" spans="14:15" x14ac:dyDescent="0.3">
      <c r="N22510" s="1"/>
      <c r="O22510" s="1"/>
    </row>
    <row r="22520" spans="13:13" x14ac:dyDescent="0.3">
      <c r="M22520" s="1"/>
    </row>
    <row r="22527" spans="13:13" x14ac:dyDescent="0.3">
      <c r="M22527" s="1"/>
    </row>
    <row r="22537" spans="13:16" x14ac:dyDescent="0.3">
      <c r="O22537" s="1"/>
    </row>
    <row r="22538" spans="13:16" x14ac:dyDescent="0.3">
      <c r="M22538" s="1"/>
      <c r="N22538" s="1"/>
      <c r="O22538" s="1"/>
      <c r="P22538" s="1"/>
    </row>
    <row r="22544" spans="13:16" x14ac:dyDescent="0.3">
      <c r="M22544" s="1"/>
    </row>
    <row r="22551" spans="14:15" x14ac:dyDescent="0.3">
      <c r="N22551" s="1"/>
    </row>
    <row r="22555" spans="14:15" x14ac:dyDescent="0.3">
      <c r="N22555" s="1"/>
    </row>
    <row r="22558" spans="14:15" x14ac:dyDescent="0.3">
      <c r="O22558" s="1"/>
    </row>
    <row r="22564" spans="14:14" x14ac:dyDescent="0.3">
      <c r="N22564" s="1"/>
    </row>
    <row r="22583" spans="13:16" x14ac:dyDescent="0.3">
      <c r="M22583" s="1"/>
      <c r="N22583" s="1"/>
      <c r="P22583" s="1"/>
    </row>
    <row r="22590" spans="13:16" x14ac:dyDescent="0.3">
      <c r="M22590" s="1"/>
    </row>
    <row r="22594" spans="15:15" x14ac:dyDescent="0.3">
      <c r="O22594" s="1"/>
    </row>
    <row r="22611" spans="13:16" x14ac:dyDescent="0.3">
      <c r="M22611" s="1"/>
      <c r="N22611" s="1"/>
      <c r="O22611" s="1"/>
      <c r="P22611" s="1"/>
    </row>
    <row r="22614" spans="13:16" x14ac:dyDescent="0.3">
      <c r="M22614" s="1"/>
      <c r="O22614" s="1"/>
    </row>
    <row r="22622" spans="13:16" x14ac:dyDescent="0.3">
      <c r="N22622" s="1"/>
      <c r="O22622" s="1"/>
      <c r="P22622" s="1"/>
    </row>
    <row r="22626" spans="13:14" x14ac:dyDescent="0.3">
      <c r="M22626" s="1"/>
      <c r="N22626" s="1"/>
    </row>
    <row r="22627" spans="13:14" x14ac:dyDescent="0.3">
      <c r="N22627" s="1"/>
    </row>
    <row r="22628" spans="13:14" x14ac:dyDescent="0.3">
      <c r="N22628" s="1"/>
    </row>
    <row r="22643" spans="13:15" x14ac:dyDescent="0.3">
      <c r="M22643" s="1"/>
      <c r="N22643" s="1"/>
    </row>
    <row r="22647" spans="13:15" x14ac:dyDescent="0.3">
      <c r="N22647" s="1"/>
      <c r="O22647" s="1"/>
    </row>
    <row r="22651" spans="13:15" x14ac:dyDescent="0.3">
      <c r="M22651" s="1"/>
    </row>
    <row r="22657" spans="13:16" x14ac:dyDescent="0.3">
      <c r="M22657" s="1"/>
    </row>
    <row r="22658" spans="13:16" x14ac:dyDescent="0.3">
      <c r="N22658" s="1"/>
      <c r="P22658" s="1"/>
    </row>
    <row r="22662" spans="13:16" x14ac:dyDescent="0.3">
      <c r="N22662" s="1"/>
    </row>
    <row r="22668" spans="13:16" x14ac:dyDescent="0.3">
      <c r="M22668" s="1"/>
      <c r="O22668" s="1"/>
      <c r="P22668" s="1"/>
    </row>
    <row r="22670" spans="13:16" x14ac:dyDescent="0.3">
      <c r="M22670" s="1"/>
      <c r="N22670" s="1"/>
      <c r="P22670" s="1"/>
    </row>
    <row r="22680" spans="13:15" x14ac:dyDescent="0.3">
      <c r="M22680" s="1"/>
      <c r="N22680" s="1"/>
      <c r="O22680" s="1"/>
    </row>
    <row r="22687" spans="13:15" x14ac:dyDescent="0.3">
      <c r="O22687" s="1"/>
    </row>
    <row r="22710" spans="14:15" x14ac:dyDescent="0.3">
      <c r="N22710" s="1"/>
      <c r="O22710" s="1"/>
    </row>
    <row r="22736" spans="14:14" x14ac:dyDescent="0.3">
      <c r="N22736" s="1"/>
    </row>
    <row r="22741" spans="15:15" x14ac:dyDescent="0.3">
      <c r="O22741" s="1"/>
    </row>
    <row r="22744" spans="15:15" x14ac:dyDescent="0.3">
      <c r="O22744" s="1"/>
    </row>
    <row r="22754" spans="13:16" x14ac:dyDescent="0.3">
      <c r="N22754" s="1"/>
      <c r="O22754" s="1"/>
    </row>
    <row r="22767" spans="13:16" x14ac:dyDescent="0.3">
      <c r="M22767" s="1"/>
      <c r="O22767" s="1"/>
      <c r="P22767" s="1"/>
    </row>
    <row r="22773" spans="13:15" x14ac:dyDescent="0.3">
      <c r="O22773" s="1"/>
    </row>
    <row r="22776" spans="13:15" x14ac:dyDescent="0.3">
      <c r="N22776" s="1"/>
      <c r="O22776" s="1"/>
    </row>
    <row r="22778" spans="13:15" x14ac:dyDescent="0.3">
      <c r="O22778" s="1"/>
    </row>
    <row r="22780" spans="13:15" x14ac:dyDescent="0.3">
      <c r="M22780" s="1"/>
    </row>
    <row r="22781" spans="13:15" x14ac:dyDescent="0.3">
      <c r="O22781" s="1"/>
    </row>
    <row r="22803" spans="13:14" x14ac:dyDescent="0.3">
      <c r="M22803" s="1"/>
      <c r="N22803" s="1"/>
    </row>
    <row r="22814" spans="13:14" x14ac:dyDescent="0.3">
      <c r="M22814" s="1"/>
      <c r="N22814" s="1"/>
    </row>
    <row r="22817" spans="15:16" x14ac:dyDescent="0.3">
      <c r="O22817" s="1"/>
      <c r="P22817" s="1"/>
    </row>
    <row r="22841" spans="14:15" x14ac:dyDescent="0.3">
      <c r="O22841" s="1"/>
    </row>
    <row r="22843" spans="14:15" x14ac:dyDescent="0.3">
      <c r="N22843" s="1"/>
    </row>
    <row r="22855" spans="13:14" x14ac:dyDescent="0.3">
      <c r="M22855" s="1"/>
    </row>
    <row r="22857" spans="13:14" x14ac:dyDescent="0.3">
      <c r="M22857" s="1"/>
    </row>
    <row r="22863" spans="13:14" x14ac:dyDescent="0.3">
      <c r="N22863" s="1"/>
    </row>
    <row r="22864" spans="13:14" x14ac:dyDescent="0.3">
      <c r="M22864" s="1"/>
    </row>
    <row r="22869" spans="14:15" x14ac:dyDescent="0.3">
      <c r="O22869" s="1"/>
    </row>
    <row r="22877" spans="14:15" x14ac:dyDescent="0.3">
      <c r="N22877" s="1"/>
    </row>
    <row r="22886" spans="13:16" x14ac:dyDescent="0.3">
      <c r="M22886" s="1"/>
      <c r="N22886" s="1"/>
      <c r="O22886" s="1"/>
      <c r="P22886" s="1"/>
    </row>
    <row r="22898" spans="14:15" x14ac:dyDescent="0.3">
      <c r="N22898" s="1"/>
    </row>
    <row r="22902" spans="14:15" x14ac:dyDescent="0.3">
      <c r="N22902" s="1"/>
      <c r="O22902" s="1"/>
    </row>
    <row r="22925" spans="15:15" x14ac:dyDescent="0.3">
      <c r="O22925" s="1"/>
    </row>
    <row r="22939" spans="14:15" x14ac:dyDescent="0.3">
      <c r="O22939" s="1"/>
    </row>
    <row r="22943" spans="14:15" x14ac:dyDescent="0.3">
      <c r="O22943" s="1"/>
    </row>
    <row r="22944" spans="14:15" x14ac:dyDescent="0.3">
      <c r="N22944" s="1"/>
    </row>
    <row r="22958" spans="13:16" x14ac:dyDescent="0.3">
      <c r="M22958" s="1"/>
      <c r="N22958" s="1"/>
      <c r="O22958" s="1"/>
      <c r="P22958" s="1"/>
    </row>
    <row r="22962" spans="13:16" x14ac:dyDescent="0.3">
      <c r="N22962" s="1"/>
      <c r="O22962" s="1"/>
      <c r="P22962" s="1"/>
    </row>
    <row r="22968" spans="13:16" x14ac:dyDescent="0.3">
      <c r="M22968" s="1"/>
    </row>
    <row r="22971" spans="13:16" x14ac:dyDescent="0.3">
      <c r="N22971" s="1"/>
      <c r="O22971" s="1"/>
    </row>
    <row r="22982" spans="15:15" x14ac:dyDescent="0.3">
      <c r="O22982" s="1"/>
    </row>
    <row r="22996" spans="13:16" x14ac:dyDescent="0.3">
      <c r="M22996" s="1"/>
    </row>
    <row r="22998" spans="13:16" x14ac:dyDescent="0.3">
      <c r="N22998" s="1"/>
      <c r="P22998" s="1"/>
    </row>
    <row r="23004" spans="13:16" x14ac:dyDescent="0.3">
      <c r="M23004" s="1"/>
      <c r="N23004" s="1"/>
      <c r="P23004" s="1"/>
    </row>
    <row r="23028" spans="13:13" x14ac:dyDescent="0.3">
      <c r="M23028" s="1"/>
    </row>
    <row r="23045" spans="13:16" x14ac:dyDescent="0.3">
      <c r="M23045" s="1"/>
      <c r="N23045" s="1"/>
    </row>
    <row r="23049" spans="13:16" x14ac:dyDescent="0.3">
      <c r="M23049" s="1"/>
    </row>
    <row r="23050" spans="13:16" x14ac:dyDescent="0.3">
      <c r="O23050" s="1"/>
    </row>
    <row r="23055" spans="13:16" x14ac:dyDescent="0.3">
      <c r="M23055" s="1"/>
      <c r="P23055" s="1"/>
    </row>
    <row r="23058" spans="13:15" x14ac:dyDescent="0.3">
      <c r="N23058" s="1"/>
    </row>
    <row r="23062" spans="13:15" x14ac:dyDescent="0.3">
      <c r="M23062" s="1"/>
      <c r="N23062" s="1"/>
      <c r="O23062" s="1"/>
    </row>
    <row r="23076" spans="15:15" x14ac:dyDescent="0.3">
      <c r="O23076" s="1"/>
    </row>
    <row r="23106" spans="13:14" x14ac:dyDescent="0.3">
      <c r="M23106" s="1"/>
    </row>
    <row r="23116" spans="13:14" x14ac:dyDescent="0.3">
      <c r="M23116" s="1"/>
    </row>
    <row r="23118" spans="13:14" x14ac:dyDescent="0.3">
      <c r="N23118" s="1"/>
    </row>
    <row r="23130" spans="13:14" x14ac:dyDescent="0.3">
      <c r="M23130" s="1"/>
      <c r="N23130" s="1"/>
    </row>
    <row r="23138" spans="13:15" x14ac:dyDescent="0.3">
      <c r="M23138" s="1"/>
      <c r="N23138" s="1"/>
      <c r="O23138" s="1"/>
    </row>
    <row r="23148" spans="13:15" x14ac:dyDescent="0.3">
      <c r="O23148" s="1"/>
    </row>
    <row r="23157" spans="13:16" x14ac:dyDescent="0.3">
      <c r="M23157" s="1"/>
    </row>
    <row r="23161" spans="13:16" x14ac:dyDescent="0.3">
      <c r="M23161" s="1"/>
      <c r="N23161" s="1"/>
      <c r="O23161" s="1"/>
      <c r="P23161" s="1"/>
    </row>
    <row r="23186" spans="14:16" x14ac:dyDescent="0.3">
      <c r="N23186" s="1"/>
    </row>
    <row r="23196" spans="14:16" x14ac:dyDescent="0.3">
      <c r="N23196" s="1"/>
      <c r="P23196" s="1"/>
    </row>
    <row r="23212" spans="13:15" x14ac:dyDescent="0.3">
      <c r="O23212" s="1"/>
    </row>
    <row r="23214" spans="13:15" x14ac:dyDescent="0.3">
      <c r="M23214" s="1"/>
      <c r="O23214" s="1"/>
    </row>
    <row r="23228" spans="13:16" x14ac:dyDescent="0.3">
      <c r="N23228" s="1"/>
      <c r="O23228" s="1"/>
      <c r="P23228" s="1"/>
    </row>
    <row r="23229" spans="13:16" x14ac:dyDescent="0.3">
      <c r="M23229" s="1"/>
    </row>
    <row r="23235" spans="13:16" x14ac:dyDescent="0.3">
      <c r="M23235" s="1"/>
    </row>
    <row r="23240" spans="13:16" x14ac:dyDescent="0.3">
      <c r="M23240" s="1"/>
      <c r="N23240" s="1"/>
      <c r="O23240" s="1"/>
      <c r="P23240" s="1"/>
    </row>
    <row r="23243" spans="13:16" x14ac:dyDescent="0.3">
      <c r="N23243" s="1"/>
    </row>
    <row r="23256" spans="14:16" x14ac:dyDescent="0.3">
      <c r="O23256" s="1"/>
    </row>
    <row r="23260" spans="14:16" x14ac:dyDescent="0.3">
      <c r="N23260" s="1"/>
      <c r="P23260" s="1"/>
    </row>
    <row r="23268" spans="14:15" x14ac:dyDescent="0.3">
      <c r="O23268" s="1"/>
    </row>
    <row r="23274" spans="14:15" x14ac:dyDescent="0.3">
      <c r="N23274" s="1"/>
    </row>
    <row r="23288" spans="13:14" x14ac:dyDescent="0.3">
      <c r="M23288" s="1"/>
      <c r="N23288" s="1"/>
    </row>
    <row r="23295" spans="13:14" x14ac:dyDescent="0.3">
      <c r="N23295" s="1"/>
    </row>
    <row r="23307" spans="15:15" x14ac:dyDescent="0.3">
      <c r="O23307" s="1"/>
    </row>
    <row r="23337" spans="14:14" x14ac:dyDescent="0.3">
      <c r="N23337" s="1"/>
    </row>
    <row r="23347" spans="13:16" x14ac:dyDescent="0.3">
      <c r="M23347" s="1"/>
    </row>
    <row r="23349" spans="13:16" x14ac:dyDescent="0.3">
      <c r="M23349" s="1"/>
      <c r="N23349" s="1"/>
      <c r="O23349" s="1"/>
    </row>
    <row r="23351" spans="13:16" x14ac:dyDescent="0.3">
      <c r="O23351" s="1"/>
    </row>
    <row r="23359" spans="13:16" x14ac:dyDescent="0.3">
      <c r="N23359" s="1"/>
      <c r="O23359" s="1"/>
    </row>
    <row r="23360" spans="13:16" x14ac:dyDescent="0.3">
      <c r="M23360" s="1"/>
      <c r="N23360" s="1"/>
      <c r="O23360" s="1"/>
      <c r="P23360" s="1"/>
    </row>
    <row r="23380" spans="13:13" x14ac:dyDescent="0.3">
      <c r="M23380" s="1"/>
    </row>
    <row r="23396" spans="13:16" x14ac:dyDescent="0.3">
      <c r="P23396" s="1"/>
    </row>
    <row r="23400" spans="13:16" x14ac:dyDescent="0.3">
      <c r="O23400" s="1"/>
      <c r="P23400" s="1"/>
    </row>
    <row r="23402" spans="13:16" x14ac:dyDescent="0.3">
      <c r="M23402" s="1"/>
      <c r="O23402" s="1"/>
      <c r="P23402" s="1"/>
    </row>
    <row r="23404" spans="13:16" x14ac:dyDescent="0.3">
      <c r="N23404" s="1"/>
      <c r="P23404" s="1"/>
    </row>
    <row r="23410" spans="13:15" x14ac:dyDescent="0.3">
      <c r="M23410" s="1"/>
    </row>
    <row r="23415" spans="13:15" x14ac:dyDescent="0.3">
      <c r="N23415" s="1"/>
    </row>
    <row r="23423" spans="13:15" x14ac:dyDescent="0.3">
      <c r="O23423" s="1"/>
    </row>
    <row r="23436" spans="13:16" x14ac:dyDescent="0.3">
      <c r="M23436" s="1"/>
      <c r="O23436" s="1"/>
      <c r="P23436" s="1"/>
    </row>
    <row r="23438" spans="13:16" x14ac:dyDescent="0.3">
      <c r="M23438" s="1"/>
      <c r="O23438" s="1"/>
    </row>
    <row r="23439" spans="13:16" x14ac:dyDescent="0.3">
      <c r="M23439" s="1"/>
      <c r="N23439" s="1"/>
      <c r="P23439" s="1"/>
    </row>
    <row r="23455" spans="14:14" x14ac:dyDescent="0.3">
      <c r="N23455" s="1"/>
    </row>
    <row r="23461" spans="13:16" x14ac:dyDescent="0.3">
      <c r="N23461" s="1"/>
      <c r="O23461" s="1"/>
      <c r="P23461" s="1"/>
    </row>
    <row r="23465" spans="13:16" x14ac:dyDescent="0.3">
      <c r="M23465" s="1"/>
    </row>
    <row r="23471" spans="13:16" x14ac:dyDescent="0.3">
      <c r="M23471" s="1"/>
    </row>
    <row r="23474" spans="13:16" x14ac:dyDescent="0.3">
      <c r="M23474" s="1"/>
      <c r="N23474" s="1"/>
      <c r="P23474" s="1"/>
    </row>
    <row r="23486" spans="13:16" x14ac:dyDescent="0.3">
      <c r="M23486" s="1"/>
      <c r="O23486" s="1"/>
      <c r="P23486" s="1"/>
    </row>
    <row r="23490" spans="13:14" x14ac:dyDescent="0.3">
      <c r="M23490" s="1"/>
      <c r="N23490" s="1"/>
    </row>
    <row r="23500" spans="13:14" x14ac:dyDescent="0.3">
      <c r="N23500" s="1"/>
    </row>
    <row r="23523" spans="13:16" x14ac:dyDescent="0.3">
      <c r="M23523" s="1"/>
      <c r="P23523" s="1"/>
    </row>
    <row r="23528" spans="13:16" x14ac:dyDescent="0.3">
      <c r="O23528" s="1"/>
    </row>
    <row r="23529" spans="13:16" x14ac:dyDescent="0.3">
      <c r="N23529" s="1"/>
      <c r="P23529" s="1"/>
    </row>
    <row r="23544" spans="13:14" x14ac:dyDescent="0.3">
      <c r="M23544" s="1"/>
    </row>
    <row r="23547" spans="13:14" x14ac:dyDescent="0.3">
      <c r="N23547" s="1"/>
    </row>
    <row r="23573" spans="13:15" x14ac:dyDescent="0.3">
      <c r="N23573" s="1"/>
    </row>
    <row r="23575" spans="13:15" x14ac:dyDescent="0.3">
      <c r="M23575" s="1"/>
      <c r="N23575" s="1"/>
    </row>
    <row r="23583" spans="13:15" x14ac:dyDescent="0.3">
      <c r="O23583" s="1"/>
    </row>
    <row r="23590" spans="13:15" x14ac:dyDescent="0.3">
      <c r="M23590" s="1"/>
      <c r="O23590" s="1"/>
    </row>
    <row r="23595" spans="13:15" x14ac:dyDescent="0.3">
      <c r="N23595" s="1"/>
    </row>
    <row r="23597" spans="13:15" x14ac:dyDescent="0.3">
      <c r="N23597" s="1"/>
      <c r="O23597" s="1"/>
    </row>
    <row r="23607" spans="15:15" x14ac:dyDescent="0.3">
      <c r="O23607" s="1"/>
    </row>
    <row r="23625" spans="13:13" x14ac:dyDescent="0.3">
      <c r="M23625" s="1"/>
    </row>
    <row r="23633" spans="13:16" x14ac:dyDescent="0.3">
      <c r="M23633" s="1"/>
      <c r="P23633" s="1"/>
    </row>
    <row r="23638" spans="13:16" x14ac:dyDescent="0.3">
      <c r="O23638" s="1"/>
    </row>
    <row r="23640" spans="13:16" x14ac:dyDescent="0.3">
      <c r="N23640" s="1"/>
      <c r="O23640" s="1"/>
      <c r="P23640" s="1"/>
    </row>
    <row r="23645" spans="13:16" x14ac:dyDescent="0.3">
      <c r="M23645" s="1"/>
    </row>
    <row r="23666" spans="13:13" x14ac:dyDescent="0.3">
      <c r="M23666" s="1"/>
    </row>
    <row r="23674" spans="13:13" x14ac:dyDescent="0.3">
      <c r="M23674" s="1"/>
    </row>
    <row r="23689" spans="15:15" x14ac:dyDescent="0.3">
      <c r="O23689" s="1"/>
    </row>
    <row r="23699" spans="13:16" x14ac:dyDescent="0.3">
      <c r="M23699" s="1"/>
      <c r="N23699" s="1"/>
      <c r="O23699" s="1"/>
      <c r="P23699" s="1"/>
    </row>
    <row r="23700" spans="13:16" x14ac:dyDescent="0.3">
      <c r="M23700" s="1"/>
      <c r="N23700" s="1"/>
      <c r="O23700" s="1"/>
      <c r="P23700" s="1"/>
    </row>
    <row r="23707" spans="13:16" x14ac:dyDescent="0.3">
      <c r="O23707" s="1"/>
    </row>
    <row r="23709" spans="13:16" x14ac:dyDescent="0.3">
      <c r="M23709" s="1"/>
      <c r="N23709" s="1"/>
      <c r="O23709" s="1"/>
      <c r="P23709" s="1"/>
    </row>
    <row r="23719" spans="13:16" x14ac:dyDescent="0.3">
      <c r="M23719" s="1"/>
    </row>
    <row r="23722" spans="13:16" x14ac:dyDescent="0.3">
      <c r="N23722" s="1"/>
      <c r="O23722" s="1"/>
      <c r="P23722" s="1"/>
    </row>
    <row r="23737" spans="13:13" x14ac:dyDescent="0.3">
      <c r="M23737" s="1"/>
    </row>
    <row r="23751" spans="13:16" x14ac:dyDescent="0.3">
      <c r="M23751" s="1"/>
      <c r="N23751" s="1"/>
      <c r="O23751" s="1"/>
      <c r="P23751" s="1"/>
    </row>
    <row r="23753" spans="13:16" x14ac:dyDescent="0.3">
      <c r="M23753" s="1"/>
      <c r="O23753" s="1"/>
    </row>
    <row r="23772" spans="13:15" x14ac:dyDescent="0.3">
      <c r="M23772" s="1"/>
      <c r="N23772" s="1"/>
      <c r="O23772" s="1"/>
    </row>
    <row r="23778" spans="13:16" x14ac:dyDescent="0.3">
      <c r="N23778" s="1"/>
    </row>
    <row r="23780" spans="13:16" x14ac:dyDescent="0.3">
      <c r="N23780" s="1"/>
      <c r="O23780" s="1"/>
    </row>
    <row r="23792" spans="13:16" x14ac:dyDescent="0.3">
      <c r="M23792" s="1"/>
      <c r="P23792" s="1"/>
    </row>
    <row r="23793" spans="14:15" x14ac:dyDescent="0.3">
      <c r="O23793" s="1"/>
    </row>
    <row r="23796" spans="14:15" x14ac:dyDescent="0.3">
      <c r="N23796" s="1"/>
    </row>
    <row r="23807" spans="14:15" x14ac:dyDescent="0.3">
      <c r="O23807" s="1"/>
    </row>
    <row r="23821" spans="15:15" x14ac:dyDescent="0.3">
      <c r="O23821" s="1"/>
    </row>
    <row r="23827" spans="14:16" x14ac:dyDescent="0.3">
      <c r="N23827" s="1"/>
      <c r="P23827" s="1"/>
    </row>
    <row r="23828" spans="14:16" x14ac:dyDescent="0.3">
      <c r="O23828" s="1"/>
    </row>
    <row r="23829" spans="14:16" x14ac:dyDescent="0.3">
      <c r="N23829" s="1"/>
    </row>
    <row r="23834" spans="14:16" x14ac:dyDescent="0.3">
      <c r="N23834" s="1"/>
      <c r="O23834" s="1"/>
      <c r="P23834" s="1"/>
    </row>
    <row r="23846" spans="14:16" x14ac:dyDescent="0.3">
      <c r="N23846" s="1"/>
      <c r="O23846" s="1"/>
    </row>
    <row r="23854" spans="14:16" x14ac:dyDescent="0.3">
      <c r="N23854" s="1"/>
      <c r="O23854" s="1"/>
      <c r="P23854" s="1"/>
    </row>
    <row r="23859" spans="13:16" x14ac:dyDescent="0.3">
      <c r="O23859" s="1"/>
    </row>
    <row r="23871" spans="13:16" x14ac:dyDescent="0.3">
      <c r="O23871" s="1"/>
    </row>
    <row r="23872" spans="13:16" x14ac:dyDescent="0.3">
      <c r="M23872" s="1"/>
      <c r="O23872" s="1"/>
      <c r="P23872" s="1"/>
    </row>
    <row r="23895" spans="13:14" x14ac:dyDescent="0.3">
      <c r="M23895" s="1"/>
    </row>
    <row r="23901" spans="13:14" x14ac:dyDescent="0.3">
      <c r="N23901" s="1"/>
    </row>
    <row r="23918" spans="13:13" x14ac:dyDescent="0.3">
      <c r="M23918" s="1"/>
    </row>
    <row r="23936" spans="15:15" x14ac:dyDescent="0.3">
      <c r="O23936" s="1"/>
    </row>
    <row r="23959" spans="13:16" x14ac:dyDescent="0.3">
      <c r="M23959" s="1"/>
      <c r="O23959" s="1"/>
      <c r="P23959" s="1"/>
    </row>
    <row r="23961" spans="13:16" x14ac:dyDescent="0.3">
      <c r="M23961" s="1"/>
      <c r="N23961" s="1"/>
      <c r="O23961" s="1"/>
      <c r="P23961" s="1"/>
    </row>
    <row r="23968" spans="13:16" x14ac:dyDescent="0.3">
      <c r="M23968" s="1"/>
      <c r="P23968" s="1"/>
    </row>
    <row r="23970" spans="14:14" x14ac:dyDescent="0.3">
      <c r="N23970" s="1"/>
    </row>
    <row r="23990" spans="14:14" x14ac:dyDescent="0.3">
      <c r="N23990" s="1"/>
    </row>
    <row r="24003" spans="13:15" x14ac:dyDescent="0.3">
      <c r="N24003" s="1"/>
    </row>
    <row r="24004" spans="13:15" x14ac:dyDescent="0.3">
      <c r="M24004" s="1"/>
      <c r="N24004" s="1"/>
      <c r="O24004" s="1"/>
    </row>
    <row r="24027" spans="15:15" x14ac:dyDescent="0.3">
      <c r="O24027" s="1"/>
    </row>
    <row r="24029" spans="15:15" x14ac:dyDescent="0.3">
      <c r="O24029" s="1"/>
    </row>
    <row r="24034" spans="13:16" x14ac:dyDescent="0.3">
      <c r="M24034" s="1"/>
      <c r="P24034" s="1"/>
    </row>
    <row r="24040" spans="13:16" x14ac:dyDescent="0.3">
      <c r="N24040" s="1"/>
      <c r="P24040" s="1"/>
    </row>
    <row r="24051" spans="13:15" x14ac:dyDescent="0.3">
      <c r="O24051" s="1"/>
    </row>
    <row r="24052" spans="13:15" x14ac:dyDescent="0.3">
      <c r="N24052" s="1"/>
    </row>
    <row r="24059" spans="13:15" x14ac:dyDescent="0.3">
      <c r="M24059" s="1"/>
      <c r="O24059" s="1"/>
    </row>
    <row r="24061" spans="13:15" x14ac:dyDescent="0.3">
      <c r="M24061" s="1"/>
      <c r="N24061" s="1"/>
      <c r="O24061" s="1"/>
    </row>
    <row r="24093" spans="15:15" x14ac:dyDescent="0.3">
      <c r="O24093" s="1"/>
    </row>
    <row r="24102" spans="13:16" x14ac:dyDescent="0.3">
      <c r="M24102" s="1"/>
      <c r="N24102" s="1"/>
      <c r="P24102" s="1"/>
    </row>
    <row r="24103" spans="13:16" x14ac:dyDescent="0.3">
      <c r="N24103" s="1"/>
    </row>
    <row r="24136" spans="13:16" x14ac:dyDescent="0.3">
      <c r="M24136" s="1"/>
    </row>
    <row r="24143" spans="13:16" x14ac:dyDescent="0.3">
      <c r="O24143" s="1"/>
      <c r="P24143" s="1"/>
    </row>
    <row r="24163" spans="13:15" x14ac:dyDescent="0.3">
      <c r="M24163" s="1"/>
      <c r="O24163" s="1"/>
    </row>
    <row r="24164" spans="13:15" x14ac:dyDescent="0.3">
      <c r="N24164" s="1"/>
    </row>
    <row r="24188" spans="13:13" x14ac:dyDescent="0.3">
      <c r="M24188" s="1"/>
    </row>
    <row r="24195" spans="15:15" x14ac:dyDescent="0.3">
      <c r="O24195" s="1"/>
    </row>
    <row r="24215" spans="13:16" x14ac:dyDescent="0.3">
      <c r="N24215" s="1"/>
      <c r="O24215" s="1"/>
    </row>
    <row r="24217" spans="13:16" x14ac:dyDescent="0.3">
      <c r="M24217" s="1"/>
      <c r="N24217" s="1"/>
      <c r="O24217" s="1"/>
      <c r="P24217" s="1"/>
    </row>
    <row r="24223" spans="13:16" x14ac:dyDescent="0.3">
      <c r="M24223" s="1"/>
    </row>
    <row r="24235" spans="13:15" x14ac:dyDescent="0.3">
      <c r="M24235" s="1"/>
      <c r="N24235" s="1"/>
      <c r="O24235" s="1"/>
    </row>
    <row r="24250" spans="14:15" x14ac:dyDescent="0.3">
      <c r="N24250" s="1"/>
      <c r="O24250" s="1"/>
    </row>
    <row r="24257" spans="13:16" x14ac:dyDescent="0.3">
      <c r="M24257" s="1"/>
      <c r="O24257" s="1"/>
      <c r="P24257" s="1"/>
    </row>
    <row r="24266" spans="13:16" x14ac:dyDescent="0.3">
      <c r="N24266" s="1"/>
    </row>
    <row r="24293" spans="13:15" x14ac:dyDescent="0.3">
      <c r="M24293" s="1"/>
      <c r="O24293" s="1"/>
    </row>
    <row r="24294" spans="13:15" x14ac:dyDescent="0.3">
      <c r="M24294" s="1"/>
      <c r="N24294" s="1"/>
    </row>
    <row r="24309" spans="13:16" x14ac:dyDescent="0.3">
      <c r="N24309" s="1"/>
    </row>
    <row r="24311" spans="13:16" x14ac:dyDescent="0.3">
      <c r="M24311" s="1"/>
      <c r="N24311" s="1"/>
      <c r="O24311" s="1"/>
      <c r="P24311" s="1"/>
    </row>
    <row r="24318" spans="13:16" x14ac:dyDescent="0.3">
      <c r="M24318" s="1"/>
    </row>
    <row r="24342" spans="13:16" x14ac:dyDescent="0.3">
      <c r="M24342" s="1"/>
      <c r="N24342" s="1"/>
      <c r="O24342" s="1"/>
    </row>
    <row r="24343" spans="13:16" x14ac:dyDescent="0.3">
      <c r="M24343" s="1"/>
    </row>
    <row r="24345" spans="13:16" x14ac:dyDescent="0.3">
      <c r="M24345" s="1"/>
    </row>
    <row r="24349" spans="13:16" x14ac:dyDescent="0.3">
      <c r="M24349" s="1"/>
      <c r="P24349" s="1"/>
    </row>
    <row r="24350" spans="13:16" x14ac:dyDescent="0.3">
      <c r="O24350" s="1"/>
    </row>
    <row r="24367" spans="13:13" x14ac:dyDescent="0.3">
      <c r="M24367" s="1"/>
    </row>
    <row r="24368" spans="13:13" x14ac:dyDescent="0.3">
      <c r="M24368" s="1"/>
    </row>
    <row r="24370" spans="13:16" x14ac:dyDescent="0.3">
      <c r="M24370" s="1"/>
      <c r="O24370" s="1"/>
      <c r="P24370" s="1"/>
    </row>
    <row r="24374" spans="13:16" x14ac:dyDescent="0.3">
      <c r="N24374" s="1"/>
    </row>
    <row r="24382" spans="13:16" x14ac:dyDescent="0.3">
      <c r="M24382" s="1"/>
      <c r="N24382" s="1"/>
    </row>
    <row r="24386" spans="13:15" x14ac:dyDescent="0.3">
      <c r="O24386" s="1"/>
    </row>
    <row r="24391" spans="13:15" x14ac:dyDescent="0.3">
      <c r="M24391" s="1"/>
      <c r="N24391" s="1"/>
    </row>
    <row r="24394" spans="13:15" x14ac:dyDescent="0.3">
      <c r="O24394" s="1"/>
    </row>
    <row r="24403" spans="13:15" x14ac:dyDescent="0.3">
      <c r="M24403" s="1"/>
      <c r="O24403" s="1"/>
    </row>
    <row r="24415" spans="13:15" x14ac:dyDescent="0.3">
      <c r="N24415" s="1"/>
    </row>
    <row r="24424" spans="13:16" x14ac:dyDescent="0.3">
      <c r="M24424" s="1"/>
      <c r="P24424" s="1"/>
    </row>
    <row r="24430" spans="13:16" x14ac:dyDescent="0.3">
      <c r="N24430" s="1"/>
    </row>
    <row r="24439" spans="15:15" x14ac:dyDescent="0.3">
      <c r="O24439" s="1"/>
    </row>
    <row r="24452" spans="13:15" x14ac:dyDescent="0.3">
      <c r="N24452" s="1"/>
      <c r="O24452" s="1"/>
    </row>
    <row r="24463" spans="13:15" x14ac:dyDescent="0.3">
      <c r="M24463" s="1"/>
    </row>
    <row r="24465" spans="13:15" x14ac:dyDescent="0.3">
      <c r="M24465" s="1"/>
      <c r="N24465" s="1"/>
      <c r="O24465" s="1"/>
    </row>
    <row r="24468" spans="13:15" x14ac:dyDescent="0.3">
      <c r="M24468" s="1"/>
    </row>
    <row r="24473" spans="13:15" x14ac:dyDescent="0.3">
      <c r="M24473" s="1"/>
    </row>
    <row r="24495" spans="15:15" x14ac:dyDescent="0.3">
      <c r="O24495" s="1"/>
    </row>
    <row r="24502" spans="14:16" x14ac:dyDescent="0.3">
      <c r="N24502" s="1"/>
      <c r="O24502" s="1"/>
      <c r="P24502" s="1"/>
    </row>
    <row r="24510" spans="14:16" x14ac:dyDescent="0.3">
      <c r="O24510" s="1"/>
    </row>
    <row r="24514" spans="13:16" x14ac:dyDescent="0.3">
      <c r="M24514" s="1"/>
      <c r="N24514" s="1"/>
    </row>
    <row r="24521" spans="13:16" x14ac:dyDescent="0.3">
      <c r="M24521" s="1"/>
      <c r="N24521" s="1"/>
      <c r="O24521" s="1"/>
      <c r="P24521" s="1"/>
    </row>
    <row r="24528" spans="13:16" x14ac:dyDescent="0.3">
      <c r="N24528" s="1"/>
    </row>
    <row r="24534" spans="13:14" x14ac:dyDescent="0.3">
      <c r="N24534" s="1"/>
    </row>
    <row r="24538" spans="13:14" x14ac:dyDescent="0.3">
      <c r="N24538" s="1"/>
    </row>
    <row r="24542" spans="13:14" x14ac:dyDescent="0.3">
      <c r="M24542" s="1"/>
    </row>
    <row r="24550" spans="13:16" x14ac:dyDescent="0.3">
      <c r="N24550" s="1"/>
      <c r="O24550" s="1"/>
    </row>
    <row r="24557" spans="13:16" x14ac:dyDescent="0.3">
      <c r="M24557" s="1"/>
      <c r="P24557" s="1"/>
    </row>
    <row r="24566" spans="13:16" x14ac:dyDescent="0.3">
      <c r="N24566" s="1"/>
      <c r="P24566" s="1"/>
    </row>
    <row r="24574" spans="13:16" x14ac:dyDescent="0.3">
      <c r="M24574" s="1"/>
      <c r="N24574" s="1"/>
      <c r="P24574" s="1"/>
    </row>
    <row r="24591" spans="14:14" x14ac:dyDescent="0.3">
      <c r="N24591" s="1"/>
    </row>
    <row r="24596" spans="13:16" x14ac:dyDescent="0.3">
      <c r="O24596" s="1"/>
    </row>
    <row r="24601" spans="13:16" x14ac:dyDescent="0.3">
      <c r="M24601" s="1"/>
      <c r="O24601" s="1"/>
      <c r="P24601" s="1"/>
    </row>
    <row r="24609" spans="13:15" x14ac:dyDescent="0.3">
      <c r="N24609" s="1"/>
      <c r="O24609" s="1"/>
    </row>
    <row r="24610" spans="13:15" x14ac:dyDescent="0.3">
      <c r="M24610" s="1"/>
      <c r="O24610" s="1"/>
    </row>
    <row r="24616" spans="13:15" x14ac:dyDescent="0.3">
      <c r="N24616" s="1"/>
    </row>
    <row r="24618" spans="13:15" x14ac:dyDescent="0.3">
      <c r="O24618" s="1"/>
    </row>
    <row r="24620" spans="13:15" x14ac:dyDescent="0.3">
      <c r="O24620" s="1"/>
    </row>
    <row r="24644" spans="13:15" x14ac:dyDescent="0.3">
      <c r="M24644" s="1"/>
      <c r="O24644" s="1"/>
    </row>
    <row r="24653" spans="13:15" x14ac:dyDescent="0.3">
      <c r="M24653" s="1"/>
    </row>
    <row r="24656" spans="13:15" x14ac:dyDescent="0.3">
      <c r="M24656" s="1"/>
      <c r="N24656" s="1"/>
    </row>
    <row r="24670" spans="14:16" x14ac:dyDescent="0.3">
      <c r="N24670" s="1"/>
      <c r="O24670" s="1"/>
      <c r="P24670" s="1"/>
    </row>
    <row r="24691" spans="13:15" x14ac:dyDescent="0.3">
      <c r="O24691" s="1"/>
    </row>
    <row r="24692" spans="13:15" x14ac:dyDescent="0.3">
      <c r="O24692" s="1"/>
    </row>
    <row r="24701" spans="13:15" x14ac:dyDescent="0.3">
      <c r="M24701" s="1"/>
      <c r="N24701" s="1"/>
    </row>
    <row r="24706" spans="14:16" x14ac:dyDescent="0.3">
      <c r="N24706" s="1"/>
      <c r="P24706" s="1"/>
    </row>
    <row r="24721" spans="14:15" x14ac:dyDescent="0.3">
      <c r="O24721" s="1"/>
    </row>
    <row r="24722" spans="14:15" x14ac:dyDescent="0.3">
      <c r="O24722" s="1"/>
    </row>
    <row r="24728" spans="14:15" x14ac:dyDescent="0.3">
      <c r="N24728" s="1"/>
    </row>
    <row r="24740" spans="14:14" x14ac:dyDescent="0.3">
      <c r="N24740" s="1"/>
    </row>
    <row r="24755" spans="14:16" x14ac:dyDescent="0.3">
      <c r="P24755" s="1"/>
    </row>
    <row r="24756" spans="14:16" x14ac:dyDescent="0.3">
      <c r="N24756" s="1"/>
      <c r="O24756" s="1"/>
    </row>
    <row r="24770" spans="15:16" x14ac:dyDescent="0.3">
      <c r="O24770" s="1"/>
    </row>
    <row r="24773" spans="15:16" x14ac:dyDescent="0.3">
      <c r="P24773" s="1"/>
    </row>
    <row r="24784" spans="15:16" x14ac:dyDescent="0.3">
      <c r="O24784" s="1"/>
    </row>
    <row r="24811" spans="14:14" x14ac:dyDescent="0.3">
      <c r="N24811" s="1"/>
    </row>
    <row r="24818" spans="13:16" x14ac:dyDescent="0.3">
      <c r="N24818" s="1"/>
    </row>
    <row r="24827" spans="13:16" x14ac:dyDescent="0.3">
      <c r="N24827" s="1"/>
    </row>
    <row r="24828" spans="13:16" x14ac:dyDescent="0.3">
      <c r="N24828" s="1"/>
      <c r="O24828" s="1"/>
    </row>
    <row r="24832" spans="13:16" x14ac:dyDescent="0.3">
      <c r="M24832" s="1"/>
      <c r="P24832" s="1"/>
    </row>
    <row r="24835" spans="13:16" x14ac:dyDescent="0.3">
      <c r="O24835" s="1"/>
    </row>
    <row r="24841" spans="13:16" x14ac:dyDescent="0.3">
      <c r="M24841" s="1"/>
    </row>
    <row r="24844" spans="13:16" x14ac:dyDescent="0.3">
      <c r="N24844" s="1"/>
    </row>
    <row r="24845" spans="13:16" x14ac:dyDescent="0.3">
      <c r="N24845" s="1"/>
    </row>
    <row r="24848" spans="13:16" x14ac:dyDescent="0.3">
      <c r="M24848" s="1"/>
      <c r="N24848" s="1"/>
      <c r="P24848" s="1"/>
    </row>
    <row r="24856" spans="14:16" x14ac:dyDescent="0.3">
      <c r="P24856" s="1"/>
    </row>
    <row r="24860" spans="14:16" x14ac:dyDescent="0.3">
      <c r="O24860" s="1"/>
    </row>
    <row r="24862" spans="14:16" x14ac:dyDescent="0.3">
      <c r="N24862" s="1"/>
      <c r="P24862" s="1"/>
    </row>
    <row r="24870" spans="13:13" x14ac:dyDescent="0.3">
      <c r="M24870" s="1"/>
    </row>
    <row r="24883" spans="13:13" x14ac:dyDescent="0.3">
      <c r="M24883" s="1"/>
    </row>
    <row r="24897" spans="14:15" x14ac:dyDescent="0.3">
      <c r="N24897" s="1"/>
      <c r="O24897" s="1"/>
    </row>
    <row r="24916" spans="13:15" x14ac:dyDescent="0.3">
      <c r="N24916" s="1"/>
      <c r="O24916" s="1"/>
    </row>
    <row r="24919" spans="13:15" x14ac:dyDescent="0.3">
      <c r="O24919" s="1"/>
    </row>
    <row r="24920" spans="13:15" x14ac:dyDescent="0.3">
      <c r="M24920" s="1"/>
      <c r="N24920" s="1"/>
    </row>
    <row r="24931" spans="13:16" x14ac:dyDescent="0.3">
      <c r="M24931" s="1"/>
      <c r="N24931" s="1"/>
      <c r="O24931" s="1"/>
      <c r="P24931" s="1"/>
    </row>
    <row r="24932" spans="13:16" x14ac:dyDescent="0.3">
      <c r="O24932" s="1"/>
      <c r="P24932" s="1"/>
    </row>
    <row r="24937" spans="13:16" x14ac:dyDescent="0.3">
      <c r="M24937" s="1"/>
      <c r="N24937" s="1"/>
      <c r="O24937" s="1"/>
      <c r="P24937" s="1"/>
    </row>
    <row r="24967" spans="13:13" x14ac:dyDescent="0.3">
      <c r="M24967" s="1"/>
    </row>
    <row r="24999" spans="14:15" x14ac:dyDescent="0.3">
      <c r="N24999" s="1"/>
    </row>
    <row r="25000" spans="14:15" x14ac:dyDescent="0.3">
      <c r="O25000" s="1"/>
    </row>
    <row r="25001" spans="14:15" x14ac:dyDescent="0.3">
      <c r="O250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10" sqref="A10"/>
    </sheetView>
  </sheetViews>
  <sheetFormatPr defaultRowHeight="14.4" x14ac:dyDescent="0.3"/>
  <cols>
    <col min="2" max="2" width="59" customWidth="1"/>
  </cols>
  <sheetData>
    <row r="1" spans="1:2" x14ac:dyDescent="0.3">
      <c r="A1" s="9" t="s">
        <v>712</v>
      </c>
      <c r="B1" s="8" t="s">
        <v>732</v>
      </c>
    </row>
    <row r="2" spans="1:2" x14ac:dyDescent="0.3">
      <c r="A2" s="9" t="s">
        <v>715</v>
      </c>
      <c r="B2" s="8" t="s">
        <v>731</v>
      </c>
    </row>
    <row r="3" spans="1:2" x14ac:dyDescent="0.3">
      <c r="A3" s="9" t="s">
        <v>716</v>
      </c>
      <c r="B3" s="8" t="s">
        <v>730</v>
      </c>
    </row>
    <row r="4" spans="1:2" x14ac:dyDescent="0.3">
      <c r="A4" s="9" t="s">
        <v>717</v>
      </c>
      <c r="B4" s="8" t="s">
        <v>729</v>
      </c>
    </row>
    <row r="5" spans="1:2" x14ac:dyDescent="0.3">
      <c r="A5" s="9" t="s">
        <v>718</v>
      </c>
      <c r="B5" s="8" t="s">
        <v>728</v>
      </c>
    </row>
    <row r="6" spans="1:2" x14ac:dyDescent="0.3">
      <c r="A6" s="9" t="s">
        <v>719</v>
      </c>
      <c r="B6" s="8" t="s">
        <v>727</v>
      </c>
    </row>
    <row r="7" spans="1:2" x14ac:dyDescent="0.3">
      <c r="A7" s="9" t="s">
        <v>720</v>
      </c>
      <c r="B7" s="8" t="s">
        <v>726</v>
      </c>
    </row>
    <row r="8" spans="1:2" x14ac:dyDescent="0.3">
      <c r="A8" s="9" t="s">
        <v>721</v>
      </c>
      <c r="B8" s="8" t="s">
        <v>725</v>
      </c>
    </row>
    <row r="9" spans="1:2" x14ac:dyDescent="0.3">
      <c r="A9" s="9" t="s">
        <v>713</v>
      </c>
      <c r="B9" s="8" t="s">
        <v>724</v>
      </c>
    </row>
    <row r="10" spans="1:2" x14ac:dyDescent="0.3">
      <c r="A10" s="9" t="s">
        <v>714</v>
      </c>
      <c r="B10" s="8" t="s">
        <v>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9"/>
  <sheetViews>
    <sheetView showGridLines="0" workbookViewId="0">
      <selection activeCell="O17" sqref="O17"/>
    </sheetView>
  </sheetViews>
  <sheetFormatPr defaultRowHeight="14.4" x14ac:dyDescent="0.3"/>
  <cols>
    <col min="1" max="1" width="15.33203125" bestFit="1" customWidth="1"/>
    <col min="2" max="2" width="30" bestFit="1" customWidth="1"/>
    <col min="3" max="5" width="3" bestFit="1" customWidth="1"/>
    <col min="6" max="6" width="12.44140625" bestFit="1" customWidth="1"/>
  </cols>
  <sheetData>
    <row r="3" spans="1:2" x14ac:dyDescent="0.3">
      <c r="A3" s="6" t="s">
        <v>700</v>
      </c>
      <c r="B3" t="s">
        <v>701</v>
      </c>
    </row>
    <row r="4" spans="1:2" x14ac:dyDescent="0.3">
      <c r="A4" s="7" t="s">
        <v>694</v>
      </c>
      <c r="B4" s="4">
        <v>38.75</v>
      </c>
    </row>
    <row r="5" spans="1:2" x14ac:dyDescent="0.3">
      <c r="A5" s="7" t="s">
        <v>695</v>
      </c>
      <c r="B5" s="4">
        <v>32.916666666666664</v>
      </c>
    </row>
    <row r="6" spans="1:2" x14ac:dyDescent="0.3">
      <c r="A6" s="7" t="s">
        <v>696</v>
      </c>
      <c r="B6" s="4">
        <v>36.75</v>
      </c>
    </row>
    <row r="7" spans="1:2" x14ac:dyDescent="0.3">
      <c r="A7" s="7" t="s">
        <v>697</v>
      </c>
      <c r="B7" s="4">
        <v>37.840909090909093</v>
      </c>
    </row>
    <row r="8" spans="1:2" x14ac:dyDescent="0.3">
      <c r="A8" s="7" t="s">
        <v>698</v>
      </c>
      <c r="B8">
        <v>45</v>
      </c>
    </row>
    <row r="9" spans="1:2" x14ac:dyDescent="0.3">
      <c r="A9" s="7" t="s">
        <v>699</v>
      </c>
      <c r="B9" s="3">
        <v>36.849529780564261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showGridLines="0" workbookViewId="0">
      <selection activeCell="L17" sqref="L17"/>
    </sheetView>
  </sheetViews>
  <sheetFormatPr defaultRowHeight="14.4" x14ac:dyDescent="0.3"/>
  <cols>
    <col min="1" max="1" width="14.21875" bestFit="1" customWidth="1"/>
    <col min="2" max="2" width="16.6640625" bestFit="1" customWidth="1"/>
  </cols>
  <sheetData>
    <row r="1" spans="1:2" x14ac:dyDescent="0.3">
      <c r="A1" s="6" t="s">
        <v>686</v>
      </c>
      <c r="B1" t="s">
        <v>702</v>
      </c>
    </row>
    <row r="3" spans="1:2" x14ac:dyDescent="0.3">
      <c r="A3" s="6" t="s">
        <v>700</v>
      </c>
      <c r="B3" t="s">
        <v>703</v>
      </c>
    </row>
    <row r="4" spans="1:2" x14ac:dyDescent="0.3">
      <c r="A4" s="7" t="s">
        <v>680</v>
      </c>
      <c r="B4">
        <v>4</v>
      </c>
    </row>
    <row r="5" spans="1:2" x14ac:dyDescent="0.3">
      <c r="A5" s="7" t="s">
        <v>678</v>
      </c>
      <c r="B5">
        <v>3</v>
      </c>
    </row>
    <row r="6" spans="1:2" x14ac:dyDescent="0.3">
      <c r="A6" s="7" t="s">
        <v>679</v>
      </c>
      <c r="B6">
        <v>3</v>
      </c>
    </row>
    <row r="7" spans="1:2" x14ac:dyDescent="0.3">
      <c r="A7" s="7" t="s">
        <v>681</v>
      </c>
      <c r="B7">
        <v>5</v>
      </c>
    </row>
    <row r="8" spans="1:2" x14ac:dyDescent="0.3">
      <c r="A8" s="7" t="s">
        <v>677</v>
      </c>
      <c r="B8">
        <v>3</v>
      </c>
    </row>
    <row r="9" spans="1:2" x14ac:dyDescent="0.3">
      <c r="A9" s="7" t="s">
        <v>107</v>
      </c>
      <c r="B9">
        <v>1</v>
      </c>
    </row>
    <row r="10" spans="1:2" x14ac:dyDescent="0.3">
      <c r="A10" s="7" t="s">
        <v>699</v>
      </c>
      <c r="B10">
        <v>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8"/>
  <sheetViews>
    <sheetView showGridLines="0" workbookViewId="0">
      <selection activeCell="G18" sqref="G18"/>
    </sheetView>
  </sheetViews>
  <sheetFormatPr defaultRowHeight="14.4" x14ac:dyDescent="0.3"/>
  <cols>
    <col min="1" max="1" width="14.21875" bestFit="1" customWidth="1"/>
    <col min="2" max="2" width="21.88671875" bestFit="1" customWidth="1"/>
    <col min="3" max="3" width="16.21875" bestFit="1" customWidth="1"/>
    <col min="4" max="4" width="19.77734375" bestFit="1" customWidth="1"/>
    <col min="5" max="5" width="16.5546875" bestFit="1" customWidth="1"/>
  </cols>
  <sheetData>
    <row r="3" spans="1:5" x14ac:dyDescent="0.3">
      <c r="A3" s="6" t="s">
        <v>700</v>
      </c>
      <c r="B3" t="s">
        <v>705</v>
      </c>
      <c r="C3" t="s">
        <v>706</v>
      </c>
      <c r="D3" t="s">
        <v>707</v>
      </c>
      <c r="E3" t="s">
        <v>704</v>
      </c>
    </row>
    <row r="4" spans="1:5" x14ac:dyDescent="0.3">
      <c r="A4" s="7">
        <v>10</v>
      </c>
      <c r="B4" s="4">
        <v>66.278481012658233</v>
      </c>
      <c r="C4" s="4">
        <v>60.569620253164558</v>
      </c>
      <c r="D4" s="4">
        <v>69.949367088607602</v>
      </c>
      <c r="E4" s="4">
        <v>65.599156118143455</v>
      </c>
    </row>
    <row r="5" spans="1:5" x14ac:dyDescent="0.3">
      <c r="A5" s="7">
        <v>20</v>
      </c>
      <c r="B5" s="4">
        <v>65.864197530864203</v>
      </c>
      <c r="C5" s="4">
        <v>63.074074074074076</v>
      </c>
      <c r="D5" s="4">
        <v>72.679012345679013</v>
      </c>
      <c r="E5" s="4">
        <v>67.205761316872426</v>
      </c>
    </row>
    <row r="6" spans="1:5" x14ac:dyDescent="0.3">
      <c r="A6" s="7">
        <v>45</v>
      </c>
      <c r="B6" s="4">
        <v>65.023255813953483</v>
      </c>
      <c r="C6" s="4">
        <v>60.534883720930232</v>
      </c>
      <c r="D6" s="4">
        <v>70.348837209302332</v>
      </c>
      <c r="E6" s="4">
        <v>65.302325581395323</v>
      </c>
    </row>
    <row r="7" spans="1:5" x14ac:dyDescent="0.3">
      <c r="A7" s="7">
        <v>75</v>
      </c>
      <c r="B7" s="4">
        <v>66.726027397260268</v>
      </c>
      <c r="C7" s="4">
        <v>59.945205479452056</v>
      </c>
      <c r="D7" s="4">
        <v>72.095890410958901</v>
      </c>
      <c r="E7" s="4">
        <v>66.255707762557051</v>
      </c>
    </row>
    <row r="8" spans="1:5" x14ac:dyDescent="0.3">
      <c r="A8" s="7" t="s">
        <v>699</v>
      </c>
      <c r="B8" s="4">
        <v>65.937304075235105</v>
      </c>
      <c r="C8" s="4">
        <v>61.053291536050153</v>
      </c>
      <c r="D8" s="4">
        <v>71.241379310344826</v>
      </c>
      <c r="E8" s="4">
        <v>66.077324973876742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showGridLines="0" workbookViewId="0">
      <selection activeCell="K16" sqref="K16"/>
    </sheetView>
  </sheetViews>
  <sheetFormatPr defaultRowHeight="14.4" x14ac:dyDescent="0.3"/>
  <cols>
    <col min="1" max="2" width="15.33203125" bestFit="1" customWidth="1"/>
  </cols>
  <sheetData>
    <row r="1" spans="1:2" x14ac:dyDescent="0.3">
      <c r="A1" s="6" t="s">
        <v>682</v>
      </c>
      <c r="B1" t="s">
        <v>680</v>
      </c>
    </row>
    <row r="3" spans="1:2" x14ac:dyDescent="0.3">
      <c r="A3" s="6" t="s">
        <v>700</v>
      </c>
      <c r="B3" t="s">
        <v>703</v>
      </c>
    </row>
    <row r="4" spans="1:2" x14ac:dyDescent="0.3">
      <c r="A4" s="7" t="s">
        <v>663</v>
      </c>
      <c r="B4">
        <v>19</v>
      </c>
    </row>
    <row r="5" spans="1:2" x14ac:dyDescent="0.3">
      <c r="A5" s="7" t="s">
        <v>664</v>
      </c>
      <c r="B5">
        <v>27</v>
      </c>
    </row>
    <row r="6" spans="1:2" x14ac:dyDescent="0.3">
      <c r="A6" s="7" t="s">
        <v>699</v>
      </c>
      <c r="B6">
        <v>46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7"/>
  <sheetViews>
    <sheetView showGridLines="0" workbookViewId="0">
      <selection activeCell="M18" sqref="M18"/>
    </sheetView>
  </sheetViews>
  <sheetFormatPr defaultRowHeight="14.4" x14ac:dyDescent="0.3"/>
  <cols>
    <col min="1" max="1" width="15.33203125" bestFit="1" customWidth="1"/>
    <col min="2" max="2" width="17.33203125" bestFit="1" customWidth="1"/>
    <col min="3" max="3" width="10.21875" customWidth="1"/>
    <col min="4" max="4" width="7" customWidth="1"/>
    <col min="5" max="5" width="8.109375" customWidth="1"/>
    <col min="6" max="6" width="7.44140625" customWidth="1"/>
    <col min="7" max="7" width="12.44140625" bestFit="1" customWidth="1"/>
  </cols>
  <sheetData>
    <row r="3" spans="1:2" x14ac:dyDescent="0.3">
      <c r="A3" s="6" t="s">
        <v>700</v>
      </c>
      <c r="B3" t="s">
        <v>704</v>
      </c>
    </row>
    <row r="4" spans="1:2" x14ac:dyDescent="0.3">
      <c r="A4" s="7" t="s">
        <v>661</v>
      </c>
      <c r="B4" s="4">
        <v>65.508771929824519</v>
      </c>
    </row>
    <row r="5" spans="1:2" x14ac:dyDescent="0.3">
      <c r="A5" s="7" t="s">
        <v>659</v>
      </c>
      <c r="B5" s="4">
        <v>64.051779935275093</v>
      </c>
    </row>
    <row r="6" spans="1:2" x14ac:dyDescent="0.3">
      <c r="A6" s="7" t="s">
        <v>660</v>
      </c>
      <c r="B6" s="4">
        <v>68.758169934640534</v>
      </c>
    </row>
    <row r="7" spans="1:2" x14ac:dyDescent="0.3">
      <c r="A7" s="7" t="s">
        <v>699</v>
      </c>
      <c r="B7" s="4">
        <v>66.077324973876657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showGridLines="0" workbookViewId="0">
      <selection activeCell="O19" sqref="O19"/>
    </sheetView>
  </sheetViews>
  <sheetFormatPr defaultRowHeight="14.4" x14ac:dyDescent="0.3"/>
  <cols>
    <col min="1" max="1" width="14.21875" bestFit="1" customWidth="1"/>
    <col min="2" max="2" width="12.44140625" bestFit="1" customWidth="1"/>
  </cols>
  <sheetData>
    <row r="1" spans="1:2" x14ac:dyDescent="0.3">
      <c r="A1" s="6" t="s">
        <v>676</v>
      </c>
      <c r="B1" t="s">
        <v>674</v>
      </c>
    </row>
    <row r="3" spans="1:2" x14ac:dyDescent="0.3">
      <c r="A3" s="6" t="s">
        <v>700</v>
      </c>
      <c r="B3" t="s">
        <v>703</v>
      </c>
    </row>
    <row r="4" spans="1:2" x14ac:dyDescent="0.3">
      <c r="A4" s="7" t="s">
        <v>661</v>
      </c>
      <c r="B4">
        <v>46</v>
      </c>
    </row>
    <row r="5" spans="1:2" x14ac:dyDescent="0.3">
      <c r="A5" s="7" t="s">
        <v>659</v>
      </c>
      <c r="B5">
        <v>52</v>
      </c>
    </row>
    <row r="6" spans="1:2" x14ac:dyDescent="0.3">
      <c r="A6" s="7" t="s">
        <v>660</v>
      </c>
      <c r="B6">
        <v>48</v>
      </c>
    </row>
    <row r="7" spans="1:2" x14ac:dyDescent="0.3">
      <c r="A7" s="7" t="s">
        <v>699</v>
      </c>
      <c r="B7">
        <v>146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showGridLines="0" workbookViewId="0">
      <selection activeCell="N21" sqref="N21"/>
    </sheetView>
  </sheetViews>
  <sheetFormatPr defaultRowHeight="14.4" x14ac:dyDescent="0.3"/>
  <cols>
    <col min="1" max="1" width="14.21875" bestFit="1" customWidth="1"/>
    <col min="2" max="2" width="12.44140625" bestFit="1" customWidth="1"/>
  </cols>
  <sheetData>
    <row r="1" spans="1:2" x14ac:dyDescent="0.3">
      <c r="A1" s="6" t="s">
        <v>708</v>
      </c>
      <c r="B1" t="s">
        <v>709</v>
      </c>
    </row>
    <row r="3" spans="1:2" x14ac:dyDescent="0.3">
      <c r="A3" s="6" t="s">
        <v>700</v>
      </c>
      <c r="B3" t="s">
        <v>703</v>
      </c>
    </row>
    <row r="4" spans="1:2" x14ac:dyDescent="0.3">
      <c r="A4" s="7">
        <v>1</v>
      </c>
      <c r="B4">
        <v>20</v>
      </c>
    </row>
    <row r="5" spans="1:2" x14ac:dyDescent="0.3">
      <c r="A5" s="7">
        <v>2</v>
      </c>
      <c r="B5">
        <v>20</v>
      </c>
    </row>
    <row r="6" spans="1:2" x14ac:dyDescent="0.3">
      <c r="A6" s="7">
        <v>3</v>
      </c>
      <c r="B6">
        <v>32</v>
      </c>
    </row>
    <row r="7" spans="1:2" x14ac:dyDescent="0.3">
      <c r="A7" s="7">
        <v>4</v>
      </c>
      <c r="B7">
        <v>20</v>
      </c>
    </row>
    <row r="8" spans="1:2" x14ac:dyDescent="0.3">
      <c r="A8" s="7">
        <v>5</v>
      </c>
      <c r="B8">
        <v>16</v>
      </c>
    </row>
    <row r="9" spans="1:2" x14ac:dyDescent="0.3">
      <c r="A9" s="7">
        <v>6</v>
      </c>
      <c r="B9">
        <v>28</v>
      </c>
    </row>
    <row r="10" spans="1:2" x14ac:dyDescent="0.3">
      <c r="A10" s="7">
        <v>7</v>
      </c>
      <c r="B10">
        <v>22</v>
      </c>
    </row>
    <row r="11" spans="1:2" x14ac:dyDescent="0.3">
      <c r="A11" s="7" t="s">
        <v>699</v>
      </c>
      <c r="B11">
        <v>158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C6"/>
  <sheetViews>
    <sheetView showGridLines="0" workbookViewId="0">
      <selection activeCell="N20" sqref="N20"/>
    </sheetView>
  </sheetViews>
  <sheetFormatPr defaultRowHeight="14.4" x14ac:dyDescent="0.3"/>
  <cols>
    <col min="1" max="1" width="15.33203125" bestFit="1" customWidth="1"/>
    <col min="2" max="2" width="17.33203125" bestFit="1" customWidth="1"/>
    <col min="3" max="3" width="12.88671875" bestFit="1" customWidth="1"/>
  </cols>
  <sheetData>
    <row r="3" spans="1:3" x14ac:dyDescent="0.3">
      <c r="A3" s="6" t="s">
        <v>700</v>
      </c>
      <c r="B3" t="s">
        <v>704</v>
      </c>
      <c r="C3" t="s">
        <v>703</v>
      </c>
    </row>
    <row r="4" spans="1:3" x14ac:dyDescent="0.3">
      <c r="A4" s="7" t="s">
        <v>674</v>
      </c>
      <c r="B4">
        <v>66.09999999999998</v>
      </c>
      <c r="C4">
        <v>270</v>
      </c>
    </row>
    <row r="5" spans="1:3" x14ac:dyDescent="0.3">
      <c r="A5" s="7" t="s">
        <v>675</v>
      </c>
      <c r="B5" s="3">
        <v>65.952380952380963</v>
      </c>
      <c r="C5">
        <v>49</v>
      </c>
    </row>
    <row r="6" spans="1:3" x14ac:dyDescent="0.3">
      <c r="A6" s="7" t="s">
        <v>699</v>
      </c>
      <c r="B6" s="4">
        <v>66.077324973876699</v>
      </c>
      <c r="C6">
        <v>319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showGridLines="0" workbookViewId="0">
      <selection activeCell="M20" sqref="M20"/>
    </sheetView>
  </sheetViews>
  <sheetFormatPr defaultRowHeight="14.4" x14ac:dyDescent="0.3"/>
  <cols>
    <col min="1" max="1" width="14.21875" bestFit="1" customWidth="1"/>
    <col min="2" max="2" width="16.6640625" bestFit="1" customWidth="1"/>
    <col min="3" max="5" width="3" bestFit="1" customWidth="1"/>
    <col min="6" max="6" width="12.44140625" bestFit="1" customWidth="1"/>
  </cols>
  <sheetData>
    <row r="1" spans="1:2" x14ac:dyDescent="0.3">
      <c r="A1" s="6" t="s">
        <v>672</v>
      </c>
      <c r="B1" t="s">
        <v>702</v>
      </c>
    </row>
    <row r="2" spans="1:2" x14ac:dyDescent="0.3">
      <c r="A2" s="6" t="s">
        <v>686</v>
      </c>
      <c r="B2" t="s">
        <v>702</v>
      </c>
    </row>
    <row r="4" spans="1:2" x14ac:dyDescent="0.3">
      <c r="A4" s="6" t="s">
        <v>700</v>
      </c>
      <c r="B4" t="s">
        <v>703</v>
      </c>
    </row>
    <row r="5" spans="1:2" x14ac:dyDescent="0.3">
      <c r="A5" s="7" t="s">
        <v>680</v>
      </c>
      <c r="B5">
        <v>2</v>
      </c>
    </row>
    <row r="6" spans="1:2" x14ac:dyDescent="0.3">
      <c r="A6" s="7" t="s">
        <v>678</v>
      </c>
      <c r="B6">
        <v>6</v>
      </c>
    </row>
    <row r="7" spans="1:2" x14ac:dyDescent="0.3">
      <c r="A7" s="7" t="s">
        <v>679</v>
      </c>
      <c r="B7">
        <v>9</v>
      </c>
    </row>
    <row r="8" spans="1:2" x14ac:dyDescent="0.3">
      <c r="A8" s="7" t="s">
        <v>681</v>
      </c>
      <c r="B8">
        <v>11</v>
      </c>
    </row>
    <row r="9" spans="1:2" x14ac:dyDescent="0.3">
      <c r="A9" s="7" t="s">
        <v>677</v>
      </c>
      <c r="B9">
        <v>8</v>
      </c>
    </row>
    <row r="10" spans="1:2" x14ac:dyDescent="0.3">
      <c r="A10" s="7" t="s">
        <v>107</v>
      </c>
      <c r="B10">
        <v>7</v>
      </c>
    </row>
    <row r="11" spans="1:2" x14ac:dyDescent="0.3">
      <c r="A11" s="7" t="s">
        <v>699</v>
      </c>
      <c r="B11">
        <v>43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H11"/>
  <sheetViews>
    <sheetView showGridLines="0" zoomScale="73" workbookViewId="0">
      <selection activeCell="M15" sqref="M15"/>
    </sheetView>
  </sheetViews>
  <sheetFormatPr defaultRowHeight="14.4" x14ac:dyDescent="0.3"/>
  <cols>
    <col min="1" max="1" width="15" bestFit="1" customWidth="1"/>
    <col min="2" max="2" width="16.21875" bestFit="1" customWidth="1"/>
    <col min="3" max="3" width="9.5546875" bestFit="1" customWidth="1"/>
    <col min="4" max="4" width="13.33203125" bestFit="1" customWidth="1"/>
    <col min="5" max="5" width="12.6640625" bestFit="1" customWidth="1"/>
    <col min="6" max="6" width="9.33203125" bestFit="1" customWidth="1"/>
    <col min="7" max="7" width="11.5546875" bestFit="1" customWidth="1"/>
    <col min="8" max="8" width="12" bestFit="1" customWidth="1"/>
    <col min="9" max="9" width="26.21875" bestFit="1" customWidth="1"/>
    <col min="10" max="10" width="12.88671875" bestFit="1" customWidth="1"/>
    <col min="11" max="11" width="26.21875" bestFit="1" customWidth="1"/>
    <col min="12" max="12" width="12.88671875" bestFit="1" customWidth="1"/>
    <col min="13" max="13" width="26.21875" bestFit="1" customWidth="1"/>
    <col min="14" max="14" width="20.21875" bestFit="1" customWidth="1"/>
    <col min="15" max="15" width="33.44140625" bestFit="1" customWidth="1"/>
  </cols>
  <sheetData>
    <row r="3" spans="1:8" x14ac:dyDescent="0.3">
      <c r="A3" s="6" t="s">
        <v>703</v>
      </c>
      <c r="B3" s="6" t="s">
        <v>693</v>
      </c>
    </row>
    <row r="4" spans="1:8" x14ac:dyDescent="0.3">
      <c r="A4" s="6" t="s">
        <v>700</v>
      </c>
      <c r="B4" t="s">
        <v>680</v>
      </c>
      <c r="C4" t="s">
        <v>678</v>
      </c>
      <c r="D4" t="s">
        <v>679</v>
      </c>
      <c r="E4" t="s">
        <v>681</v>
      </c>
      <c r="F4" t="s">
        <v>677</v>
      </c>
      <c r="G4" t="s">
        <v>107</v>
      </c>
      <c r="H4" t="s">
        <v>699</v>
      </c>
    </row>
    <row r="5" spans="1:8" x14ac:dyDescent="0.3">
      <c r="A5" s="7" t="s">
        <v>670</v>
      </c>
      <c r="B5">
        <v>8</v>
      </c>
      <c r="C5">
        <v>9</v>
      </c>
      <c r="D5">
        <v>9</v>
      </c>
      <c r="E5">
        <v>7</v>
      </c>
      <c r="F5">
        <v>4</v>
      </c>
      <c r="G5">
        <v>6</v>
      </c>
      <c r="H5">
        <v>43</v>
      </c>
    </row>
    <row r="6" spans="1:8" x14ac:dyDescent="0.3">
      <c r="A6" s="7" t="s">
        <v>666</v>
      </c>
      <c r="B6">
        <v>7</v>
      </c>
      <c r="C6">
        <v>7</v>
      </c>
      <c r="D6">
        <v>11</v>
      </c>
      <c r="E6">
        <v>9</v>
      </c>
      <c r="F6">
        <v>10</v>
      </c>
      <c r="G6">
        <v>6</v>
      </c>
      <c r="H6">
        <v>50</v>
      </c>
    </row>
    <row r="7" spans="1:8" x14ac:dyDescent="0.3">
      <c r="A7" s="7" t="s">
        <v>667</v>
      </c>
      <c r="B7">
        <v>10</v>
      </c>
      <c r="C7">
        <v>8</v>
      </c>
      <c r="D7">
        <v>10</v>
      </c>
      <c r="E7">
        <v>10</v>
      </c>
      <c r="F7">
        <v>9</v>
      </c>
      <c r="G7">
        <v>9</v>
      </c>
      <c r="H7">
        <v>56</v>
      </c>
    </row>
    <row r="8" spans="1:8" x14ac:dyDescent="0.3">
      <c r="A8" s="7" t="s">
        <v>668</v>
      </c>
      <c r="B8">
        <v>8</v>
      </c>
      <c r="C8">
        <v>7</v>
      </c>
      <c r="D8">
        <v>6</v>
      </c>
      <c r="E8">
        <v>9</v>
      </c>
      <c r="F8">
        <v>7</v>
      </c>
      <c r="G8">
        <v>8</v>
      </c>
      <c r="H8">
        <v>45</v>
      </c>
    </row>
    <row r="9" spans="1:8" x14ac:dyDescent="0.3">
      <c r="A9" s="7" t="s">
        <v>669</v>
      </c>
      <c r="B9">
        <v>6</v>
      </c>
      <c r="C9">
        <v>8</v>
      </c>
      <c r="D9">
        <v>14</v>
      </c>
      <c r="E9">
        <v>17</v>
      </c>
      <c r="F9">
        <v>6</v>
      </c>
      <c r="G9">
        <v>9</v>
      </c>
      <c r="H9">
        <v>60</v>
      </c>
    </row>
    <row r="10" spans="1:8" x14ac:dyDescent="0.3">
      <c r="A10" s="7" t="s">
        <v>665</v>
      </c>
      <c r="B10">
        <v>7</v>
      </c>
      <c r="C10">
        <v>14</v>
      </c>
      <c r="D10">
        <v>15</v>
      </c>
      <c r="E10">
        <v>9</v>
      </c>
      <c r="F10">
        <v>13</v>
      </c>
      <c r="G10">
        <v>7</v>
      </c>
      <c r="H10">
        <v>65</v>
      </c>
    </row>
    <row r="11" spans="1:8" x14ac:dyDescent="0.3">
      <c r="A11" s="7" t="s">
        <v>699</v>
      </c>
      <c r="B11">
        <v>46</v>
      </c>
      <c r="C11">
        <v>53</v>
      </c>
      <c r="D11">
        <v>65</v>
      </c>
      <c r="E11">
        <v>61</v>
      </c>
      <c r="F11">
        <v>49</v>
      </c>
      <c r="G11">
        <v>45</v>
      </c>
      <c r="H11">
        <v>319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showRowColHeaders="0" zoomScale="37" zoomScaleNormal="37" workbookViewId="0">
      <selection activeCell="AG33" sqref="AG33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HAM VERİ</vt:lpstr>
      <vt:lpstr>TEMİZLENMİŞ VERİ</vt:lpstr>
      <vt:lpstr>SORULAR</vt:lpstr>
      <vt:lpstr>HARFNOTU_F_OLANLARINTELEFONDAGE</vt:lpstr>
      <vt:lpstr>ORTALAMASI85ÜSTÜOLANÖĞRENCİLERİ</vt:lpstr>
      <vt:lpstr>SOSYALMEDYADAGEÇİRİLENSÜRENİNPU</vt:lpstr>
      <vt:lpstr>KOÇDESTEĞİALANÖĞRENCİLERİNOKULT</vt:lpstr>
      <vt:lpstr>FİNALNOTLARININCİNSİYETEGÖREKIY</vt:lpstr>
      <vt:lpstr>EKSTRAAKTİVİTEYAPANKADINVEERKEK</vt:lpstr>
      <vt:lpstr>MAT&lt;ORT_OLANLARINÇALIŞMASAATLER</vt:lpstr>
      <vt:lpstr>İNTERNETERİŞİMİNEGÖREORTALAMAPA</vt:lpstr>
      <vt:lpstr>KATILIMYÜKSEKAMAORTALAMASIDÜŞÜK</vt:lpstr>
      <vt:lpstr>EBEVEYNEĞİTİMDURUMUVEÇALIŞMASTİ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Rümeysa Yılmaz 3354</dc:creator>
  <cp:lastModifiedBy>Rümeysa Yılmaz 3354</cp:lastModifiedBy>
  <dcterms:created xsi:type="dcterms:W3CDTF">2025-12-21T12:32:42Z</dcterms:created>
  <dcterms:modified xsi:type="dcterms:W3CDTF">2026-01-14T18:37:00Z</dcterms:modified>
</cp:coreProperties>
</file>